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3.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4.xml" ContentType="application/vnd.openxmlformats-officedocument.drawing+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5.xml" ContentType="application/vnd.openxmlformats-officedocument.drawing+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6.xml" ContentType="application/vnd.openxmlformats-officedocument.drawing+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G:\Projects\MPLM\6- parallelization\6 - application of redundancy\codes and papers\JULIA _ intepolation based\FMM4RBGPU_timing.jl\test\test_comparing_speed\"/>
    </mc:Choice>
  </mc:AlternateContent>
  <xr:revisionPtr revIDLastSave="0" documentId="13_ncr:1_{6223F69D-D42E-4974-97A9-52826BFB43CA}" xr6:coauthVersionLast="47" xr6:coauthVersionMax="47" xr10:uidLastSave="{00000000-0000-0000-0000-000000000000}"/>
  <bookViews>
    <workbookView xWindow="-108" yWindow="-108" windowWidth="23256" windowHeight="12576" activeTab="3" xr2:uid="{00000000-000D-0000-FFFF-FFFF00000000}"/>
  </bookViews>
  <sheets>
    <sheet name="all" sheetId="3" r:id="rId1"/>
    <sheet name="clean" sheetId="1" r:id="rId2"/>
    <sheet name="avg" sheetId="2" r:id="rId3"/>
    <sheet name="X" sheetId="9" r:id="rId4"/>
    <sheet name="plot" sheetId="10" r:id="rId5"/>
    <sheet name="X numbers only" sheetId="11" r:id="rId6"/>
    <sheet name="n,eta,X" sheetId="12" r:id="rId7"/>
    <sheet name="eta details" sheetId="8" r:id="rId8"/>
    <sheet name="pred X, share NF" sheetId="15" r:id="rId9"/>
    <sheet name="Volume" sheetId="16" r:id="rId10"/>
  </sheets>
  <externalReferences>
    <externalReference r:id="rId11"/>
    <externalReference r:id="rId12"/>
  </externalReferences>
  <definedNames>
    <definedName name="_xlnm._FilterDatabase" localSheetId="2" hidden="1">avg!$A$1:$Y$151</definedName>
    <definedName name="_xlnm._FilterDatabase" localSheetId="1" hidden="1">clean!$A$1:$M$437</definedName>
    <definedName name="_xlnm._FilterDatabase" localSheetId="8" hidden="1">'pred X, share NF'!$A$1:$G$151</definedName>
    <definedName name="_xlnm._FilterDatabase" localSheetId="3" hidden="1">X!$A$1:$Z$151</definedName>
    <definedName name="_xlnm._FilterDatabase" localSheetId="5" hidden="1">'X numbers only'!$A$1:$Y$151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3" i="9" l="1"/>
  <c r="AA4" i="9"/>
  <c r="AA5" i="9"/>
  <c r="AA6" i="9"/>
  <c r="AA7" i="9"/>
  <c r="AA8" i="9"/>
  <c r="AA9" i="9"/>
  <c r="AA10" i="9"/>
  <c r="AA11" i="9"/>
  <c r="AA12" i="9"/>
  <c r="AA13" i="9"/>
  <c r="AA14" i="9"/>
  <c r="AA15" i="9"/>
  <c r="AA16" i="9"/>
  <c r="AA17" i="9"/>
  <c r="AA18" i="9"/>
  <c r="AA19" i="9"/>
  <c r="AA20" i="9"/>
  <c r="AA21" i="9"/>
  <c r="AA22" i="9"/>
  <c r="AA23" i="9"/>
  <c r="AA24" i="9"/>
  <c r="AA25" i="9"/>
  <c r="AA26" i="9"/>
  <c r="AA27" i="9"/>
  <c r="AA28" i="9"/>
  <c r="AA29" i="9"/>
  <c r="AA30" i="9"/>
  <c r="AA31" i="9"/>
  <c r="AA32" i="9"/>
  <c r="AA33" i="9"/>
  <c r="AA34" i="9"/>
  <c r="AA35" i="9"/>
  <c r="AA36" i="9"/>
  <c r="AA37" i="9"/>
  <c r="AA38" i="9"/>
  <c r="AA39" i="9"/>
  <c r="AA40" i="9"/>
  <c r="AA41" i="9"/>
  <c r="AA42" i="9"/>
  <c r="AA43" i="9"/>
  <c r="AA44" i="9"/>
  <c r="AA45" i="9"/>
  <c r="AA46" i="9"/>
  <c r="AA47" i="9"/>
  <c r="AA48" i="9"/>
  <c r="AA49" i="9"/>
  <c r="AA50" i="9"/>
  <c r="AA51" i="9"/>
  <c r="AA52" i="9"/>
  <c r="AA53" i="9"/>
  <c r="AA54" i="9"/>
  <c r="AA55" i="9"/>
  <c r="AA56" i="9"/>
  <c r="AA57" i="9"/>
  <c r="AA58" i="9"/>
  <c r="AA59" i="9"/>
  <c r="AA60" i="9"/>
  <c r="AA61" i="9"/>
  <c r="AA62" i="9"/>
  <c r="AA63" i="9"/>
  <c r="AA64" i="9"/>
  <c r="AA65" i="9"/>
  <c r="AA66" i="9"/>
  <c r="AA67" i="9"/>
  <c r="AA68" i="9"/>
  <c r="AA69" i="9"/>
  <c r="AA70" i="9"/>
  <c r="AA71" i="9"/>
  <c r="AA72" i="9"/>
  <c r="AA73" i="9"/>
  <c r="AA74" i="9"/>
  <c r="AA75" i="9"/>
  <c r="AA76" i="9"/>
  <c r="AA77" i="9"/>
  <c r="AA78" i="9"/>
  <c r="AA79" i="9"/>
  <c r="AA80" i="9"/>
  <c r="AA81" i="9"/>
  <c r="AA82" i="9"/>
  <c r="AA83" i="9"/>
  <c r="AA84" i="9"/>
  <c r="AA85" i="9"/>
  <c r="AA86" i="9"/>
  <c r="AA87" i="9"/>
  <c r="AA88" i="9"/>
  <c r="AA89" i="9"/>
  <c r="AA90" i="9"/>
  <c r="AA91" i="9"/>
  <c r="AA92" i="9"/>
  <c r="AA93" i="9"/>
  <c r="AA94" i="9"/>
  <c r="AA95" i="9"/>
  <c r="AA96" i="9"/>
  <c r="AA97" i="9"/>
  <c r="AA98" i="9"/>
  <c r="AA99" i="9"/>
  <c r="AA100" i="9"/>
  <c r="AA101" i="9"/>
  <c r="AA102" i="9"/>
  <c r="AA103" i="9"/>
  <c r="AA104" i="9"/>
  <c r="AA105" i="9"/>
  <c r="AA106" i="9"/>
  <c r="AA107" i="9"/>
  <c r="AA108" i="9"/>
  <c r="AA109" i="9"/>
  <c r="AA110" i="9"/>
  <c r="AA111" i="9"/>
  <c r="AA112" i="9"/>
  <c r="AA113" i="9"/>
  <c r="AA114" i="9"/>
  <c r="AA115" i="9"/>
  <c r="AA116" i="9"/>
  <c r="AA117" i="9"/>
  <c r="AA118" i="9"/>
  <c r="AA119" i="9"/>
  <c r="AA120" i="9"/>
  <c r="AA121" i="9"/>
  <c r="AA122" i="9"/>
  <c r="AA123" i="9"/>
  <c r="AA124" i="9"/>
  <c r="AA125" i="9"/>
  <c r="AA126" i="9"/>
  <c r="AA127" i="9"/>
  <c r="AA128" i="9"/>
  <c r="AA129" i="9"/>
  <c r="AA130" i="9"/>
  <c r="AA131" i="9"/>
  <c r="AA132" i="9"/>
  <c r="AA133" i="9"/>
  <c r="AA134" i="9"/>
  <c r="AA135" i="9"/>
  <c r="AA136" i="9"/>
  <c r="AA137" i="9"/>
  <c r="AA138" i="9"/>
  <c r="AA139" i="9"/>
  <c r="AA140" i="9"/>
  <c r="AA141" i="9"/>
  <c r="AA142" i="9"/>
  <c r="AA143" i="9"/>
  <c r="AA144" i="9"/>
  <c r="AA145" i="9"/>
  <c r="AA146" i="9"/>
  <c r="AA147" i="9"/>
  <c r="AA148" i="9"/>
  <c r="AA149" i="9"/>
  <c r="AA150" i="9"/>
  <c r="AA151" i="9"/>
  <c r="AA2" i="9"/>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2" i="9"/>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2" i="2"/>
  <c r="S10" i="2"/>
  <c r="S42" i="2"/>
  <c r="S50" i="2"/>
  <c r="S58" i="2"/>
  <c r="S66" i="2"/>
  <c r="S74" i="2"/>
  <c r="S82" i="2"/>
  <c r="S98" i="2"/>
  <c r="S114" i="2"/>
  <c r="S130" i="2"/>
  <c r="V3" i="11"/>
  <c r="V4" i="11"/>
  <c r="V5" i="11"/>
  <c r="V6" i="11"/>
  <c r="V7" i="11"/>
  <c r="V8" i="11"/>
  <c r="V9" i="11"/>
  <c r="V10" i="11"/>
  <c r="V11" i="11"/>
  <c r="V12" i="11"/>
  <c r="V13" i="11"/>
  <c r="V14" i="11"/>
  <c r="V15" i="11"/>
  <c r="V16" i="11"/>
  <c r="V17" i="11"/>
  <c r="V18" i="11"/>
  <c r="V19" i="11"/>
  <c r="V20" i="11"/>
  <c r="V21" i="11"/>
  <c r="V22" i="11"/>
  <c r="V23" i="11"/>
  <c r="V24" i="11"/>
  <c r="V25" i="11"/>
  <c r="V26" i="11"/>
  <c r="V27" i="11"/>
  <c r="V28" i="11"/>
  <c r="V29" i="11"/>
  <c r="V30" i="11"/>
  <c r="V31" i="11"/>
  <c r="V32" i="11"/>
  <c r="V33" i="11"/>
  <c r="V34" i="11"/>
  <c r="V35" i="11"/>
  <c r="V36" i="11"/>
  <c r="V37" i="11"/>
  <c r="V38" i="11"/>
  <c r="V39" i="11"/>
  <c r="V40" i="11"/>
  <c r="V41" i="11"/>
  <c r="V42" i="11"/>
  <c r="V43" i="11"/>
  <c r="V44" i="11"/>
  <c r="V45" i="11"/>
  <c r="V46" i="11"/>
  <c r="V47" i="11"/>
  <c r="V48" i="11"/>
  <c r="V49" i="11"/>
  <c r="V50" i="11"/>
  <c r="V51" i="11"/>
  <c r="V52" i="11"/>
  <c r="V53" i="11"/>
  <c r="V54" i="11"/>
  <c r="V55" i="11"/>
  <c r="V56" i="11"/>
  <c r="V57" i="11"/>
  <c r="V58" i="11"/>
  <c r="V59" i="11"/>
  <c r="V60" i="11"/>
  <c r="V61" i="11"/>
  <c r="V62" i="11"/>
  <c r="V63" i="11"/>
  <c r="V64" i="11"/>
  <c r="V65" i="11"/>
  <c r="V66" i="11"/>
  <c r="V67" i="11"/>
  <c r="V68" i="11"/>
  <c r="V69" i="11"/>
  <c r="V70" i="11"/>
  <c r="V71" i="11"/>
  <c r="V72" i="11"/>
  <c r="V73" i="11"/>
  <c r="V74" i="11"/>
  <c r="V75" i="11"/>
  <c r="V76" i="11"/>
  <c r="V77" i="11"/>
  <c r="V78" i="11"/>
  <c r="V79" i="11"/>
  <c r="V80" i="11"/>
  <c r="V81" i="11"/>
  <c r="V82" i="11"/>
  <c r="V83" i="11"/>
  <c r="V84" i="11"/>
  <c r="V85" i="11"/>
  <c r="V86" i="11"/>
  <c r="V87" i="11"/>
  <c r="V88" i="11"/>
  <c r="V89" i="11"/>
  <c r="V90" i="11"/>
  <c r="V91" i="11"/>
  <c r="V92" i="11"/>
  <c r="V93" i="11"/>
  <c r="V94" i="11"/>
  <c r="V95" i="11"/>
  <c r="V96" i="11"/>
  <c r="V97" i="11"/>
  <c r="V98" i="11"/>
  <c r="V99" i="11"/>
  <c r="V100" i="11"/>
  <c r="V101" i="11"/>
  <c r="V102" i="11"/>
  <c r="V103" i="11"/>
  <c r="V104" i="11"/>
  <c r="V105" i="11"/>
  <c r="V106" i="11"/>
  <c r="V107" i="11"/>
  <c r="V108" i="11"/>
  <c r="V109" i="11"/>
  <c r="V110" i="11"/>
  <c r="V111" i="11"/>
  <c r="V112" i="11"/>
  <c r="V113" i="11"/>
  <c r="V114" i="11"/>
  <c r="V115" i="11"/>
  <c r="V116" i="11"/>
  <c r="V117" i="11"/>
  <c r="V118" i="11"/>
  <c r="V119" i="11"/>
  <c r="V120" i="11"/>
  <c r="V121" i="11"/>
  <c r="V122" i="11"/>
  <c r="V123" i="11"/>
  <c r="V124" i="11"/>
  <c r="V125" i="11"/>
  <c r="V126" i="11"/>
  <c r="V127" i="11"/>
  <c r="V128" i="11"/>
  <c r="V129" i="11"/>
  <c r="V130" i="11"/>
  <c r="V131" i="11"/>
  <c r="V132" i="11"/>
  <c r="V133" i="11"/>
  <c r="V134" i="11"/>
  <c r="V135" i="11"/>
  <c r="V136" i="11"/>
  <c r="V137" i="11"/>
  <c r="V138" i="11"/>
  <c r="V139" i="11"/>
  <c r="V140" i="11"/>
  <c r="V141" i="11"/>
  <c r="V142" i="11"/>
  <c r="V143" i="11"/>
  <c r="V144" i="11"/>
  <c r="V145" i="11"/>
  <c r="V146" i="11"/>
  <c r="V147" i="11"/>
  <c r="V148" i="11"/>
  <c r="V149" i="11"/>
  <c r="V150" i="11"/>
  <c r="V151" i="11"/>
  <c r="V2" i="11"/>
  <c r="W3" i="11"/>
  <c r="W4" i="11"/>
  <c r="W5" i="11"/>
  <c r="W6" i="11"/>
  <c r="W7" i="11"/>
  <c r="W8"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W54" i="11"/>
  <c r="W55" i="11"/>
  <c r="W56" i="11"/>
  <c r="W57" i="11"/>
  <c r="W58" i="11"/>
  <c r="W59" i="11"/>
  <c r="W60" i="11"/>
  <c r="W61" i="11"/>
  <c r="W62" i="11"/>
  <c r="W63" i="11"/>
  <c r="W64" i="11"/>
  <c r="W65" i="11"/>
  <c r="W66" i="11"/>
  <c r="W67" i="11"/>
  <c r="W68" i="11"/>
  <c r="W69" i="11"/>
  <c r="W70" i="11"/>
  <c r="W71" i="11"/>
  <c r="W72" i="11"/>
  <c r="W73" i="11"/>
  <c r="W74" i="11"/>
  <c r="W75" i="11"/>
  <c r="W76" i="11"/>
  <c r="W77" i="11"/>
  <c r="W78" i="11"/>
  <c r="W79" i="11"/>
  <c r="W80" i="11"/>
  <c r="W81" i="11"/>
  <c r="W82" i="11"/>
  <c r="W83" i="11"/>
  <c r="W84" i="11"/>
  <c r="W85" i="11"/>
  <c r="W86" i="11"/>
  <c r="W87" i="11"/>
  <c r="W88" i="11"/>
  <c r="W89" i="11"/>
  <c r="W90" i="11"/>
  <c r="W91" i="11"/>
  <c r="W92" i="11"/>
  <c r="W93" i="11"/>
  <c r="W94" i="11"/>
  <c r="W95" i="11"/>
  <c r="W96" i="11"/>
  <c r="W97" i="11"/>
  <c r="W98" i="11"/>
  <c r="W99" i="11"/>
  <c r="W100" i="11"/>
  <c r="W101" i="11"/>
  <c r="W102" i="11"/>
  <c r="W103" i="11"/>
  <c r="W104" i="11"/>
  <c r="W105" i="11"/>
  <c r="W106" i="11"/>
  <c r="W107" i="11"/>
  <c r="W108" i="11"/>
  <c r="W109" i="11"/>
  <c r="W110" i="11"/>
  <c r="W111" i="11"/>
  <c r="W112" i="11"/>
  <c r="W113" i="11"/>
  <c r="W114" i="11"/>
  <c r="W115" i="11"/>
  <c r="W116" i="11"/>
  <c r="W117" i="11"/>
  <c r="W118" i="11"/>
  <c r="W119" i="11"/>
  <c r="W120" i="11"/>
  <c r="W121" i="11"/>
  <c r="W122" i="11"/>
  <c r="W123" i="11"/>
  <c r="W124" i="11"/>
  <c r="W125" i="11"/>
  <c r="W126" i="11"/>
  <c r="W127" i="11"/>
  <c r="W128" i="11"/>
  <c r="W129" i="11"/>
  <c r="W130" i="11"/>
  <c r="W131" i="11"/>
  <c r="W132" i="11"/>
  <c r="W133" i="11"/>
  <c r="W134" i="11"/>
  <c r="W135" i="11"/>
  <c r="W136" i="11"/>
  <c r="W137" i="11"/>
  <c r="W138" i="11"/>
  <c r="W139" i="11"/>
  <c r="W140" i="11"/>
  <c r="W141" i="11"/>
  <c r="W142" i="11"/>
  <c r="W143" i="11"/>
  <c r="W144" i="11"/>
  <c r="W145" i="11"/>
  <c r="W146" i="11"/>
  <c r="W147" i="11"/>
  <c r="W148" i="11"/>
  <c r="W149" i="11"/>
  <c r="W150" i="11"/>
  <c r="W151" i="11"/>
  <c r="W2" i="11"/>
  <c r="H3" i="15"/>
  <c r="H4" i="15"/>
  <c r="H5" i="15"/>
  <c r="H6" i="15"/>
  <c r="H7" i="15"/>
  <c r="H8" i="15"/>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H78" i="15"/>
  <c r="H79" i="15"/>
  <c r="H80" i="15"/>
  <c r="H81" i="15"/>
  <c r="H82" i="15"/>
  <c r="H83" i="15"/>
  <c r="H84" i="15"/>
  <c r="H85" i="15"/>
  <c r="H86" i="15"/>
  <c r="H87" i="15"/>
  <c r="H88" i="15"/>
  <c r="H89" i="15"/>
  <c r="H90" i="15"/>
  <c r="H91" i="15"/>
  <c r="H92" i="15"/>
  <c r="H93" i="15"/>
  <c r="H94" i="15"/>
  <c r="H95" i="15"/>
  <c r="H96" i="15"/>
  <c r="H97" i="15"/>
  <c r="H98" i="15"/>
  <c r="H99" i="15"/>
  <c r="H100" i="15"/>
  <c r="H101" i="15"/>
  <c r="H102" i="15"/>
  <c r="H103" i="15"/>
  <c r="H104" i="15"/>
  <c r="H105" i="15"/>
  <c r="H106" i="15"/>
  <c r="H107" i="15"/>
  <c r="H108" i="15"/>
  <c r="H109" i="15"/>
  <c r="H110" i="15"/>
  <c r="H111" i="15"/>
  <c r="H112" i="15"/>
  <c r="H113" i="15"/>
  <c r="H114" i="15"/>
  <c r="H115" i="15"/>
  <c r="H116" i="15"/>
  <c r="H117" i="15"/>
  <c r="H118" i="15"/>
  <c r="H119" i="15"/>
  <c r="H120" i="15"/>
  <c r="H121" i="15"/>
  <c r="H122" i="15"/>
  <c r="H123" i="15"/>
  <c r="H124" i="15"/>
  <c r="H125" i="15"/>
  <c r="H126" i="15"/>
  <c r="H127" i="15"/>
  <c r="H128" i="15"/>
  <c r="H129" i="15"/>
  <c r="H130" i="15"/>
  <c r="H131" i="15"/>
  <c r="H132" i="15"/>
  <c r="H133" i="15"/>
  <c r="H134" i="15"/>
  <c r="H135" i="15"/>
  <c r="H136" i="15"/>
  <c r="H137" i="15"/>
  <c r="H138" i="15"/>
  <c r="H139" i="15"/>
  <c r="H140" i="15"/>
  <c r="H141" i="15"/>
  <c r="H142" i="15"/>
  <c r="H143" i="15"/>
  <c r="H144" i="15"/>
  <c r="H145" i="15"/>
  <c r="H146" i="15"/>
  <c r="H147" i="15"/>
  <c r="H148" i="15"/>
  <c r="H149" i="15"/>
  <c r="H150" i="15"/>
  <c r="H151" i="15"/>
  <c r="H2" i="15"/>
  <c r="R57" i="15"/>
  <c r="R56" i="15"/>
  <c r="R55" i="15"/>
  <c r="R54" i="15"/>
  <c r="R53" i="15"/>
  <c r="R52" i="15"/>
  <c r="R51" i="15"/>
  <c r="R50" i="15"/>
  <c r="R49" i="15"/>
  <c r="R48" i="15"/>
  <c r="Q57" i="15"/>
  <c r="Q56" i="15"/>
  <c r="Q55" i="15"/>
  <c r="Q54" i="15"/>
  <c r="Q53" i="15"/>
  <c r="Q52" i="15"/>
  <c r="Q51" i="15"/>
  <c r="Q50" i="15"/>
  <c r="Q49" i="15"/>
  <c r="Q48" i="15"/>
  <c r="G150" i="15"/>
  <c r="G149" i="15"/>
  <c r="G148" i="15"/>
  <c r="G147" i="15"/>
  <c r="G146" i="15"/>
  <c r="G145" i="15"/>
  <c r="G144" i="15"/>
  <c r="G143" i="15"/>
  <c r="G142" i="15"/>
  <c r="G141" i="15"/>
  <c r="G140" i="15"/>
  <c r="G139" i="15"/>
  <c r="G138" i="15"/>
  <c r="G137" i="15"/>
  <c r="G136" i="15"/>
  <c r="G135" i="15"/>
  <c r="G134" i="15"/>
  <c r="G133" i="15"/>
  <c r="G132" i="15"/>
  <c r="G131" i="15"/>
  <c r="G130" i="15"/>
  <c r="G129" i="15"/>
  <c r="G128" i="15"/>
  <c r="G127" i="15"/>
  <c r="G126" i="15"/>
  <c r="G125" i="15"/>
  <c r="G124" i="15"/>
  <c r="G123" i="15"/>
  <c r="G122" i="15"/>
  <c r="G121" i="15"/>
  <c r="G120" i="15"/>
  <c r="G119" i="15"/>
  <c r="G118" i="15"/>
  <c r="G117" i="15"/>
  <c r="G116" i="15"/>
  <c r="G115" i="15"/>
  <c r="G114" i="15"/>
  <c r="G113" i="15"/>
  <c r="G112" i="15"/>
  <c r="G111" i="15"/>
  <c r="G110" i="15"/>
  <c r="G109" i="15"/>
  <c r="G108" i="15"/>
  <c r="G107" i="15"/>
  <c r="G106" i="15"/>
  <c r="G105" i="15"/>
  <c r="G104" i="15"/>
  <c r="G103" i="15"/>
  <c r="G102" i="15"/>
  <c r="G101" i="15"/>
  <c r="G100" i="15"/>
  <c r="G99" i="15"/>
  <c r="G98" i="15"/>
  <c r="G97" i="15"/>
  <c r="G96" i="15"/>
  <c r="G95" i="15"/>
  <c r="G94" i="15"/>
  <c r="G93" i="15"/>
  <c r="G92" i="15"/>
  <c r="G91" i="15"/>
  <c r="G90" i="15"/>
  <c r="G89" i="15"/>
  <c r="G88" i="15"/>
  <c r="G87" i="15"/>
  <c r="G86" i="15"/>
  <c r="G85" i="15"/>
  <c r="G84" i="15"/>
  <c r="G83" i="15"/>
  <c r="G82" i="15"/>
  <c r="G81" i="15"/>
  <c r="G80" i="15"/>
  <c r="G79" i="15"/>
  <c r="G78" i="15"/>
  <c r="G77" i="15"/>
  <c r="G76" i="15"/>
  <c r="G75" i="15"/>
  <c r="G74" i="15"/>
  <c r="G73" i="15"/>
  <c r="G72" i="15"/>
  <c r="G71" i="15"/>
  <c r="G70" i="15"/>
  <c r="G69" i="15"/>
  <c r="G68" i="15"/>
  <c r="G67" i="15"/>
  <c r="G66" i="15"/>
  <c r="G65" i="15"/>
  <c r="G64" i="15"/>
  <c r="G63" i="15"/>
  <c r="G62" i="15"/>
  <c r="G61" i="15"/>
  <c r="G60" i="15"/>
  <c r="G59" i="15"/>
  <c r="G58" i="15"/>
  <c r="G57" i="15"/>
  <c r="G56" i="15"/>
  <c r="G55" i="15"/>
  <c r="G54" i="15"/>
  <c r="G53" i="15"/>
  <c r="G52" i="15"/>
  <c r="G51" i="15"/>
  <c r="G50" i="15"/>
  <c r="G49" i="15"/>
  <c r="G48" i="15"/>
  <c r="G47" i="15"/>
  <c r="G46" i="15"/>
  <c r="G45" i="15"/>
  <c r="G44" i="15"/>
  <c r="G43" i="15"/>
  <c r="G42" i="15"/>
  <c r="G41" i="15"/>
  <c r="G40" i="15"/>
  <c r="G39" i="15"/>
  <c r="G38" i="15"/>
  <c r="G37" i="15"/>
  <c r="G36" i="15"/>
  <c r="G35" i="15"/>
  <c r="G34" i="15"/>
  <c r="G33" i="15"/>
  <c r="G32" i="15"/>
  <c r="G31" i="15"/>
  <c r="G30" i="15"/>
  <c r="G29" i="15"/>
  <c r="G28" i="15"/>
  <c r="G27" i="15"/>
  <c r="G26" i="15"/>
  <c r="G25" i="15"/>
  <c r="G24" i="15"/>
  <c r="G23" i="15"/>
  <c r="G22" i="15"/>
  <c r="G21" i="15"/>
  <c r="G20" i="15"/>
  <c r="G19" i="15"/>
  <c r="G18" i="15"/>
  <c r="G17" i="15"/>
  <c r="G16" i="15"/>
  <c r="G15" i="15"/>
  <c r="G14" i="15"/>
  <c r="G13" i="15"/>
  <c r="G12" i="15"/>
  <c r="G11" i="15"/>
  <c r="G10" i="15"/>
  <c r="G9" i="15"/>
  <c r="G8" i="15"/>
  <c r="G7" i="15"/>
  <c r="G6" i="15"/>
  <c r="G5" i="15"/>
  <c r="G4" i="15"/>
  <c r="G3" i="15"/>
  <c r="G2" i="15"/>
  <c r="G151" i="15"/>
  <c r="F150" i="15"/>
  <c r="F149" i="15"/>
  <c r="F148" i="15"/>
  <c r="F147" i="15"/>
  <c r="F146" i="15"/>
  <c r="F145" i="15"/>
  <c r="F144" i="15"/>
  <c r="F143" i="15"/>
  <c r="F142" i="15"/>
  <c r="F141" i="15"/>
  <c r="F140" i="15"/>
  <c r="F139" i="15"/>
  <c r="F138" i="15"/>
  <c r="F137" i="15"/>
  <c r="F136" i="15"/>
  <c r="F135" i="15"/>
  <c r="F134" i="15"/>
  <c r="F133" i="15"/>
  <c r="F132" i="15"/>
  <c r="F131" i="15"/>
  <c r="F130" i="15"/>
  <c r="F129" i="15"/>
  <c r="F128" i="15"/>
  <c r="F127" i="15"/>
  <c r="F126" i="15"/>
  <c r="F125" i="15"/>
  <c r="F124" i="15"/>
  <c r="F123" i="15"/>
  <c r="F122" i="15"/>
  <c r="F121" i="15"/>
  <c r="F120" i="15"/>
  <c r="F119" i="15"/>
  <c r="F118" i="15"/>
  <c r="F117" i="15"/>
  <c r="F116" i="15"/>
  <c r="F115" i="15"/>
  <c r="F114" i="15"/>
  <c r="F113" i="15"/>
  <c r="F112" i="15"/>
  <c r="F111" i="15"/>
  <c r="F110" i="15"/>
  <c r="F109" i="15"/>
  <c r="F108" i="15"/>
  <c r="F107" i="15"/>
  <c r="F106" i="15"/>
  <c r="F105" i="15"/>
  <c r="F104" i="15"/>
  <c r="F103" i="15"/>
  <c r="F102" i="15"/>
  <c r="F101" i="15"/>
  <c r="F100" i="15"/>
  <c r="F99" i="15"/>
  <c r="F98" i="15"/>
  <c r="F97" i="15"/>
  <c r="F96" i="15"/>
  <c r="F95" i="15"/>
  <c r="F94" i="15"/>
  <c r="F93" i="15"/>
  <c r="F92" i="15"/>
  <c r="F91" i="15"/>
  <c r="F90" i="15"/>
  <c r="F89" i="15"/>
  <c r="F88" i="15"/>
  <c r="F87" i="15"/>
  <c r="F86" i="15"/>
  <c r="F85" i="15"/>
  <c r="F84" i="15"/>
  <c r="F83" i="15"/>
  <c r="F82" i="15"/>
  <c r="F81" i="15"/>
  <c r="F80" i="15"/>
  <c r="F79" i="15"/>
  <c r="F78" i="15"/>
  <c r="F77" i="15"/>
  <c r="F76" i="15"/>
  <c r="F75" i="15"/>
  <c r="F74" i="15"/>
  <c r="F73" i="15"/>
  <c r="F72" i="15"/>
  <c r="F71" i="15"/>
  <c r="F70" i="15"/>
  <c r="F69" i="15"/>
  <c r="F68" i="15"/>
  <c r="F67" i="15"/>
  <c r="F66" i="15"/>
  <c r="F65" i="15"/>
  <c r="F64" i="15"/>
  <c r="F63" i="15"/>
  <c r="F62" i="15"/>
  <c r="F61" i="15"/>
  <c r="F60" i="15"/>
  <c r="F59" i="15"/>
  <c r="F58" i="15"/>
  <c r="F57" i="15"/>
  <c r="F56" i="15"/>
  <c r="F55" i="15"/>
  <c r="F54" i="15"/>
  <c r="F53" i="15"/>
  <c r="F52" i="15"/>
  <c r="F51" i="15"/>
  <c r="F50" i="15"/>
  <c r="F49" i="15"/>
  <c r="F48" i="15"/>
  <c r="F47" i="15"/>
  <c r="F46" i="15"/>
  <c r="F45" i="15"/>
  <c r="F44" i="15"/>
  <c r="F43" i="15"/>
  <c r="F42" i="15"/>
  <c r="F41" i="15"/>
  <c r="F40" i="15"/>
  <c r="F39" i="15"/>
  <c r="F38" i="15"/>
  <c r="F37" i="15"/>
  <c r="F36" i="15"/>
  <c r="F35" i="15"/>
  <c r="F34" i="15"/>
  <c r="F33" i="15"/>
  <c r="F32" i="15"/>
  <c r="F31" i="15"/>
  <c r="F30" i="15"/>
  <c r="F29" i="15"/>
  <c r="F28" i="15"/>
  <c r="F27" i="15"/>
  <c r="F26" i="15"/>
  <c r="F25" i="15"/>
  <c r="F24" i="15"/>
  <c r="F23" i="15"/>
  <c r="F22" i="15"/>
  <c r="F21" i="15"/>
  <c r="F20" i="15"/>
  <c r="F19" i="15"/>
  <c r="F18" i="15"/>
  <c r="F17" i="15"/>
  <c r="F16" i="15"/>
  <c r="F15" i="15"/>
  <c r="F14" i="15"/>
  <c r="F13" i="15"/>
  <c r="F12" i="15"/>
  <c r="F11" i="15"/>
  <c r="F10" i="15"/>
  <c r="F9" i="15"/>
  <c r="F8" i="15"/>
  <c r="F7" i="15"/>
  <c r="F6" i="15"/>
  <c r="F5" i="15"/>
  <c r="F4" i="15"/>
  <c r="F3" i="15"/>
  <c r="F2" i="15"/>
  <c r="F151" i="15"/>
  <c r="E150" i="15"/>
  <c r="E149" i="15"/>
  <c r="E148" i="15"/>
  <c r="E147" i="15"/>
  <c r="E146" i="15"/>
  <c r="E145" i="15"/>
  <c r="E144" i="15"/>
  <c r="E143" i="15"/>
  <c r="E142" i="15"/>
  <c r="E141" i="15"/>
  <c r="E140" i="15"/>
  <c r="E139" i="15"/>
  <c r="E138" i="15"/>
  <c r="E137" i="15"/>
  <c r="E136" i="15"/>
  <c r="E135" i="15"/>
  <c r="E134" i="15"/>
  <c r="E133" i="15"/>
  <c r="E132" i="15"/>
  <c r="E131" i="15"/>
  <c r="E130" i="15"/>
  <c r="E129" i="15"/>
  <c r="E128" i="15"/>
  <c r="E127" i="15"/>
  <c r="E126" i="15"/>
  <c r="E125" i="15"/>
  <c r="E124" i="15"/>
  <c r="E123" i="15"/>
  <c r="E122" i="15"/>
  <c r="E121" i="15"/>
  <c r="E120" i="15"/>
  <c r="E119" i="15"/>
  <c r="E118" i="15"/>
  <c r="E117" i="15"/>
  <c r="E116" i="15"/>
  <c r="E115" i="15"/>
  <c r="E114" i="15"/>
  <c r="E113" i="15"/>
  <c r="E112" i="15"/>
  <c r="E111" i="15"/>
  <c r="E110" i="15"/>
  <c r="E109" i="15"/>
  <c r="E108" i="15"/>
  <c r="E107" i="15"/>
  <c r="E106" i="15"/>
  <c r="E105" i="15"/>
  <c r="E104" i="15"/>
  <c r="E103" i="15"/>
  <c r="E102" i="15"/>
  <c r="E101" i="15"/>
  <c r="E100" i="15"/>
  <c r="E99" i="15"/>
  <c r="E98" i="15"/>
  <c r="E97" i="15"/>
  <c r="E96" i="15"/>
  <c r="E95" i="15"/>
  <c r="E94" i="15"/>
  <c r="E93" i="15"/>
  <c r="E92" i="15"/>
  <c r="E91" i="15"/>
  <c r="E90" i="15"/>
  <c r="E89" i="15"/>
  <c r="E88" i="15"/>
  <c r="E87" i="15"/>
  <c r="E86" i="15"/>
  <c r="E85" i="15"/>
  <c r="E84" i="15"/>
  <c r="E83" i="15"/>
  <c r="E82" i="15"/>
  <c r="E81" i="15"/>
  <c r="E80" i="15"/>
  <c r="E79" i="15"/>
  <c r="E78" i="15"/>
  <c r="E77" i="15"/>
  <c r="E76" i="15"/>
  <c r="E75" i="15"/>
  <c r="E74" i="15"/>
  <c r="E73" i="15"/>
  <c r="E72" i="15"/>
  <c r="E71" i="15"/>
  <c r="E70" i="15"/>
  <c r="E69" i="15"/>
  <c r="E68" i="15"/>
  <c r="E67" i="15"/>
  <c r="E66" i="15"/>
  <c r="E65" i="15"/>
  <c r="E64" i="15"/>
  <c r="E63" i="15"/>
  <c r="E62" i="15"/>
  <c r="E61" i="15"/>
  <c r="E60" i="15"/>
  <c r="E59" i="15"/>
  <c r="E58" i="15"/>
  <c r="E57" i="15"/>
  <c r="E56" i="15"/>
  <c r="E55" i="15"/>
  <c r="E54" i="15"/>
  <c r="E53" i="15"/>
  <c r="E52" i="15"/>
  <c r="E51" i="15"/>
  <c r="E50" i="15"/>
  <c r="E49" i="15"/>
  <c r="E48" i="15"/>
  <c r="E47" i="15"/>
  <c r="E46" i="15"/>
  <c r="E45" i="15"/>
  <c r="E44" i="15"/>
  <c r="E43" i="15"/>
  <c r="E42"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3" i="15"/>
  <c r="E2" i="15"/>
  <c r="E151" i="15"/>
  <c r="D2" i="12"/>
  <c r="E2" i="12"/>
  <c r="F2" i="12"/>
  <c r="G2" i="12"/>
  <c r="H2" i="12"/>
  <c r="I2" i="12"/>
  <c r="J2" i="12"/>
  <c r="K2" i="12"/>
  <c r="Y2" i="12" s="1"/>
  <c r="L2" i="12"/>
  <c r="M2" i="12"/>
  <c r="N2" i="12"/>
  <c r="O2" i="12"/>
  <c r="P2" i="12"/>
  <c r="Q2" i="12"/>
  <c r="R2" i="12"/>
  <c r="S2" i="12"/>
  <c r="T2" i="12"/>
  <c r="U2" i="12"/>
  <c r="V2" i="12"/>
  <c r="W2" i="12"/>
  <c r="X2" i="12"/>
  <c r="D3" i="12"/>
  <c r="E3" i="12"/>
  <c r="F3" i="12"/>
  <c r="G3" i="12"/>
  <c r="H3" i="12"/>
  <c r="I3" i="12"/>
  <c r="J3" i="12"/>
  <c r="K3" i="12"/>
  <c r="Y3" i="12" s="1"/>
  <c r="L3" i="12"/>
  <c r="M3" i="12"/>
  <c r="N3" i="12"/>
  <c r="O3" i="12"/>
  <c r="P3" i="12"/>
  <c r="Q3" i="12"/>
  <c r="R3" i="12"/>
  <c r="S3" i="12"/>
  <c r="T3" i="12"/>
  <c r="U3" i="12"/>
  <c r="V3" i="12"/>
  <c r="W3" i="12"/>
  <c r="X3" i="12"/>
  <c r="D4" i="12"/>
  <c r="E4" i="12"/>
  <c r="F4" i="12"/>
  <c r="G4" i="12"/>
  <c r="H4" i="12"/>
  <c r="I4" i="12"/>
  <c r="J4" i="12"/>
  <c r="K4" i="12"/>
  <c r="Y4" i="12" s="1"/>
  <c r="L4" i="12"/>
  <c r="M4" i="12"/>
  <c r="N4" i="12"/>
  <c r="O4" i="12"/>
  <c r="P4" i="12"/>
  <c r="Q4" i="12"/>
  <c r="R4" i="12"/>
  <c r="S4" i="12"/>
  <c r="T4" i="12"/>
  <c r="U4" i="12"/>
  <c r="V4" i="12"/>
  <c r="W4" i="12"/>
  <c r="X4" i="12"/>
  <c r="D5" i="12"/>
  <c r="E5" i="12"/>
  <c r="F5" i="12"/>
  <c r="G5" i="12"/>
  <c r="H5" i="12"/>
  <c r="I5" i="12"/>
  <c r="J5" i="12"/>
  <c r="K5" i="12"/>
  <c r="Y5" i="12" s="1"/>
  <c r="L5" i="12"/>
  <c r="M5" i="12"/>
  <c r="N5" i="12"/>
  <c r="O5" i="12"/>
  <c r="P5" i="12"/>
  <c r="Q5" i="12"/>
  <c r="R5" i="12"/>
  <c r="S5" i="12"/>
  <c r="T5" i="12"/>
  <c r="U5" i="12"/>
  <c r="V5" i="12"/>
  <c r="W5" i="12"/>
  <c r="X5" i="12"/>
  <c r="D6" i="12"/>
  <c r="E6" i="12"/>
  <c r="F6" i="12"/>
  <c r="G6" i="12"/>
  <c r="H6" i="12"/>
  <c r="I6" i="12"/>
  <c r="J6" i="12"/>
  <c r="K6" i="12"/>
  <c r="Y6" i="12" s="1"/>
  <c r="L6" i="12"/>
  <c r="M6" i="12"/>
  <c r="N6" i="12"/>
  <c r="O6" i="12"/>
  <c r="P6" i="12"/>
  <c r="Q6" i="12"/>
  <c r="R6" i="12"/>
  <c r="S6" i="12"/>
  <c r="T6" i="12"/>
  <c r="U6" i="12"/>
  <c r="V6" i="12"/>
  <c r="W6" i="12"/>
  <c r="X6" i="12"/>
  <c r="D7" i="12"/>
  <c r="E7" i="12"/>
  <c r="F7" i="12"/>
  <c r="G7" i="12"/>
  <c r="H7" i="12"/>
  <c r="I7" i="12"/>
  <c r="J7" i="12"/>
  <c r="K7" i="12"/>
  <c r="Y7" i="12" s="1"/>
  <c r="L7" i="12"/>
  <c r="M7" i="12"/>
  <c r="N7" i="12"/>
  <c r="O7" i="12"/>
  <c r="P7" i="12"/>
  <c r="Q7" i="12"/>
  <c r="R7" i="12"/>
  <c r="S7" i="12"/>
  <c r="T7" i="12"/>
  <c r="U7" i="12"/>
  <c r="V7" i="12"/>
  <c r="W7" i="12"/>
  <c r="X7" i="12"/>
  <c r="D8" i="12"/>
  <c r="E8" i="12"/>
  <c r="F8" i="12"/>
  <c r="G8" i="12"/>
  <c r="H8" i="12"/>
  <c r="I8" i="12"/>
  <c r="J8" i="12"/>
  <c r="K8" i="12"/>
  <c r="L8" i="12"/>
  <c r="M8" i="12"/>
  <c r="N8" i="12"/>
  <c r="O8" i="12"/>
  <c r="P8" i="12"/>
  <c r="Q8" i="12"/>
  <c r="R8" i="12"/>
  <c r="S8" i="12"/>
  <c r="T8" i="12"/>
  <c r="U8" i="12"/>
  <c r="V8" i="12"/>
  <c r="W8" i="12"/>
  <c r="X8" i="12"/>
  <c r="D9" i="12"/>
  <c r="E9" i="12"/>
  <c r="F9" i="12"/>
  <c r="G9" i="12"/>
  <c r="H9" i="12"/>
  <c r="I9" i="12"/>
  <c r="J9" i="12"/>
  <c r="K9" i="12"/>
  <c r="Y9" i="12" s="1"/>
  <c r="L9" i="12"/>
  <c r="M9" i="12"/>
  <c r="N9" i="12"/>
  <c r="O9" i="12"/>
  <c r="P9" i="12"/>
  <c r="Q9" i="12"/>
  <c r="R9" i="12"/>
  <c r="S9" i="12"/>
  <c r="T9" i="12"/>
  <c r="U9" i="12"/>
  <c r="V9" i="12"/>
  <c r="W9" i="12"/>
  <c r="X9" i="12"/>
  <c r="D10" i="12"/>
  <c r="E10" i="12"/>
  <c r="F10" i="12"/>
  <c r="G10" i="12"/>
  <c r="H10" i="12"/>
  <c r="I10" i="12"/>
  <c r="J10" i="12"/>
  <c r="K10" i="12"/>
  <c r="Y10" i="12" s="1"/>
  <c r="L10" i="12"/>
  <c r="M10" i="12"/>
  <c r="N10" i="12"/>
  <c r="O10" i="12"/>
  <c r="P10" i="12"/>
  <c r="Q10" i="12"/>
  <c r="R10" i="12"/>
  <c r="S10" i="12"/>
  <c r="T10" i="12"/>
  <c r="U10" i="12"/>
  <c r="V10" i="12"/>
  <c r="W10" i="12"/>
  <c r="X10" i="12"/>
  <c r="D11" i="12"/>
  <c r="E11" i="12"/>
  <c r="F11" i="12"/>
  <c r="G11" i="12"/>
  <c r="H11" i="12"/>
  <c r="I11" i="12"/>
  <c r="J11" i="12"/>
  <c r="K11" i="12"/>
  <c r="Y11" i="12" s="1"/>
  <c r="L11" i="12"/>
  <c r="M11" i="12"/>
  <c r="N11" i="12"/>
  <c r="O11" i="12"/>
  <c r="P11" i="12"/>
  <c r="Q11" i="12"/>
  <c r="R11" i="12"/>
  <c r="S11" i="12"/>
  <c r="T11" i="12"/>
  <c r="U11" i="12"/>
  <c r="V11" i="12"/>
  <c r="W11" i="12"/>
  <c r="X11" i="12"/>
  <c r="D12" i="12"/>
  <c r="E12" i="12"/>
  <c r="F12" i="12"/>
  <c r="G12" i="12"/>
  <c r="H12" i="12"/>
  <c r="I12" i="12"/>
  <c r="J12" i="12"/>
  <c r="K12" i="12"/>
  <c r="Y12" i="12" s="1"/>
  <c r="L12" i="12"/>
  <c r="M12" i="12"/>
  <c r="N12" i="12"/>
  <c r="O12" i="12"/>
  <c r="P12" i="12"/>
  <c r="Q12" i="12"/>
  <c r="R12" i="12"/>
  <c r="S12" i="12"/>
  <c r="T12" i="12"/>
  <c r="U12" i="12"/>
  <c r="V12" i="12"/>
  <c r="W12" i="12"/>
  <c r="X12" i="12"/>
  <c r="D13" i="12"/>
  <c r="E13" i="12"/>
  <c r="F13" i="12"/>
  <c r="G13" i="12"/>
  <c r="H13" i="12"/>
  <c r="I13" i="12"/>
  <c r="J13" i="12"/>
  <c r="K13" i="12"/>
  <c r="Y13" i="12" s="1"/>
  <c r="L13" i="12"/>
  <c r="M13" i="12"/>
  <c r="N13" i="12"/>
  <c r="O13" i="12"/>
  <c r="P13" i="12"/>
  <c r="Q13" i="12"/>
  <c r="R13" i="12"/>
  <c r="S13" i="12"/>
  <c r="T13" i="12"/>
  <c r="U13" i="12"/>
  <c r="V13" i="12"/>
  <c r="W13" i="12"/>
  <c r="X13" i="12"/>
  <c r="D14" i="12"/>
  <c r="E14" i="12"/>
  <c r="F14" i="12"/>
  <c r="G14" i="12"/>
  <c r="H14" i="12"/>
  <c r="I14" i="12"/>
  <c r="J14" i="12"/>
  <c r="K14" i="12"/>
  <c r="Y14" i="12" s="1"/>
  <c r="L14" i="12"/>
  <c r="M14" i="12"/>
  <c r="N14" i="12"/>
  <c r="O14" i="12"/>
  <c r="P14" i="12"/>
  <c r="Q14" i="12"/>
  <c r="R14" i="12"/>
  <c r="S14" i="12"/>
  <c r="T14" i="12"/>
  <c r="U14" i="12"/>
  <c r="V14" i="12"/>
  <c r="W14" i="12"/>
  <c r="X14" i="12"/>
  <c r="D15" i="12"/>
  <c r="E15" i="12"/>
  <c r="F15" i="12"/>
  <c r="G15" i="12"/>
  <c r="H15" i="12"/>
  <c r="I15" i="12"/>
  <c r="J15" i="12"/>
  <c r="K15" i="12"/>
  <c r="Y15" i="12" s="1"/>
  <c r="L15" i="12"/>
  <c r="M15" i="12"/>
  <c r="N15" i="12"/>
  <c r="O15" i="12"/>
  <c r="P15" i="12"/>
  <c r="Q15" i="12"/>
  <c r="R15" i="12"/>
  <c r="S15" i="12"/>
  <c r="T15" i="12"/>
  <c r="U15" i="12"/>
  <c r="V15" i="12"/>
  <c r="W15" i="12"/>
  <c r="X15" i="12"/>
  <c r="D16" i="12"/>
  <c r="E16" i="12"/>
  <c r="F16" i="12"/>
  <c r="G16" i="12"/>
  <c r="H16" i="12"/>
  <c r="I16" i="12"/>
  <c r="J16" i="12"/>
  <c r="K16" i="12"/>
  <c r="Y16" i="12" s="1"/>
  <c r="L16" i="12"/>
  <c r="M16" i="12"/>
  <c r="N16" i="12"/>
  <c r="O16" i="12"/>
  <c r="P16" i="12"/>
  <c r="Q16" i="12"/>
  <c r="R16" i="12"/>
  <c r="S16" i="12"/>
  <c r="T16" i="12"/>
  <c r="U16" i="12"/>
  <c r="V16" i="12"/>
  <c r="W16" i="12"/>
  <c r="X16" i="12"/>
  <c r="D17" i="12"/>
  <c r="E17" i="12"/>
  <c r="F17" i="12"/>
  <c r="G17" i="12"/>
  <c r="H17" i="12"/>
  <c r="I17" i="12"/>
  <c r="J17" i="12"/>
  <c r="K17" i="12"/>
  <c r="Y17" i="12" s="1"/>
  <c r="L17" i="12"/>
  <c r="M17" i="12"/>
  <c r="N17" i="12"/>
  <c r="O17" i="12"/>
  <c r="P17" i="12"/>
  <c r="Q17" i="12"/>
  <c r="R17" i="12"/>
  <c r="S17" i="12"/>
  <c r="T17" i="12"/>
  <c r="U17" i="12"/>
  <c r="W17" i="12"/>
  <c r="X17" i="12"/>
  <c r="D18" i="12"/>
  <c r="E18" i="12"/>
  <c r="F18" i="12"/>
  <c r="G18" i="12"/>
  <c r="H18" i="12"/>
  <c r="I18" i="12"/>
  <c r="J18" i="12"/>
  <c r="K18" i="12"/>
  <c r="Y18" i="12" s="1"/>
  <c r="L18" i="12"/>
  <c r="M18" i="12"/>
  <c r="N18" i="12"/>
  <c r="O18" i="12"/>
  <c r="P18" i="12"/>
  <c r="Q18" i="12"/>
  <c r="R18" i="12"/>
  <c r="S18" i="12"/>
  <c r="T18" i="12"/>
  <c r="U18" i="12"/>
  <c r="V18" i="12"/>
  <c r="W18" i="12"/>
  <c r="X18" i="12"/>
  <c r="D19" i="12"/>
  <c r="E19" i="12"/>
  <c r="F19" i="12"/>
  <c r="G19" i="12"/>
  <c r="H19" i="12"/>
  <c r="I19" i="12"/>
  <c r="J19" i="12"/>
  <c r="K19" i="12"/>
  <c r="Y19" i="12" s="1"/>
  <c r="L19" i="12"/>
  <c r="M19" i="12"/>
  <c r="N19" i="12"/>
  <c r="O19" i="12"/>
  <c r="P19" i="12"/>
  <c r="Q19" i="12"/>
  <c r="R19" i="12"/>
  <c r="S19" i="12"/>
  <c r="T19" i="12"/>
  <c r="U19" i="12"/>
  <c r="V19" i="12"/>
  <c r="W19" i="12"/>
  <c r="X19" i="12"/>
  <c r="D20" i="12"/>
  <c r="E20" i="12"/>
  <c r="F20" i="12"/>
  <c r="G20" i="12"/>
  <c r="H20" i="12"/>
  <c r="I20" i="12"/>
  <c r="J20" i="12"/>
  <c r="K20" i="12"/>
  <c r="Y20" i="12" s="1"/>
  <c r="L20" i="12"/>
  <c r="M20" i="12"/>
  <c r="N20" i="12"/>
  <c r="O20" i="12"/>
  <c r="P20" i="12"/>
  <c r="Q20" i="12"/>
  <c r="R20" i="12"/>
  <c r="S20" i="12"/>
  <c r="T20" i="12"/>
  <c r="U20" i="12"/>
  <c r="V20" i="12"/>
  <c r="W20" i="12"/>
  <c r="X20" i="12"/>
  <c r="D21" i="12"/>
  <c r="E21" i="12"/>
  <c r="F21" i="12"/>
  <c r="G21" i="12"/>
  <c r="H21" i="12"/>
  <c r="I21" i="12"/>
  <c r="J21" i="12"/>
  <c r="K21" i="12"/>
  <c r="Y21" i="12" s="1"/>
  <c r="L21" i="12"/>
  <c r="M21" i="12"/>
  <c r="N21" i="12"/>
  <c r="O21" i="12"/>
  <c r="P21" i="12"/>
  <c r="Q21" i="12"/>
  <c r="R21" i="12"/>
  <c r="S21" i="12"/>
  <c r="T21" i="12"/>
  <c r="U21" i="12"/>
  <c r="V21" i="12"/>
  <c r="W21" i="12"/>
  <c r="X21" i="12"/>
  <c r="D22" i="12"/>
  <c r="E22" i="12"/>
  <c r="F22" i="12"/>
  <c r="G22" i="12"/>
  <c r="H22" i="12"/>
  <c r="I22" i="12"/>
  <c r="J22" i="12"/>
  <c r="K22" i="12"/>
  <c r="Y22" i="12" s="1"/>
  <c r="L22" i="12"/>
  <c r="M22" i="12"/>
  <c r="N22" i="12"/>
  <c r="O22" i="12"/>
  <c r="P22" i="12"/>
  <c r="Q22" i="12"/>
  <c r="R22" i="12"/>
  <c r="S22" i="12"/>
  <c r="T22" i="12"/>
  <c r="U22" i="12"/>
  <c r="V22" i="12"/>
  <c r="W22" i="12"/>
  <c r="X22" i="12"/>
  <c r="D23" i="12"/>
  <c r="E23" i="12"/>
  <c r="F23" i="12"/>
  <c r="G23" i="12"/>
  <c r="H23" i="12"/>
  <c r="I23" i="12"/>
  <c r="J23" i="12"/>
  <c r="K23" i="12"/>
  <c r="Y23" i="12" s="1"/>
  <c r="L23" i="12"/>
  <c r="M23" i="12"/>
  <c r="N23" i="12"/>
  <c r="O23" i="12"/>
  <c r="P23" i="12"/>
  <c r="Q23" i="12"/>
  <c r="R23" i="12"/>
  <c r="S23" i="12"/>
  <c r="T23" i="12"/>
  <c r="U23" i="12"/>
  <c r="V23" i="12"/>
  <c r="W23" i="12"/>
  <c r="X23" i="12"/>
  <c r="D24" i="12"/>
  <c r="E24" i="12"/>
  <c r="F24" i="12"/>
  <c r="G24" i="12"/>
  <c r="H24" i="12"/>
  <c r="I24" i="12"/>
  <c r="J24" i="12"/>
  <c r="K24" i="12"/>
  <c r="Y24" i="12" s="1"/>
  <c r="L24" i="12"/>
  <c r="M24" i="12"/>
  <c r="N24" i="12"/>
  <c r="O24" i="12"/>
  <c r="P24" i="12"/>
  <c r="Q24" i="12"/>
  <c r="R24" i="12"/>
  <c r="S24" i="12"/>
  <c r="T24" i="12"/>
  <c r="U24" i="12"/>
  <c r="V24" i="12"/>
  <c r="W24" i="12"/>
  <c r="X24" i="12"/>
  <c r="D25" i="12"/>
  <c r="E25" i="12"/>
  <c r="F25" i="12"/>
  <c r="G25" i="12"/>
  <c r="H25" i="12"/>
  <c r="I25" i="12"/>
  <c r="J25" i="12"/>
  <c r="K25" i="12"/>
  <c r="Y25" i="12" s="1"/>
  <c r="L25" i="12"/>
  <c r="M25" i="12"/>
  <c r="N25" i="12"/>
  <c r="O25" i="12"/>
  <c r="P25" i="12"/>
  <c r="Q25" i="12"/>
  <c r="R25" i="12"/>
  <c r="S25" i="12"/>
  <c r="T25" i="12"/>
  <c r="U25" i="12"/>
  <c r="V25" i="12"/>
  <c r="W25" i="12"/>
  <c r="X25" i="12"/>
  <c r="D26" i="12"/>
  <c r="E26" i="12"/>
  <c r="F26" i="12"/>
  <c r="G26" i="12"/>
  <c r="H26" i="12"/>
  <c r="I26" i="12"/>
  <c r="J26" i="12"/>
  <c r="K26" i="12"/>
  <c r="L26" i="12"/>
  <c r="M26" i="12"/>
  <c r="N26" i="12"/>
  <c r="O26" i="12"/>
  <c r="P26" i="12"/>
  <c r="Q26" i="12"/>
  <c r="R26" i="12"/>
  <c r="S26" i="12"/>
  <c r="T26" i="12"/>
  <c r="U26" i="12"/>
  <c r="V26" i="12"/>
  <c r="W26" i="12"/>
  <c r="X26" i="12"/>
  <c r="D27" i="12"/>
  <c r="E27" i="12"/>
  <c r="F27" i="12"/>
  <c r="G27" i="12"/>
  <c r="H27" i="12"/>
  <c r="I27" i="12"/>
  <c r="J27" i="12"/>
  <c r="K27" i="12"/>
  <c r="Y27" i="12" s="1"/>
  <c r="L27" i="12"/>
  <c r="M27" i="12"/>
  <c r="N27" i="12"/>
  <c r="O27" i="12"/>
  <c r="P27" i="12"/>
  <c r="Q27" i="12"/>
  <c r="R27" i="12"/>
  <c r="S27" i="12"/>
  <c r="T27" i="12"/>
  <c r="U27" i="12"/>
  <c r="V27" i="12"/>
  <c r="W27" i="12"/>
  <c r="X27" i="12"/>
  <c r="D28" i="12"/>
  <c r="E28" i="12"/>
  <c r="F28" i="12"/>
  <c r="G28" i="12"/>
  <c r="H28" i="12"/>
  <c r="I28" i="12"/>
  <c r="J28" i="12"/>
  <c r="K28" i="12"/>
  <c r="Y28" i="12" s="1"/>
  <c r="L28" i="12"/>
  <c r="M28" i="12"/>
  <c r="N28" i="12"/>
  <c r="O28" i="12"/>
  <c r="P28" i="12"/>
  <c r="Q28" i="12"/>
  <c r="R28" i="12"/>
  <c r="S28" i="12"/>
  <c r="T28" i="12"/>
  <c r="U28" i="12"/>
  <c r="V28" i="12"/>
  <c r="W28" i="12"/>
  <c r="X28" i="12"/>
  <c r="D29" i="12"/>
  <c r="E29" i="12"/>
  <c r="F29" i="12"/>
  <c r="G29" i="12"/>
  <c r="H29" i="12"/>
  <c r="I29" i="12"/>
  <c r="J29" i="12"/>
  <c r="K29" i="12"/>
  <c r="Y29" i="12" s="1"/>
  <c r="L29" i="12"/>
  <c r="M29" i="12"/>
  <c r="N29" i="12"/>
  <c r="O29" i="12"/>
  <c r="P29" i="12"/>
  <c r="Q29" i="12"/>
  <c r="R29" i="12"/>
  <c r="S29" i="12"/>
  <c r="T29" i="12"/>
  <c r="U29" i="12"/>
  <c r="V29" i="12"/>
  <c r="W29" i="12"/>
  <c r="X29" i="12"/>
  <c r="D30" i="12"/>
  <c r="E30" i="12"/>
  <c r="F30" i="12"/>
  <c r="G30" i="12"/>
  <c r="H30" i="12"/>
  <c r="I30" i="12"/>
  <c r="J30" i="12"/>
  <c r="K30" i="12"/>
  <c r="Y30" i="12" s="1"/>
  <c r="L30" i="12"/>
  <c r="M30" i="12"/>
  <c r="N30" i="12"/>
  <c r="O30" i="12"/>
  <c r="P30" i="12"/>
  <c r="Q30" i="12"/>
  <c r="R30" i="12"/>
  <c r="S30" i="12"/>
  <c r="T30" i="12"/>
  <c r="U30" i="12"/>
  <c r="V30" i="12"/>
  <c r="W30" i="12"/>
  <c r="X30" i="12"/>
  <c r="D31" i="12"/>
  <c r="E31" i="12"/>
  <c r="F31" i="12"/>
  <c r="G31" i="12"/>
  <c r="H31" i="12"/>
  <c r="I31" i="12"/>
  <c r="J31" i="12"/>
  <c r="K31" i="12"/>
  <c r="Y31" i="12" s="1"/>
  <c r="L31" i="12"/>
  <c r="M31" i="12"/>
  <c r="N31" i="12"/>
  <c r="O31" i="12"/>
  <c r="P31" i="12"/>
  <c r="Q31" i="12"/>
  <c r="R31" i="12"/>
  <c r="S31" i="12"/>
  <c r="T31" i="12"/>
  <c r="U31" i="12"/>
  <c r="V31" i="12"/>
  <c r="W31" i="12"/>
  <c r="X31"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2" i="12"/>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2" i="9"/>
  <c r="U130" i="9"/>
  <c r="N40" i="9"/>
  <c r="N10" i="9"/>
  <c r="N102" i="9"/>
  <c r="F17" i="2"/>
  <c r="G17" i="2"/>
  <c r="H17" i="2"/>
  <c r="S17" i="2" s="1"/>
  <c r="I17" i="2"/>
  <c r="J17" i="2"/>
  <c r="K17" i="2"/>
  <c r="L17" i="2"/>
  <c r="M17" i="2"/>
  <c r="N17" i="2"/>
  <c r="O17" i="2"/>
  <c r="P17" i="2"/>
  <c r="Q17" i="2"/>
  <c r="R17" i="2"/>
  <c r="T17" i="2"/>
  <c r="V89" i="9" s="1"/>
  <c r="U17" i="2"/>
  <c r="X89" i="9" s="1"/>
  <c r="V17" i="2"/>
  <c r="Y89" i="9" s="1"/>
  <c r="W17" i="2"/>
  <c r="Z89" i="9" s="1"/>
  <c r="Y17" i="2"/>
  <c r="F21" i="2"/>
  <c r="G21" i="2"/>
  <c r="H21" i="2"/>
  <c r="S21" i="2" s="1"/>
  <c r="I21" i="2"/>
  <c r="K102" i="9" s="1"/>
  <c r="J21" i="2"/>
  <c r="K21" i="2"/>
  <c r="L21" i="2"/>
  <c r="M21" i="2"/>
  <c r="N21" i="2"/>
  <c r="S102" i="9" s="1"/>
  <c r="O21" i="2"/>
  <c r="P21" i="2"/>
  <c r="Q21" i="2"/>
  <c r="T102" i="9" s="1"/>
  <c r="R21" i="2"/>
  <c r="U102" i="9" s="1"/>
  <c r="T21" i="2"/>
  <c r="V102" i="9" s="1"/>
  <c r="U21" i="2"/>
  <c r="X102" i="9" s="1"/>
  <c r="V21" i="2"/>
  <c r="W21" i="2"/>
  <c r="Z102" i="9" s="1"/>
  <c r="Y21" i="2"/>
  <c r="F24" i="2"/>
  <c r="G24" i="2"/>
  <c r="H24" i="2"/>
  <c r="S24" i="2" s="1"/>
  <c r="I24" i="2"/>
  <c r="J24" i="2"/>
  <c r="K24" i="2"/>
  <c r="Q130" i="9" s="1"/>
  <c r="L24" i="2"/>
  <c r="M24" i="2"/>
  <c r="N24" i="2"/>
  <c r="O24" i="2"/>
  <c r="P24" i="2"/>
  <c r="Q24" i="2"/>
  <c r="R24" i="2"/>
  <c r="T24" i="2"/>
  <c r="U24" i="2"/>
  <c r="V24" i="2"/>
  <c r="Y130" i="9" s="1"/>
  <c r="W24" i="2"/>
  <c r="Z130" i="9" s="1"/>
  <c r="Y24" i="2"/>
  <c r="F28" i="2"/>
  <c r="G28" i="2"/>
  <c r="H28" i="2"/>
  <c r="S28" i="2" s="1"/>
  <c r="I28" i="2"/>
  <c r="K144" i="9" s="1"/>
  <c r="J28" i="2"/>
  <c r="K28" i="2"/>
  <c r="L28" i="2"/>
  <c r="M28" i="2"/>
  <c r="N28" i="2"/>
  <c r="S144" i="9" s="1"/>
  <c r="O28" i="2"/>
  <c r="P28" i="2"/>
  <c r="Q28" i="2"/>
  <c r="T144" i="9" s="1"/>
  <c r="R28" i="2"/>
  <c r="U144" i="9" s="1"/>
  <c r="T28" i="2"/>
  <c r="O144" i="9" s="1"/>
  <c r="U28" i="2"/>
  <c r="V28" i="2"/>
  <c r="W28" i="2"/>
  <c r="Y28" i="2"/>
  <c r="F31" i="2"/>
  <c r="G31" i="2"/>
  <c r="H31" i="2"/>
  <c r="Q151" i="9" s="1"/>
  <c r="I31" i="2"/>
  <c r="J31" i="2"/>
  <c r="K31" i="2"/>
  <c r="L31" i="2"/>
  <c r="M31" i="2"/>
  <c r="N31" i="2"/>
  <c r="O31" i="2"/>
  <c r="P31" i="2"/>
  <c r="Q31" i="2"/>
  <c r="R31" i="2"/>
  <c r="T31" i="2"/>
  <c r="V151" i="9" s="1"/>
  <c r="U31" i="2"/>
  <c r="X151" i="9" s="1"/>
  <c r="V31" i="2"/>
  <c r="Y151" i="9" s="1"/>
  <c r="W31" i="2"/>
  <c r="Z151" i="9" s="1"/>
  <c r="Y31" i="2"/>
  <c r="F10" i="2"/>
  <c r="G10" i="2"/>
  <c r="H10" i="2"/>
  <c r="I10" i="2"/>
  <c r="K47" i="9" s="1"/>
  <c r="J10" i="2"/>
  <c r="K10" i="2"/>
  <c r="L10" i="2"/>
  <c r="M10" i="2"/>
  <c r="N10" i="2"/>
  <c r="S47" i="9" s="1"/>
  <c r="O10" i="2"/>
  <c r="P10" i="2"/>
  <c r="Q10" i="2"/>
  <c r="T47" i="9" s="1"/>
  <c r="R10" i="2"/>
  <c r="U47" i="9" s="1"/>
  <c r="T10" i="2"/>
  <c r="U10" i="2"/>
  <c r="V10" i="2"/>
  <c r="W10" i="2"/>
  <c r="Y10" i="2"/>
  <c r="F12" i="2"/>
  <c r="G12" i="2"/>
  <c r="H12" i="2"/>
  <c r="S12" i="2" s="1"/>
  <c r="I12" i="2"/>
  <c r="J12" i="2"/>
  <c r="K12" i="2"/>
  <c r="Q54" i="9" s="1"/>
  <c r="L12" i="2"/>
  <c r="M12" i="2"/>
  <c r="N12" i="2"/>
  <c r="O12" i="2"/>
  <c r="P12" i="2"/>
  <c r="Q12" i="2"/>
  <c r="R12" i="2"/>
  <c r="T12" i="2"/>
  <c r="U12" i="2"/>
  <c r="V12" i="2"/>
  <c r="Y54" i="9" s="1"/>
  <c r="W12" i="2"/>
  <c r="Z54" i="9" s="1"/>
  <c r="Y12" i="2"/>
  <c r="F16" i="2"/>
  <c r="G16" i="2"/>
  <c r="H16" i="2"/>
  <c r="S16" i="2" s="1"/>
  <c r="I16" i="2"/>
  <c r="K83" i="9" s="1"/>
  <c r="J16" i="2"/>
  <c r="K16" i="2"/>
  <c r="L16" i="2"/>
  <c r="M16" i="2"/>
  <c r="N16" i="2"/>
  <c r="S83" i="9" s="1"/>
  <c r="O16" i="2"/>
  <c r="P16" i="2"/>
  <c r="Q16" i="2"/>
  <c r="T83" i="9" s="1"/>
  <c r="R16" i="2"/>
  <c r="U83" i="9" s="1"/>
  <c r="T16" i="2"/>
  <c r="O83" i="9" s="1"/>
  <c r="U16" i="2"/>
  <c r="V16" i="2"/>
  <c r="W16" i="2"/>
  <c r="Y16" i="2"/>
  <c r="F22" i="2"/>
  <c r="G22" i="2"/>
  <c r="H22" i="2"/>
  <c r="S22" i="2" s="1"/>
  <c r="I22" i="2"/>
  <c r="J22" i="2"/>
  <c r="K22" i="2"/>
  <c r="L22" i="2"/>
  <c r="M22" i="2"/>
  <c r="N22" i="2"/>
  <c r="O22" i="2"/>
  <c r="P22" i="2"/>
  <c r="Q22" i="2"/>
  <c r="R22" i="2"/>
  <c r="T22" i="2"/>
  <c r="V115" i="9" s="1"/>
  <c r="U22" i="2"/>
  <c r="X115" i="9" s="1"/>
  <c r="V22" i="2"/>
  <c r="Y115" i="9" s="1"/>
  <c r="W22" i="2"/>
  <c r="Z115" i="9" s="1"/>
  <c r="Y22" i="2"/>
  <c r="F25" i="2"/>
  <c r="G25" i="2"/>
  <c r="H25" i="2"/>
  <c r="S25" i="2" s="1"/>
  <c r="I25" i="2"/>
  <c r="K124" i="9" s="1"/>
  <c r="J25" i="2"/>
  <c r="K25" i="2"/>
  <c r="L25" i="2"/>
  <c r="M25" i="2"/>
  <c r="N25" i="2"/>
  <c r="S124" i="9" s="1"/>
  <c r="O25" i="2"/>
  <c r="P25" i="2"/>
  <c r="Q25" i="2"/>
  <c r="T124" i="9" s="1"/>
  <c r="R25" i="2"/>
  <c r="U124" i="9" s="1"/>
  <c r="T25" i="2"/>
  <c r="O124" i="9" s="1"/>
  <c r="U25" i="2"/>
  <c r="V25" i="2"/>
  <c r="Y124" i="9" s="1"/>
  <c r="W25" i="2"/>
  <c r="Z124" i="9" s="1"/>
  <c r="Y25" i="2"/>
  <c r="F30" i="2"/>
  <c r="G30" i="2"/>
  <c r="H30" i="2"/>
  <c r="S30" i="2" s="1"/>
  <c r="I30" i="2"/>
  <c r="J30" i="2"/>
  <c r="K30" i="2"/>
  <c r="Q149" i="9" s="1"/>
  <c r="L30" i="2"/>
  <c r="M30" i="2"/>
  <c r="N30" i="2"/>
  <c r="O30" i="2"/>
  <c r="P30" i="2"/>
  <c r="Q30" i="2"/>
  <c r="R30" i="2"/>
  <c r="T30" i="2"/>
  <c r="U30" i="2"/>
  <c r="V30" i="2"/>
  <c r="Y149" i="9" s="1"/>
  <c r="W30" i="2"/>
  <c r="Z149" i="9" s="1"/>
  <c r="Y30" i="2"/>
  <c r="F7" i="2"/>
  <c r="G7" i="2"/>
  <c r="H7" i="2"/>
  <c r="S7" i="2" s="1"/>
  <c r="I7" i="2"/>
  <c r="K39" i="9" s="1"/>
  <c r="J7" i="2"/>
  <c r="K7" i="2"/>
  <c r="L7" i="2"/>
  <c r="M7" i="2"/>
  <c r="N7" i="2"/>
  <c r="S39" i="9" s="1"/>
  <c r="O7" i="2"/>
  <c r="P7" i="2"/>
  <c r="Q7" i="2"/>
  <c r="R7" i="2"/>
  <c r="U39" i="9" s="1"/>
  <c r="T7" i="2"/>
  <c r="O39" i="9" s="1"/>
  <c r="U7" i="2"/>
  <c r="V7" i="2"/>
  <c r="W7" i="2"/>
  <c r="Y7" i="2"/>
  <c r="F11" i="2"/>
  <c r="G11" i="2"/>
  <c r="H11" i="2"/>
  <c r="S11" i="2" s="1"/>
  <c r="I11" i="2"/>
  <c r="J11" i="2"/>
  <c r="K11" i="2"/>
  <c r="L11" i="2"/>
  <c r="M11" i="2"/>
  <c r="N11" i="2"/>
  <c r="O11" i="2"/>
  <c r="P11" i="2"/>
  <c r="Q11" i="2"/>
  <c r="R11" i="2"/>
  <c r="T11" i="2"/>
  <c r="V31" i="9" s="1"/>
  <c r="U11" i="2"/>
  <c r="X31" i="9" s="1"/>
  <c r="V11" i="2"/>
  <c r="Y31" i="9" s="1"/>
  <c r="W11" i="2"/>
  <c r="Z31" i="9" s="1"/>
  <c r="Y11" i="2"/>
  <c r="F13" i="2"/>
  <c r="G13" i="2"/>
  <c r="H13" i="2"/>
  <c r="S13" i="2" s="1"/>
  <c r="I13" i="2"/>
  <c r="K57" i="9" s="1"/>
  <c r="J13" i="2"/>
  <c r="K13" i="2"/>
  <c r="L13" i="2"/>
  <c r="M13" i="2"/>
  <c r="N13" i="2"/>
  <c r="S57" i="9" s="1"/>
  <c r="O13" i="2"/>
  <c r="P13" i="2"/>
  <c r="Q13" i="2"/>
  <c r="T57" i="9" s="1"/>
  <c r="R13" i="2"/>
  <c r="U57" i="9" s="1"/>
  <c r="T13" i="2"/>
  <c r="O57" i="9" s="1"/>
  <c r="U13" i="2"/>
  <c r="V13" i="2"/>
  <c r="W13" i="2"/>
  <c r="Z57" i="9" s="1"/>
  <c r="Y13" i="2"/>
  <c r="F18" i="2"/>
  <c r="G18" i="2"/>
  <c r="H18" i="2"/>
  <c r="I18" i="2"/>
  <c r="J18" i="2"/>
  <c r="K18" i="2"/>
  <c r="Q73" i="9" s="1"/>
  <c r="L18" i="2"/>
  <c r="M18" i="2"/>
  <c r="N18" i="2"/>
  <c r="O18" i="2"/>
  <c r="P18" i="2"/>
  <c r="Q18" i="2"/>
  <c r="R18" i="2"/>
  <c r="T18" i="2"/>
  <c r="U18" i="2"/>
  <c r="V18" i="2"/>
  <c r="Y73" i="9" s="1"/>
  <c r="W18" i="2"/>
  <c r="Z73" i="9" s="1"/>
  <c r="Y18" i="2"/>
  <c r="F23" i="2"/>
  <c r="G23" i="2"/>
  <c r="H23" i="2"/>
  <c r="S23" i="2" s="1"/>
  <c r="I23" i="2"/>
  <c r="K99" i="9" s="1"/>
  <c r="J23" i="2"/>
  <c r="K23" i="2"/>
  <c r="L23" i="2"/>
  <c r="M23" i="2"/>
  <c r="N23" i="2"/>
  <c r="S99" i="9" s="1"/>
  <c r="O23" i="2"/>
  <c r="P23" i="2"/>
  <c r="Q23" i="2"/>
  <c r="R23" i="2"/>
  <c r="U99" i="9" s="1"/>
  <c r="T23" i="2"/>
  <c r="O99" i="9" s="1"/>
  <c r="U23" i="2"/>
  <c r="V23" i="2"/>
  <c r="W23" i="2"/>
  <c r="Y23" i="2"/>
  <c r="F29" i="2"/>
  <c r="G29" i="2"/>
  <c r="H29" i="2"/>
  <c r="S29" i="2" s="1"/>
  <c r="I29" i="2"/>
  <c r="J29" i="2"/>
  <c r="K29" i="2"/>
  <c r="L29" i="2"/>
  <c r="M29" i="2"/>
  <c r="N29" i="2"/>
  <c r="O29" i="2"/>
  <c r="P29" i="2"/>
  <c r="Q29" i="2"/>
  <c r="R29" i="2"/>
  <c r="T29" i="2"/>
  <c r="V137" i="9" s="1"/>
  <c r="U29" i="2"/>
  <c r="X137" i="9" s="1"/>
  <c r="V29" i="2"/>
  <c r="Y137" i="9" s="1"/>
  <c r="W29" i="2"/>
  <c r="Z137" i="9" s="1"/>
  <c r="Y29" i="2"/>
  <c r="F3" i="2"/>
  <c r="G3" i="2"/>
  <c r="H3" i="2"/>
  <c r="S3" i="2" s="1"/>
  <c r="I3" i="2"/>
  <c r="K6" i="9" s="1"/>
  <c r="J3" i="2"/>
  <c r="K3" i="2"/>
  <c r="L3" i="2"/>
  <c r="M3" i="2"/>
  <c r="N3" i="2"/>
  <c r="S6" i="9" s="1"/>
  <c r="O3" i="2"/>
  <c r="P3" i="2"/>
  <c r="Q3" i="2"/>
  <c r="T6" i="9" s="1"/>
  <c r="R3" i="2"/>
  <c r="U6" i="9" s="1"/>
  <c r="T3" i="2"/>
  <c r="O6" i="9" s="1"/>
  <c r="U3" i="2"/>
  <c r="V3" i="2"/>
  <c r="W3" i="2"/>
  <c r="Z6" i="9" s="1"/>
  <c r="Y3" i="2"/>
  <c r="F2" i="2"/>
  <c r="G2" i="2"/>
  <c r="H2" i="2"/>
  <c r="S2" i="2" s="1"/>
  <c r="I2" i="2"/>
  <c r="J2" i="2"/>
  <c r="K2" i="2"/>
  <c r="Q3" i="9" s="1"/>
  <c r="L2" i="2"/>
  <c r="M2" i="2"/>
  <c r="N2" i="2"/>
  <c r="O2" i="2"/>
  <c r="P2" i="2"/>
  <c r="Q2" i="2"/>
  <c r="R2" i="2"/>
  <c r="T2" i="2"/>
  <c r="U2" i="2"/>
  <c r="V2" i="2"/>
  <c r="Y3" i="9" s="1"/>
  <c r="W2" i="2"/>
  <c r="Z3" i="9" s="1"/>
  <c r="Y2" i="2"/>
  <c r="F5" i="2"/>
  <c r="G5" i="2"/>
  <c r="H5" i="2"/>
  <c r="S5" i="2" s="1"/>
  <c r="I5" i="2"/>
  <c r="K58" i="9" s="1"/>
  <c r="J5" i="2"/>
  <c r="K5" i="2"/>
  <c r="L5" i="2"/>
  <c r="M5" i="2"/>
  <c r="N5" i="2"/>
  <c r="S58" i="9" s="1"/>
  <c r="O5" i="2"/>
  <c r="P5" i="2"/>
  <c r="Q5" i="2"/>
  <c r="R5" i="2"/>
  <c r="U58" i="9" s="1"/>
  <c r="T5" i="2"/>
  <c r="O58" i="9" s="1"/>
  <c r="U5" i="2"/>
  <c r="V5" i="2"/>
  <c r="W5" i="2"/>
  <c r="N58" i="9" s="1"/>
  <c r="Y5" i="2"/>
  <c r="F4" i="2"/>
  <c r="G4" i="2"/>
  <c r="H4" i="2"/>
  <c r="S4" i="2" s="1"/>
  <c r="I4" i="2"/>
  <c r="J4" i="2"/>
  <c r="K4" i="2"/>
  <c r="L4" i="2"/>
  <c r="M4" i="2"/>
  <c r="N4" i="2"/>
  <c r="O4" i="2"/>
  <c r="P4" i="2"/>
  <c r="Q4" i="2"/>
  <c r="R4" i="2"/>
  <c r="T4" i="2"/>
  <c r="V7" i="9" s="1"/>
  <c r="U4" i="2"/>
  <c r="X7" i="9" s="1"/>
  <c r="V4" i="2"/>
  <c r="Y7" i="9" s="1"/>
  <c r="W4" i="2"/>
  <c r="Z7" i="9" s="1"/>
  <c r="Y4" i="2"/>
  <c r="F8" i="2"/>
  <c r="G8" i="2"/>
  <c r="H8" i="2"/>
  <c r="S8" i="2" s="1"/>
  <c r="I8" i="2"/>
  <c r="K69" i="9" s="1"/>
  <c r="J8" i="2"/>
  <c r="K8" i="2"/>
  <c r="L8" i="2"/>
  <c r="M8" i="2"/>
  <c r="N8" i="2"/>
  <c r="S69" i="9" s="1"/>
  <c r="O8" i="2"/>
  <c r="P8" i="2"/>
  <c r="Q8" i="2"/>
  <c r="T69" i="9" s="1"/>
  <c r="R8" i="2"/>
  <c r="U69" i="9" s="1"/>
  <c r="T8" i="2"/>
  <c r="U8" i="2"/>
  <c r="V8" i="2"/>
  <c r="W8" i="2"/>
  <c r="Y8" i="2"/>
  <c r="F6" i="2"/>
  <c r="G6" i="2"/>
  <c r="H6" i="2"/>
  <c r="S6" i="2" s="1"/>
  <c r="I6" i="2"/>
  <c r="J6" i="2"/>
  <c r="K6" i="2"/>
  <c r="Q15" i="9" s="1"/>
  <c r="L6" i="2"/>
  <c r="M6" i="2"/>
  <c r="N6" i="2"/>
  <c r="O6" i="2"/>
  <c r="P6" i="2"/>
  <c r="Q6" i="2"/>
  <c r="R6" i="2"/>
  <c r="T6" i="2"/>
  <c r="U6" i="2"/>
  <c r="V6" i="2"/>
  <c r="Y15" i="9" s="1"/>
  <c r="W6" i="2"/>
  <c r="Z15" i="9" s="1"/>
  <c r="Y6" i="2"/>
  <c r="F15" i="2"/>
  <c r="G15" i="2"/>
  <c r="H15" i="2"/>
  <c r="S15" i="2" s="1"/>
  <c r="I15" i="2"/>
  <c r="K105" i="9" s="1"/>
  <c r="J15" i="2"/>
  <c r="K15" i="2"/>
  <c r="L15" i="2"/>
  <c r="M15" i="2"/>
  <c r="N15" i="2"/>
  <c r="S105" i="9" s="1"/>
  <c r="O15" i="2"/>
  <c r="P15" i="2"/>
  <c r="Q15" i="2"/>
  <c r="R15" i="2"/>
  <c r="U105" i="9" s="1"/>
  <c r="T15" i="2"/>
  <c r="O105" i="9" s="1"/>
  <c r="U15" i="2"/>
  <c r="V15" i="2"/>
  <c r="W15" i="2"/>
  <c r="Y15" i="2"/>
  <c r="F14" i="2"/>
  <c r="G14" i="2"/>
  <c r="H14" i="2"/>
  <c r="S14" i="2" s="1"/>
  <c r="I14" i="2"/>
  <c r="J14" i="2"/>
  <c r="K14" i="2"/>
  <c r="L14" i="2"/>
  <c r="M14" i="2"/>
  <c r="N14" i="2"/>
  <c r="O14" i="2"/>
  <c r="P14" i="2"/>
  <c r="Q14" i="2"/>
  <c r="R14" i="2"/>
  <c r="T14" i="2"/>
  <c r="V32" i="9" s="1"/>
  <c r="U14" i="2"/>
  <c r="X32" i="9" s="1"/>
  <c r="V14" i="2"/>
  <c r="Y32" i="9" s="1"/>
  <c r="W14" i="2"/>
  <c r="Z32" i="9" s="1"/>
  <c r="Y14" i="2"/>
  <c r="F19" i="2"/>
  <c r="G19" i="2"/>
  <c r="H19" i="2"/>
  <c r="S19" i="2" s="1"/>
  <c r="I19" i="2"/>
  <c r="K118" i="9" s="1"/>
  <c r="J19" i="2"/>
  <c r="K19" i="2"/>
  <c r="L19" i="2"/>
  <c r="M19" i="2"/>
  <c r="N19" i="2"/>
  <c r="S118" i="9" s="1"/>
  <c r="O19" i="2"/>
  <c r="P19" i="2"/>
  <c r="Q19" i="2"/>
  <c r="T118" i="9" s="1"/>
  <c r="R19" i="2"/>
  <c r="U118" i="9" s="1"/>
  <c r="T19" i="2"/>
  <c r="O118" i="9" s="1"/>
  <c r="U19" i="2"/>
  <c r="V19" i="2"/>
  <c r="W19" i="2"/>
  <c r="Z118" i="9" s="1"/>
  <c r="Y19" i="2"/>
  <c r="F20" i="2"/>
  <c r="G20" i="2"/>
  <c r="H20" i="2"/>
  <c r="S20" i="2" s="1"/>
  <c r="I20" i="2"/>
  <c r="J20" i="2"/>
  <c r="K20" i="2"/>
  <c r="Q38" i="9" s="1"/>
  <c r="L20" i="2"/>
  <c r="M20" i="2"/>
  <c r="N20" i="2"/>
  <c r="O20" i="2"/>
  <c r="P20" i="2"/>
  <c r="Q20" i="2"/>
  <c r="R20" i="2"/>
  <c r="T20" i="2"/>
  <c r="U20" i="2"/>
  <c r="V20" i="2"/>
  <c r="Y38" i="9" s="1"/>
  <c r="W20" i="2"/>
  <c r="Z38" i="9" s="1"/>
  <c r="Y20" i="2"/>
  <c r="F26" i="2"/>
  <c r="G26" i="2"/>
  <c r="H26" i="2"/>
  <c r="I26" i="2"/>
  <c r="K138" i="9" s="1"/>
  <c r="J26" i="2"/>
  <c r="K26" i="2"/>
  <c r="L26" i="2"/>
  <c r="M26" i="2"/>
  <c r="N26" i="2"/>
  <c r="S138" i="9" s="1"/>
  <c r="O26" i="2"/>
  <c r="P26" i="2"/>
  <c r="Q26" i="2"/>
  <c r="T138" i="9" s="1"/>
  <c r="R26" i="2"/>
  <c r="U138" i="9" s="1"/>
  <c r="T26" i="2"/>
  <c r="O138" i="9" s="1"/>
  <c r="U26" i="2"/>
  <c r="V26" i="2"/>
  <c r="W26" i="2"/>
  <c r="Y26" i="2"/>
  <c r="F27" i="2"/>
  <c r="G27" i="2"/>
  <c r="H27" i="2"/>
  <c r="S27" i="2" s="1"/>
  <c r="I27" i="2"/>
  <c r="J27" i="2"/>
  <c r="K27" i="2"/>
  <c r="L27" i="2"/>
  <c r="M27" i="2"/>
  <c r="N27" i="2"/>
  <c r="O27" i="2"/>
  <c r="P27" i="2"/>
  <c r="Q27" i="2"/>
  <c r="R27" i="2"/>
  <c r="T27" i="2"/>
  <c r="V72" i="9" s="1"/>
  <c r="U27" i="2"/>
  <c r="X72" i="9" s="1"/>
  <c r="V27" i="2"/>
  <c r="Y72" i="9" s="1"/>
  <c r="W27" i="2"/>
  <c r="N72" i="9" s="1"/>
  <c r="Y27" i="2"/>
  <c r="F42" i="2"/>
  <c r="G42" i="2"/>
  <c r="H42" i="2"/>
  <c r="I42" i="2"/>
  <c r="K81" i="9" s="1"/>
  <c r="J42" i="2"/>
  <c r="K42" i="2"/>
  <c r="L42" i="2"/>
  <c r="M42" i="2"/>
  <c r="N42" i="2"/>
  <c r="S81" i="9" s="1"/>
  <c r="O42" i="2"/>
  <c r="P42" i="2"/>
  <c r="Q42" i="2"/>
  <c r="T81" i="9" s="1"/>
  <c r="R42" i="2"/>
  <c r="U81" i="9" s="1"/>
  <c r="T42" i="2"/>
  <c r="U42" i="2"/>
  <c r="V42" i="2"/>
  <c r="W42" i="2"/>
  <c r="Y42" i="2"/>
  <c r="F46" i="2"/>
  <c r="G46" i="2"/>
  <c r="H46" i="2"/>
  <c r="S46" i="2" s="1"/>
  <c r="I46" i="2"/>
  <c r="J46" i="2"/>
  <c r="K46" i="2"/>
  <c r="Q97" i="9" s="1"/>
  <c r="L46" i="2"/>
  <c r="M46" i="2"/>
  <c r="N46" i="2"/>
  <c r="O46" i="2"/>
  <c r="P46" i="2"/>
  <c r="Q46" i="2"/>
  <c r="R46" i="2"/>
  <c r="T46" i="2"/>
  <c r="U46" i="2"/>
  <c r="V46" i="2"/>
  <c r="Y97" i="9" s="1"/>
  <c r="W46" i="2"/>
  <c r="Z97" i="9" s="1"/>
  <c r="Y46" i="2"/>
  <c r="F51" i="2"/>
  <c r="G51" i="2"/>
  <c r="H51" i="2"/>
  <c r="S51" i="2" s="1"/>
  <c r="I51" i="2"/>
  <c r="K120" i="9" s="1"/>
  <c r="J51" i="2"/>
  <c r="K51" i="2"/>
  <c r="L51" i="2"/>
  <c r="M51" i="2"/>
  <c r="N51" i="2"/>
  <c r="S120" i="9" s="1"/>
  <c r="O51" i="2"/>
  <c r="P51" i="2"/>
  <c r="Q51" i="2"/>
  <c r="T120" i="9" s="1"/>
  <c r="R51" i="2"/>
  <c r="U120" i="9" s="1"/>
  <c r="T51" i="2"/>
  <c r="U51" i="2"/>
  <c r="V51" i="2"/>
  <c r="W51" i="2"/>
  <c r="Y51" i="2"/>
  <c r="F54" i="2"/>
  <c r="G54" i="2"/>
  <c r="H54" i="2"/>
  <c r="S54" i="2" s="1"/>
  <c r="I54" i="2"/>
  <c r="J54" i="2"/>
  <c r="K54" i="2"/>
  <c r="L54" i="2"/>
  <c r="M54" i="2"/>
  <c r="N54" i="2"/>
  <c r="O54" i="2"/>
  <c r="P54" i="2"/>
  <c r="Q54" i="2"/>
  <c r="R54" i="2"/>
  <c r="T54" i="2"/>
  <c r="U54" i="2"/>
  <c r="X139" i="9" s="1"/>
  <c r="V54" i="2"/>
  <c r="Y139" i="9" s="1"/>
  <c r="W54" i="2"/>
  <c r="Y54" i="2"/>
  <c r="F58" i="2"/>
  <c r="G58" i="2"/>
  <c r="H58" i="2"/>
  <c r="I58" i="2"/>
  <c r="K143" i="9" s="1"/>
  <c r="J58" i="2"/>
  <c r="K58" i="2"/>
  <c r="L58" i="2"/>
  <c r="M58" i="2"/>
  <c r="N58" i="2"/>
  <c r="S143" i="9" s="1"/>
  <c r="O58" i="2"/>
  <c r="P58" i="2"/>
  <c r="Q58" i="2"/>
  <c r="T143" i="9" s="1"/>
  <c r="R58" i="2"/>
  <c r="U143" i="9" s="1"/>
  <c r="T58" i="2"/>
  <c r="U58" i="2"/>
  <c r="V58" i="2"/>
  <c r="W58" i="2"/>
  <c r="Y58" i="2"/>
  <c r="F61" i="2"/>
  <c r="G61" i="2"/>
  <c r="H61" i="2"/>
  <c r="S61" i="2" s="1"/>
  <c r="I61" i="2"/>
  <c r="J61" i="2"/>
  <c r="K61" i="2"/>
  <c r="Q150" i="9" s="1"/>
  <c r="L61" i="2"/>
  <c r="M61" i="2"/>
  <c r="N61" i="2"/>
  <c r="O61" i="2"/>
  <c r="P61" i="2"/>
  <c r="Q61" i="2"/>
  <c r="R61" i="2"/>
  <c r="T61" i="2"/>
  <c r="U61" i="2"/>
  <c r="V61" i="2"/>
  <c r="Y150" i="9" s="1"/>
  <c r="W61" i="2"/>
  <c r="Y61" i="2"/>
  <c r="F41" i="2"/>
  <c r="G41" i="2"/>
  <c r="H41" i="2"/>
  <c r="S41" i="2" s="1"/>
  <c r="I41" i="2"/>
  <c r="K76" i="9" s="1"/>
  <c r="J41" i="2"/>
  <c r="K41" i="2"/>
  <c r="L41" i="2"/>
  <c r="M41" i="2"/>
  <c r="N41" i="2"/>
  <c r="S76" i="9" s="1"/>
  <c r="O41" i="2"/>
  <c r="P41" i="2"/>
  <c r="Q41" i="2"/>
  <c r="T76" i="9" s="1"/>
  <c r="R41" i="2"/>
  <c r="U76" i="9" s="1"/>
  <c r="T41" i="2"/>
  <c r="O76" i="9" s="1"/>
  <c r="U41" i="2"/>
  <c r="V41" i="2"/>
  <c r="W41" i="2"/>
  <c r="Y41" i="2"/>
  <c r="F43" i="2"/>
  <c r="G43" i="2"/>
  <c r="H43" i="2"/>
  <c r="S43" i="2" s="1"/>
  <c r="I43" i="2"/>
  <c r="J43" i="2"/>
  <c r="K43" i="2"/>
  <c r="L43" i="2"/>
  <c r="M43" i="2"/>
  <c r="N43" i="2"/>
  <c r="O43" i="2"/>
  <c r="P43" i="2"/>
  <c r="Q43" i="2"/>
  <c r="R43" i="2"/>
  <c r="T43" i="2"/>
  <c r="V75" i="9" s="1"/>
  <c r="U43" i="2"/>
  <c r="X75" i="9" s="1"/>
  <c r="V43" i="2"/>
  <c r="M75" i="9" s="1"/>
  <c r="W43" i="2"/>
  <c r="N75" i="9" s="1"/>
  <c r="Y43" i="2"/>
  <c r="F47" i="2"/>
  <c r="G47" i="2"/>
  <c r="H47" i="2"/>
  <c r="S47" i="2" s="1"/>
  <c r="I47" i="2"/>
  <c r="K91" i="9" s="1"/>
  <c r="J47" i="2"/>
  <c r="K47" i="2"/>
  <c r="L47" i="2"/>
  <c r="M47" i="2"/>
  <c r="N47" i="2"/>
  <c r="S91" i="9" s="1"/>
  <c r="O47" i="2"/>
  <c r="P47" i="2"/>
  <c r="Q47" i="2"/>
  <c r="T91" i="9" s="1"/>
  <c r="R47" i="2"/>
  <c r="U91" i="9" s="1"/>
  <c r="T47" i="2"/>
  <c r="U47" i="2"/>
  <c r="V47" i="2"/>
  <c r="W47" i="2"/>
  <c r="Y47" i="2"/>
  <c r="F52" i="2"/>
  <c r="G52" i="2"/>
  <c r="H52" i="2"/>
  <c r="S52" i="2" s="1"/>
  <c r="I52" i="2"/>
  <c r="J52" i="2"/>
  <c r="K52" i="2"/>
  <c r="Q104" i="9" s="1"/>
  <c r="L52" i="2"/>
  <c r="M52" i="2"/>
  <c r="N52" i="2"/>
  <c r="O52" i="2"/>
  <c r="P52" i="2"/>
  <c r="Q52" i="2"/>
  <c r="R52" i="2"/>
  <c r="T52" i="2"/>
  <c r="U52" i="2"/>
  <c r="V52" i="2"/>
  <c r="Y104" i="9" s="1"/>
  <c r="W52" i="2"/>
  <c r="Y52" i="2"/>
  <c r="F55" i="2"/>
  <c r="G55" i="2"/>
  <c r="H55" i="2"/>
  <c r="S55" i="2" s="1"/>
  <c r="I55" i="2"/>
  <c r="K127" i="9" s="1"/>
  <c r="J55" i="2"/>
  <c r="K55" i="2"/>
  <c r="L55" i="2"/>
  <c r="M55" i="2"/>
  <c r="N55" i="2"/>
  <c r="S127" i="9" s="1"/>
  <c r="O55" i="2"/>
  <c r="P55" i="2"/>
  <c r="Q55" i="2"/>
  <c r="T127" i="9" s="1"/>
  <c r="R55" i="2"/>
  <c r="U127" i="9" s="1"/>
  <c r="T55" i="2"/>
  <c r="U55" i="2"/>
  <c r="V55" i="2"/>
  <c r="W55" i="2"/>
  <c r="Y55" i="2"/>
  <c r="F60" i="2"/>
  <c r="G60" i="2"/>
  <c r="H60" i="2"/>
  <c r="S60" i="2" s="1"/>
  <c r="I60" i="2"/>
  <c r="J60" i="2"/>
  <c r="K60" i="2"/>
  <c r="L60" i="2"/>
  <c r="M60" i="2"/>
  <c r="N60" i="2"/>
  <c r="O60" i="2"/>
  <c r="P60" i="2"/>
  <c r="Q60" i="2"/>
  <c r="R60" i="2"/>
  <c r="T60" i="2"/>
  <c r="U60" i="2"/>
  <c r="X146" i="9" s="1"/>
  <c r="V60" i="2"/>
  <c r="W60" i="2"/>
  <c r="Y60" i="2"/>
  <c r="F32" i="2"/>
  <c r="G32" i="2"/>
  <c r="H32" i="2"/>
  <c r="S32" i="2" s="1"/>
  <c r="I32" i="2"/>
  <c r="K4" i="9" s="1"/>
  <c r="J32" i="2"/>
  <c r="K32" i="2"/>
  <c r="L32" i="2"/>
  <c r="M32" i="2"/>
  <c r="N32" i="2"/>
  <c r="S4" i="9" s="1"/>
  <c r="O32" i="2"/>
  <c r="P32" i="2"/>
  <c r="Q32" i="2"/>
  <c r="T4" i="9" s="1"/>
  <c r="R32" i="2"/>
  <c r="U4" i="9" s="1"/>
  <c r="T32" i="2"/>
  <c r="U32" i="2"/>
  <c r="V32" i="2"/>
  <c r="W32" i="2"/>
  <c r="Y32" i="2"/>
  <c r="F37" i="2"/>
  <c r="G37" i="2"/>
  <c r="H37" i="2"/>
  <c r="S37" i="2" s="1"/>
  <c r="I37" i="2"/>
  <c r="J37" i="2"/>
  <c r="K37" i="2"/>
  <c r="Q21" i="9" s="1"/>
  <c r="L37" i="2"/>
  <c r="M37" i="2"/>
  <c r="N37" i="2"/>
  <c r="O37" i="2"/>
  <c r="P37" i="2"/>
  <c r="Q37" i="2"/>
  <c r="R37" i="2"/>
  <c r="T37" i="2"/>
  <c r="U37" i="2"/>
  <c r="V37" i="2"/>
  <c r="Y21" i="9" s="1"/>
  <c r="W37" i="2"/>
  <c r="Z21" i="9" s="1"/>
  <c r="Y37" i="2"/>
  <c r="F40" i="2"/>
  <c r="G40" i="2"/>
  <c r="H40" i="2"/>
  <c r="S40" i="2" s="1"/>
  <c r="I40" i="2"/>
  <c r="K29" i="9" s="1"/>
  <c r="J40" i="2"/>
  <c r="K40" i="2"/>
  <c r="L40" i="2"/>
  <c r="M40" i="2"/>
  <c r="N40" i="2"/>
  <c r="S29" i="9" s="1"/>
  <c r="O40" i="2"/>
  <c r="P40" i="2"/>
  <c r="Q40" i="2"/>
  <c r="T29" i="9" s="1"/>
  <c r="R40" i="2"/>
  <c r="U29" i="9" s="1"/>
  <c r="T40" i="2"/>
  <c r="O29" i="9" s="1"/>
  <c r="U40" i="2"/>
  <c r="V40" i="2"/>
  <c r="W40" i="2"/>
  <c r="Y40" i="2"/>
  <c r="F48" i="2"/>
  <c r="G48" i="2"/>
  <c r="H48" i="2"/>
  <c r="S48" i="2" s="1"/>
  <c r="I48" i="2"/>
  <c r="J48" i="2"/>
  <c r="K48" i="2"/>
  <c r="L48" i="2"/>
  <c r="M48" i="2"/>
  <c r="N48" i="2"/>
  <c r="O48" i="2"/>
  <c r="P48" i="2"/>
  <c r="Q48" i="2"/>
  <c r="R48" i="2"/>
  <c r="T48" i="2"/>
  <c r="U48" i="2"/>
  <c r="X52" i="9" s="1"/>
  <c r="V48" i="2"/>
  <c r="M52" i="9" s="1"/>
  <c r="W48" i="2"/>
  <c r="Y48" i="2"/>
  <c r="F53" i="2"/>
  <c r="G53" i="2"/>
  <c r="H53" i="2"/>
  <c r="S53" i="2" s="1"/>
  <c r="I53" i="2"/>
  <c r="K65" i="9" s="1"/>
  <c r="J53" i="2"/>
  <c r="K53" i="2"/>
  <c r="L53" i="2"/>
  <c r="M53" i="2"/>
  <c r="N53" i="2"/>
  <c r="S65" i="9" s="1"/>
  <c r="O53" i="2"/>
  <c r="P53" i="2"/>
  <c r="Q53" i="2"/>
  <c r="T65" i="9" s="1"/>
  <c r="R53" i="2"/>
  <c r="U65" i="9" s="1"/>
  <c r="T53" i="2"/>
  <c r="U53" i="2"/>
  <c r="V53" i="2"/>
  <c r="W53" i="2"/>
  <c r="Y53" i="2"/>
  <c r="F59" i="2"/>
  <c r="G59" i="2"/>
  <c r="H59" i="2"/>
  <c r="S59" i="2" s="1"/>
  <c r="I59" i="2"/>
  <c r="J59" i="2"/>
  <c r="K59" i="2"/>
  <c r="Q93" i="9" s="1"/>
  <c r="L59" i="2"/>
  <c r="M59" i="2"/>
  <c r="N59" i="2"/>
  <c r="O59" i="2"/>
  <c r="P59" i="2"/>
  <c r="Q59" i="2"/>
  <c r="R59" i="2"/>
  <c r="T59" i="2"/>
  <c r="U59" i="2"/>
  <c r="V59" i="2"/>
  <c r="Y93" i="9" s="1"/>
  <c r="W59" i="2"/>
  <c r="Y59" i="2"/>
  <c r="F34" i="2"/>
  <c r="G34" i="2"/>
  <c r="H34" i="2"/>
  <c r="I34" i="2"/>
  <c r="K48" i="9" s="1"/>
  <c r="J34" i="2"/>
  <c r="K34" i="2"/>
  <c r="L34" i="2"/>
  <c r="M34" i="2"/>
  <c r="N34" i="2"/>
  <c r="S48" i="9" s="1"/>
  <c r="O34" i="2"/>
  <c r="P34" i="2"/>
  <c r="Q34" i="2"/>
  <c r="T48" i="9" s="1"/>
  <c r="R34" i="2"/>
  <c r="U48" i="9" s="1"/>
  <c r="T34" i="2"/>
  <c r="O48" i="9" s="1"/>
  <c r="U34" i="2"/>
  <c r="V34" i="2"/>
  <c r="W34" i="2"/>
  <c r="Y34" i="2"/>
  <c r="F33" i="2"/>
  <c r="G33" i="2"/>
  <c r="H33" i="2"/>
  <c r="S33" i="2" s="1"/>
  <c r="I33" i="2"/>
  <c r="J33" i="2"/>
  <c r="K33" i="2"/>
  <c r="L33" i="2"/>
  <c r="M33" i="2"/>
  <c r="N33" i="2"/>
  <c r="O33" i="2"/>
  <c r="P33" i="2"/>
  <c r="Q33" i="2"/>
  <c r="R33" i="2"/>
  <c r="T33" i="2"/>
  <c r="V10" i="9" s="1"/>
  <c r="U33" i="2"/>
  <c r="X10" i="9" s="1"/>
  <c r="V33" i="2"/>
  <c r="M10" i="9" s="1"/>
  <c r="W33" i="2"/>
  <c r="Y33" i="2"/>
  <c r="F36" i="2"/>
  <c r="G36" i="2"/>
  <c r="H36" i="2"/>
  <c r="S36" i="2" s="1"/>
  <c r="I36" i="2"/>
  <c r="K49" i="9" s="1"/>
  <c r="J36" i="2"/>
  <c r="K36" i="2"/>
  <c r="L36" i="2"/>
  <c r="M36" i="2"/>
  <c r="N36" i="2"/>
  <c r="S49" i="9" s="1"/>
  <c r="O36" i="2"/>
  <c r="P36" i="2"/>
  <c r="Q36" i="2"/>
  <c r="T49" i="9" s="1"/>
  <c r="R36" i="2"/>
  <c r="U49" i="9" s="1"/>
  <c r="T36" i="2"/>
  <c r="U36" i="2"/>
  <c r="V36" i="2"/>
  <c r="W36" i="2"/>
  <c r="Y36" i="2"/>
  <c r="F35" i="2"/>
  <c r="G35" i="2"/>
  <c r="H35" i="2"/>
  <c r="S35" i="2" s="1"/>
  <c r="I35" i="2"/>
  <c r="J35" i="2"/>
  <c r="K35" i="2"/>
  <c r="Q14" i="9" s="1"/>
  <c r="L35" i="2"/>
  <c r="M35" i="2"/>
  <c r="N35" i="2"/>
  <c r="O35" i="2"/>
  <c r="P35" i="2"/>
  <c r="Q35" i="2"/>
  <c r="R35" i="2"/>
  <c r="T35" i="2"/>
  <c r="U35" i="2"/>
  <c r="V35" i="2"/>
  <c r="Y14" i="9" s="1"/>
  <c r="W35" i="2"/>
  <c r="Z14" i="9" s="1"/>
  <c r="Y35" i="2"/>
  <c r="F39" i="2"/>
  <c r="G39" i="2"/>
  <c r="H39" i="2"/>
  <c r="S39" i="2" s="1"/>
  <c r="I39" i="2"/>
  <c r="K92" i="9" s="1"/>
  <c r="J39" i="2"/>
  <c r="K39" i="2"/>
  <c r="L39" i="2"/>
  <c r="M39" i="2"/>
  <c r="N39" i="2"/>
  <c r="S92" i="9" s="1"/>
  <c r="O39" i="2"/>
  <c r="P39" i="2"/>
  <c r="Q39" i="2"/>
  <c r="T92" i="9" s="1"/>
  <c r="R39" i="2"/>
  <c r="U92" i="9" s="1"/>
  <c r="T39" i="2"/>
  <c r="O92" i="9" s="1"/>
  <c r="U39" i="2"/>
  <c r="V39" i="2"/>
  <c r="W39" i="2"/>
  <c r="Y39" i="2"/>
  <c r="F38" i="2"/>
  <c r="G38" i="2"/>
  <c r="H38" i="2"/>
  <c r="S38" i="2" s="1"/>
  <c r="I38" i="2"/>
  <c r="J38" i="2"/>
  <c r="K38" i="2"/>
  <c r="L38" i="2"/>
  <c r="M38" i="2"/>
  <c r="N38" i="2"/>
  <c r="O38" i="2"/>
  <c r="P38" i="2"/>
  <c r="Q38" i="2"/>
  <c r="R38" i="2"/>
  <c r="T38" i="2"/>
  <c r="U38" i="2"/>
  <c r="X22" i="9" s="1"/>
  <c r="V38" i="2"/>
  <c r="W38" i="2"/>
  <c r="Y38" i="2"/>
  <c r="F44" i="2"/>
  <c r="G44" i="2"/>
  <c r="H44" i="2"/>
  <c r="S44" i="2" s="1"/>
  <c r="I44" i="2"/>
  <c r="K110" i="9" s="1"/>
  <c r="J44" i="2"/>
  <c r="K44" i="2"/>
  <c r="L44" i="2"/>
  <c r="M44" i="2"/>
  <c r="N44" i="2"/>
  <c r="S110" i="9" s="1"/>
  <c r="O44" i="2"/>
  <c r="P44" i="2"/>
  <c r="Q44" i="2"/>
  <c r="T110" i="9" s="1"/>
  <c r="R44" i="2"/>
  <c r="U110" i="9" s="1"/>
  <c r="T44" i="2"/>
  <c r="U44" i="2"/>
  <c r="V44" i="2"/>
  <c r="W44" i="2"/>
  <c r="Y44" i="2"/>
  <c r="F45" i="2"/>
  <c r="G45" i="2"/>
  <c r="H45" i="2"/>
  <c r="S45" i="2" s="1"/>
  <c r="I45" i="2"/>
  <c r="J45" i="2"/>
  <c r="K45" i="2"/>
  <c r="Q40" i="9" s="1"/>
  <c r="L45" i="2"/>
  <c r="M45" i="2"/>
  <c r="N45" i="2"/>
  <c r="O45" i="2"/>
  <c r="P45" i="2"/>
  <c r="Q45" i="2"/>
  <c r="R45" i="2"/>
  <c r="T45" i="2"/>
  <c r="U45" i="2"/>
  <c r="V45" i="2"/>
  <c r="Y40" i="9" s="1"/>
  <c r="W45" i="2"/>
  <c r="Z40" i="9" s="1"/>
  <c r="Y45" i="2"/>
  <c r="F49" i="2"/>
  <c r="G49" i="2"/>
  <c r="H49" i="2"/>
  <c r="S49" i="2" s="1"/>
  <c r="I49" i="2"/>
  <c r="K126" i="9" s="1"/>
  <c r="J49" i="2"/>
  <c r="K49" i="2"/>
  <c r="L49" i="2"/>
  <c r="M49" i="2"/>
  <c r="N49" i="2"/>
  <c r="S126" i="9" s="1"/>
  <c r="O49" i="2"/>
  <c r="P49" i="2"/>
  <c r="Q49" i="2"/>
  <c r="T126" i="9" s="1"/>
  <c r="R49" i="2"/>
  <c r="U126" i="9" s="1"/>
  <c r="T49" i="2"/>
  <c r="U49" i="2"/>
  <c r="V49" i="2"/>
  <c r="W49" i="2"/>
  <c r="Y49" i="2"/>
  <c r="F50" i="2"/>
  <c r="G50" i="2"/>
  <c r="H50" i="2"/>
  <c r="I50" i="2"/>
  <c r="J50" i="2"/>
  <c r="K50" i="2"/>
  <c r="L50" i="2"/>
  <c r="M50" i="2"/>
  <c r="N50" i="2"/>
  <c r="O50" i="2"/>
  <c r="P50" i="2"/>
  <c r="Q50" i="2"/>
  <c r="R50" i="2"/>
  <c r="T50" i="2"/>
  <c r="U50" i="2"/>
  <c r="V50" i="2"/>
  <c r="W50" i="2"/>
  <c r="Y50" i="2"/>
  <c r="F56" i="2"/>
  <c r="G56" i="2"/>
  <c r="H56" i="2"/>
  <c r="S56" i="2" s="1"/>
  <c r="I56" i="2"/>
  <c r="K141" i="9" s="1"/>
  <c r="J56" i="2"/>
  <c r="K56" i="2"/>
  <c r="L56" i="2"/>
  <c r="M56" i="2"/>
  <c r="N56" i="2"/>
  <c r="S141" i="9" s="1"/>
  <c r="O56" i="2"/>
  <c r="P56" i="2"/>
  <c r="Q56" i="2"/>
  <c r="T141" i="9" s="1"/>
  <c r="R56" i="2"/>
  <c r="U141" i="9" s="1"/>
  <c r="T56" i="2"/>
  <c r="U56" i="2"/>
  <c r="V56" i="2"/>
  <c r="W56" i="2"/>
  <c r="Y56" i="2"/>
  <c r="F57" i="2"/>
  <c r="G57" i="2"/>
  <c r="H57" i="2"/>
  <c r="S57" i="2" s="1"/>
  <c r="I57" i="2"/>
  <c r="J57" i="2"/>
  <c r="K57" i="2"/>
  <c r="Q86" i="9" s="1"/>
  <c r="L57" i="2"/>
  <c r="M57" i="2"/>
  <c r="N57" i="2"/>
  <c r="O57" i="2"/>
  <c r="P57" i="2"/>
  <c r="Q57" i="2"/>
  <c r="R57" i="2"/>
  <c r="T57" i="2"/>
  <c r="U57" i="2"/>
  <c r="V57" i="2"/>
  <c r="W57" i="2"/>
  <c r="Y57" i="2"/>
  <c r="F75" i="2"/>
  <c r="G75" i="2"/>
  <c r="H75" i="2"/>
  <c r="S75" i="2" s="1"/>
  <c r="I75" i="2"/>
  <c r="K109" i="9" s="1"/>
  <c r="J75" i="2"/>
  <c r="K75" i="2"/>
  <c r="L75" i="2"/>
  <c r="M75" i="2"/>
  <c r="N75" i="2"/>
  <c r="S109" i="9" s="1"/>
  <c r="O75" i="2"/>
  <c r="P75" i="2"/>
  <c r="Q75" i="2"/>
  <c r="T109" i="9" s="1"/>
  <c r="R75" i="2"/>
  <c r="U109" i="9" s="1"/>
  <c r="T75" i="2"/>
  <c r="U75" i="2"/>
  <c r="V75" i="2"/>
  <c r="W75" i="2"/>
  <c r="Y75" i="2"/>
  <c r="F77" i="2"/>
  <c r="G77" i="2"/>
  <c r="H77" i="2"/>
  <c r="S77" i="2" s="1"/>
  <c r="I77" i="2"/>
  <c r="J77" i="2"/>
  <c r="K77" i="2"/>
  <c r="L77" i="2"/>
  <c r="M77" i="2"/>
  <c r="N77" i="2"/>
  <c r="O77" i="2"/>
  <c r="P77" i="2"/>
  <c r="Q77" i="2"/>
  <c r="R77" i="2"/>
  <c r="T77" i="2"/>
  <c r="U77" i="2"/>
  <c r="V77" i="2"/>
  <c r="W77" i="2"/>
  <c r="Y77" i="2"/>
  <c r="F81" i="2"/>
  <c r="G81" i="2"/>
  <c r="H81" i="2"/>
  <c r="S81" i="2" s="1"/>
  <c r="I81" i="2"/>
  <c r="J81" i="2"/>
  <c r="K81" i="2"/>
  <c r="L81" i="2"/>
  <c r="M81" i="2"/>
  <c r="N81" i="2"/>
  <c r="O81" i="2"/>
  <c r="P81" i="2"/>
  <c r="Q81" i="2"/>
  <c r="R81" i="2"/>
  <c r="T81" i="2"/>
  <c r="U81" i="2"/>
  <c r="V81" i="2"/>
  <c r="W81" i="2"/>
  <c r="Y81" i="2"/>
  <c r="F84" i="2"/>
  <c r="G84" i="2"/>
  <c r="H84" i="2"/>
  <c r="S84" i="2" s="1"/>
  <c r="I84" i="2"/>
  <c r="J84" i="2"/>
  <c r="K84" i="2"/>
  <c r="Q132" i="9" s="1"/>
  <c r="L84" i="2"/>
  <c r="M84" i="2"/>
  <c r="N84" i="2"/>
  <c r="O84" i="2"/>
  <c r="P84" i="2"/>
  <c r="Q84" i="2"/>
  <c r="R84" i="2"/>
  <c r="T84" i="2"/>
  <c r="U84" i="2"/>
  <c r="X132" i="9" s="1"/>
  <c r="V84" i="2"/>
  <c r="W84" i="2"/>
  <c r="Y84" i="2"/>
  <c r="F88" i="2"/>
  <c r="G88" i="2"/>
  <c r="H88" i="2"/>
  <c r="S88" i="2" s="1"/>
  <c r="I88" i="2"/>
  <c r="K145" i="9" s="1"/>
  <c r="J88" i="2"/>
  <c r="K88" i="2"/>
  <c r="L88" i="2"/>
  <c r="M88" i="2"/>
  <c r="N88" i="2"/>
  <c r="S145" i="9" s="1"/>
  <c r="O88" i="2"/>
  <c r="P88" i="2"/>
  <c r="Q88" i="2"/>
  <c r="T145" i="9" s="1"/>
  <c r="R88" i="2"/>
  <c r="U145" i="9" s="1"/>
  <c r="T88" i="2"/>
  <c r="U88" i="2"/>
  <c r="V88" i="2"/>
  <c r="W88" i="2"/>
  <c r="Y88" i="2"/>
  <c r="F91" i="2"/>
  <c r="G91" i="2"/>
  <c r="H91" i="2"/>
  <c r="S91" i="2" s="1"/>
  <c r="I91" i="2"/>
  <c r="J91" i="2"/>
  <c r="K91" i="2"/>
  <c r="L91" i="2"/>
  <c r="M91" i="2"/>
  <c r="N91" i="2"/>
  <c r="O91" i="2"/>
  <c r="P91" i="2"/>
  <c r="Q91" i="2"/>
  <c r="R91" i="2"/>
  <c r="T91" i="2"/>
  <c r="U91" i="2"/>
  <c r="V91" i="2"/>
  <c r="W91" i="2"/>
  <c r="Y91" i="2"/>
  <c r="F66" i="2"/>
  <c r="G66" i="2"/>
  <c r="H66" i="2"/>
  <c r="I66" i="2"/>
  <c r="J66" i="2"/>
  <c r="K66" i="2"/>
  <c r="L66" i="2"/>
  <c r="M66" i="2"/>
  <c r="N66" i="2"/>
  <c r="O66" i="2"/>
  <c r="P66" i="2"/>
  <c r="Q66" i="2"/>
  <c r="R66" i="2"/>
  <c r="T66" i="2"/>
  <c r="U66" i="2"/>
  <c r="V66" i="2"/>
  <c r="W66" i="2"/>
  <c r="Y66" i="2"/>
  <c r="F71" i="2"/>
  <c r="G71" i="2"/>
  <c r="H71" i="2"/>
  <c r="S71" i="2" s="1"/>
  <c r="I71" i="2"/>
  <c r="J71" i="2"/>
  <c r="K71" i="2"/>
  <c r="Q50" i="9" s="1"/>
  <c r="L71" i="2"/>
  <c r="M71" i="2"/>
  <c r="N71" i="2"/>
  <c r="O71" i="2"/>
  <c r="P71" i="2"/>
  <c r="Q71" i="2"/>
  <c r="R71" i="2"/>
  <c r="T71" i="2"/>
  <c r="U71" i="2"/>
  <c r="V71" i="2"/>
  <c r="W71" i="2"/>
  <c r="Y71" i="2"/>
  <c r="F76" i="2"/>
  <c r="G76" i="2"/>
  <c r="H76" i="2"/>
  <c r="S76" i="2" s="1"/>
  <c r="I76" i="2"/>
  <c r="K61" i="9" s="1"/>
  <c r="J76" i="2"/>
  <c r="K76" i="2"/>
  <c r="L76" i="2"/>
  <c r="M76" i="2"/>
  <c r="N76" i="2"/>
  <c r="S61" i="9" s="1"/>
  <c r="O76" i="2"/>
  <c r="P76" i="2"/>
  <c r="Q76" i="2"/>
  <c r="T61" i="9" s="1"/>
  <c r="R76" i="2"/>
  <c r="U61" i="9" s="1"/>
  <c r="T76" i="2"/>
  <c r="U76" i="2"/>
  <c r="V76" i="2"/>
  <c r="W76" i="2"/>
  <c r="Y76" i="2"/>
  <c r="F82" i="2"/>
  <c r="G82" i="2"/>
  <c r="H82" i="2"/>
  <c r="I82" i="2"/>
  <c r="J82" i="2"/>
  <c r="K82" i="2"/>
  <c r="L82" i="2"/>
  <c r="M82" i="2"/>
  <c r="N82" i="2"/>
  <c r="O82" i="2"/>
  <c r="P82" i="2"/>
  <c r="Q82" i="2"/>
  <c r="R82" i="2"/>
  <c r="T82" i="2"/>
  <c r="U82" i="2"/>
  <c r="V82" i="2"/>
  <c r="W82" i="2"/>
  <c r="Y82" i="2"/>
  <c r="F85" i="2"/>
  <c r="G85" i="2"/>
  <c r="H85" i="2"/>
  <c r="S85" i="2" s="1"/>
  <c r="I85" i="2"/>
  <c r="J85" i="2"/>
  <c r="K85" i="2"/>
  <c r="L85" i="2"/>
  <c r="M85" i="2"/>
  <c r="N85" i="2"/>
  <c r="O85" i="2"/>
  <c r="P85" i="2"/>
  <c r="Q85" i="2"/>
  <c r="R85" i="2"/>
  <c r="T85" i="2"/>
  <c r="U85" i="2"/>
  <c r="V85" i="2"/>
  <c r="W85" i="2"/>
  <c r="Y85" i="2"/>
  <c r="F90" i="2"/>
  <c r="G90" i="2"/>
  <c r="H90" i="2"/>
  <c r="I90" i="2"/>
  <c r="J90" i="2"/>
  <c r="K90" i="2"/>
  <c r="Q123" i="9" s="1"/>
  <c r="L90" i="2"/>
  <c r="M90" i="2"/>
  <c r="N90" i="2"/>
  <c r="O90" i="2"/>
  <c r="P90" i="2"/>
  <c r="Q90" i="2"/>
  <c r="R90" i="2"/>
  <c r="T90" i="2"/>
  <c r="U90" i="2"/>
  <c r="V90" i="2"/>
  <c r="Y123" i="9" s="1"/>
  <c r="W90" i="2"/>
  <c r="Y90" i="2"/>
  <c r="F65" i="2"/>
  <c r="G65" i="2"/>
  <c r="H65" i="2"/>
  <c r="S65" i="2" s="1"/>
  <c r="I65" i="2"/>
  <c r="K18" i="9" s="1"/>
  <c r="J65" i="2"/>
  <c r="K65" i="2"/>
  <c r="L65" i="2"/>
  <c r="M65" i="2"/>
  <c r="N65" i="2"/>
  <c r="S18" i="9" s="1"/>
  <c r="O65" i="2"/>
  <c r="P65" i="2"/>
  <c r="Q65" i="2"/>
  <c r="T18" i="9" s="1"/>
  <c r="R65" i="2"/>
  <c r="U18" i="9" s="1"/>
  <c r="T65" i="2"/>
  <c r="U65" i="2"/>
  <c r="V65" i="2"/>
  <c r="W65" i="2"/>
  <c r="Y65" i="2"/>
  <c r="F68" i="2"/>
  <c r="G68" i="2"/>
  <c r="H68" i="2"/>
  <c r="S68" i="2" s="1"/>
  <c r="I68" i="2"/>
  <c r="J68" i="2"/>
  <c r="K68" i="2"/>
  <c r="L68" i="2"/>
  <c r="M68" i="2"/>
  <c r="N68" i="2"/>
  <c r="O68" i="2"/>
  <c r="P68" i="2"/>
  <c r="Q68" i="2"/>
  <c r="R68" i="2"/>
  <c r="T68" i="2"/>
  <c r="U68" i="2"/>
  <c r="V68" i="2"/>
  <c r="M24" i="9" s="1"/>
  <c r="W68" i="2"/>
  <c r="Y68" i="2"/>
  <c r="F72" i="2"/>
  <c r="G72" i="2"/>
  <c r="H72" i="2"/>
  <c r="S72" i="2" s="1"/>
  <c r="I72" i="2"/>
  <c r="J72" i="2"/>
  <c r="K72" i="2"/>
  <c r="L72" i="2"/>
  <c r="M72" i="2"/>
  <c r="N72" i="2"/>
  <c r="O72" i="2"/>
  <c r="P72" i="2"/>
  <c r="Q72" i="2"/>
  <c r="R72" i="2"/>
  <c r="T72" i="2"/>
  <c r="U72" i="2"/>
  <c r="V72" i="2"/>
  <c r="W72" i="2"/>
  <c r="Y72" i="2"/>
  <c r="F78" i="2"/>
  <c r="G78" i="2"/>
  <c r="H78" i="2"/>
  <c r="S78" i="2" s="1"/>
  <c r="I78" i="2"/>
  <c r="K70" i="9" s="1"/>
  <c r="J78" i="2"/>
  <c r="K78" i="2"/>
  <c r="Q70" i="9" s="1"/>
  <c r="L78" i="2"/>
  <c r="M78" i="2"/>
  <c r="N78" i="2"/>
  <c r="O78" i="2"/>
  <c r="P78" i="2"/>
  <c r="Q78" i="2"/>
  <c r="R78" i="2"/>
  <c r="T78" i="2"/>
  <c r="U78" i="2"/>
  <c r="V78" i="2"/>
  <c r="W78" i="2"/>
  <c r="Y78" i="2"/>
  <c r="F83" i="2"/>
  <c r="G83" i="2"/>
  <c r="H83" i="2"/>
  <c r="S83" i="2" s="1"/>
  <c r="I83" i="2"/>
  <c r="K78" i="9" s="1"/>
  <c r="J83" i="2"/>
  <c r="K83" i="2"/>
  <c r="L83" i="2"/>
  <c r="M83" i="2"/>
  <c r="N83" i="2"/>
  <c r="O83" i="2"/>
  <c r="P83" i="2"/>
  <c r="Q83" i="2"/>
  <c r="T78" i="9" s="1"/>
  <c r="R83" i="2"/>
  <c r="U78" i="9" s="1"/>
  <c r="T83" i="2"/>
  <c r="U83" i="2"/>
  <c r="V83" i="2"/>
  <c r="W83" i="2"/>
  <c r="Y83" i="2"/>
  <c r="F89" i="2"/>
  <c r="G89" i="2"/>
  <c r="H89" i="2"/>
  <c r="S89" i="2" s="1"/>
  <c r="I89" i="2"/>
  <c r="J89" i="2"/>
  <c r="K89" i="2"/>
  <c r="L89" i="2"/>
  <c r="M89" i="2"/>
  <c r="N89" i="2"/>
  <c r="O89" i="2"/>
  <c r="P89" i="2"/>
  <c r="Q89" i="2"/>
  <c r="R89" i="2"/>
  <c r="T89" i="2"/>
  <c r="U89" i="2"/>
  <c r="V89" i="2"/>
  <c r="W89" i="2"/>
  <c r="Y89" i="2"/>
  <c r="F63" i="2"/>
  <c r="G63" i="2"/>
  <c r="H63" i="2"/>
  <c r="Q68" i="9" s="1"/>
  <c r="I63" i="2"/>
  <c r="J63" i="2"/>
  <c r="K63" i="2"/>
  <c r="L63" i="2"/>
  <c r="M63" i="2"/>
  <c r="N63" i="2"/>
  <c r="O63" i="2"/>
  <c r="P63" i="2"/>
  <c r="Q63" i="2"/>
  <c r="R63" i="2"/>
  <c r="T63" i="2"/>
  <c r="U63" i="2"/>
  <c r="V63" i="2"/>
  <c r="W63" i="2"/>
  <c r="Y63" i="2"/>
  <c r="F62" i="2"/>
  <c r="G62" i="2"/>
  <c r="H62" i="2"/>
  <c r="S62" i="2" s="1"/>
  <c r="I62" i="2"/>
  <c r="J62" i="2"/>
  <c r="K62" i="2"/>
  <c r="Q19" i="9" s="1"/>
  <c r="L62" i="2"/>
  <c r="M62" i="2"/>
  <c r="N62" i="2"/>
  <c r="O62" i="2"/>
  <c r="P62" i="2"/>
  <c r="Q62" i="2"/>
  <c r="R62" i="2"/>
  <c r="T62" i="2"/>
  <c r="U62" i="2"/>
  <c r="V62" i="2"/>
  <c r="W62" i="2"/>
  <c r="Y62" i="2"/>
  <c r="F64" i="2"/>
  <c r="G64" i="2"/>
  <c r="H64" i="2"/>
  <c r="S64" i="2" s="1"/>
  <c r="I64" i="2"/>
  <c r="K66" i="9" s="1"/>
  <c r="J64" i="2"/>
  <c r="K64" i="2"/>
  <c r="L64" i="2"/>
  <c r="M64" i="2"/>
  <c r="N64" i="2"/>
  <c r="O64" i="2"/>
  <c r="P64" i="2"/>
  <c r="Q64" i="2"/>
  <c r="T66" i="9" s="1"/>
  <c r="R64" i="2"/>
  <c r="U66" i="9" s="1"/>
  <c r="T64" i="2"/>
  <c r="U64" i="2"/>
  <c r="V64" i="2"/>
  <c r="W64" i="2"/>
  <c r="Y64" i="2"/>
  <c r="F67" i="2"/>
  <c r="G67" i="2"/>
  <c r="H67" i="2"/>
  <c r="S67" i="2" s="1"/>
  <c r="I67" i="2"/>
  <c r="J67" i="2"/>
  <c r="K67" i="2"/>
  <c r="L67" i="2"/>
  <c r="M67" i="2"/>
  <c r="N67" i="2"/>
  <c r="O67" i="2"/>
  <c r="P67" i="2"/>
  <c r="Q67" i="2"/>
  <c r="R67" i="2"/>
  <c r="T67" i="2"/>
  <c r="U67" i="2"/>
  <c r="V67" i="2"/>
  <c r="W67" i="2"/>
  <c r="Y67" i="2"/>
  <c r="F69" i="2"/>
  <c r="G69" i="2"/>
  <c r="H69" i="2"/>
  <c r="S69" i="2" s="1"/>
  <c r="I69" i="2"/>
  <c r="J69" i="2"/>
  <c r="K69" i="2"/>
  <c r="L69" i="2"/>
  <c r="M69" i="2"/>
  <c r="N69" i="2"/>
  <c r="O69" i="2"/>
  <c r="P69" i="2"/>
  <c r="Q69" i="2"/>
  <c r="R69" i="2"/>
  <c r="T69" i="2"/>
  <c r="U69" i="2"/>
  <c r="V69" i="2"/>
  <c r="W69" i="2"/>
  <c r="Y69" i="2"/>
  <c r="F70" i="2"/>
  <c r="G70" i="2"/>
  <c r="H70" i="2"/>
  <c r="S70" i="2" s="1"/>
  <c r="I70" i="2"/>
  <c r="J70" i="2"/>
  <c r="K70" i="2"/>
  <c r="Q30" i="9" s="1"/>
  <c r="L70" i="2"/>
  <c r="M70" i="2"/>
  <c r="N70" i="2"/>
  <c r="O70" i="2"/>
  <c r="P70" i="2"/>
  <c r="Q70" i="2"/>
  <c r="R70" i="2"/>
  <c r="T70" i="2"/>
  <c r="U70" i="2"/>
  <c r="V70" i="2"/>
  <c r="W70" i="2"/>
  <c r="Y70" i="2"/>
  <c r="F73" i="2"/>
  <c r="G73" i="2"/>
  <c r="H73" i="2"/>
  <c r="S73" i="2" s="1"/>
  <c r="I73" i="2"/>
  <c r="K111" i="9" s="1"/>
  <c r="J73" i="2"/>
  <c r="K73" i="2"/>
  <c r="L73" i="2"/>
  <c r="M73" i="2"/>
  <c r="N73" i="2"/>
  <c r="O73" i="2"/>
  <c r="P73" i="2"/>
  <c r="Q73" i="2"/>
  <c r="T111" i="9" s="1"/>
  <c r="R73" i="2"/>
  <c r="U111" i="9" s="1"/>
  <c r="T73" i="2"/>
  <c r="U73" i="2"/>
  <c r="V73" i="2"/>
  <c r="W73" i="2"/>
  <c r="Y73" i="2"/>
  <c r="F74" i="2"/>
  <c r="G74" i="2"/>
  <c r="H74" i="2"/>
  <c r="I74" i="2"/>
  <c r="J74" i="2"/>
  <c r="K74" i="2"/>
  <c r="L74" i="2"/>
  <c r="M74" i="2"/>
  <c r="N74" i="2"/>
  <c r="O74" i="2"/>
  <c r="P74" i="2"/>
  <c r="Q74" i="2"/>
  <c r="R74" i="2"/>
  <c r="T74" i="2"/>
  <c r="U74" i="2"/>
  <c r="V74" i="2"/>
  <c r="M36" i="9" s="1"/>
  <c r="W74" i="2"/>
  <c r="Y74" i="2"/>
  <c r="F79" i="2"/>
  <c r="G79" i="2"/>
  <c r="H79" i="2"/>
  <c r="S79" i="2" s="1"/>
  <c r="I79" i="2"/>
  <c r="J79" i="2"/>
  <c r="K79" i="2"/>
  <c r="L79" i="2"/>
  <c r="M79" i="2"/>
  <c r="N79" i="2"/>
  <c r="O79" i="2"/>
  <c r="P79" i="2"/>
  <c r="Q79" i="2"/>
  <c r="R79" i="2"/>
  <c r="T79" i="2"/>
  <c r="U79" i="2"/>
  <c r="V79" i="2"/>
  <c r="W79" i="2"/>
  <c r="Y79" i="2"/>
  <c r="F80" i="2"/>
  <c r="G80" i="2"/>
  <c r="H80" i="2"/>
  <c r="S80" i="2" s="1"/>
  <c r="I80" i="2"/>
  <c r="J80" i="2"/>
  <c r="K80" i="2"/>
  <c r="Q60" i="9" s="1"/>
  <c r="L80" i="2"/>
  <c r="M80" i="2"/>
  <c r="N80" i="2"/>
  <c r="O80" i="2"/>
  <c r="P80" i="2"/>
  <c r="Q80" i="2"/>
  <c r="R80" i="2"/>
  <c r="T80" i="2"/>
  <c r="U80" i="2"/>
  <c r="V80" i="2"/>
  <c r="W80" i="2"/>
  <c r="Y80" i="2"/>
  <c r="F86" i="2"/>
  <c r="G86" i="2"/>
  <c r="H86" i="2"/>
  <c r="S86" i="2" s="1"/>
  <c r="I86" i="2"/>
  <c r="K140" i="9" s="1"/>
  <c r="J86" i="2"/>
  <c r="K86" i="2"/>
  <c r="L86" i="2"/>
  <c r="M86" i="2"/>
  <c r="N86" i="2"/>
  <c r="O86" i="2"/>
  <c r="P86" i="2"/>
  <c r="Q86" i="2"/>
  <c r="T140" i="9" s="1"/>
  <c r="R86" i="2"/>
  <c r="U140" i="9" s="1"/>
  <c r="T86" i="2"/>
  <c r="U86" i="2"/>
  <c r="V86" i="2"/>
  <c r="W86" i="2"/>
  <c r="Y86" i="2"/>
  <c r="F87" i="2"/>
  <c r="G87" i="2"/>
  <c r="H87" i="2"/>
  <c r="S87" i="2" s="1"/>
  <c r="I87" i="2"/>
  <c r="J87" i="2"/>
  <c r="K87" i="2"/>
  <c r="L87" i="2"/>
  <c r="M87" i="2"/>
  <c r="N87" i="2"/>
  <c r="O87" i="2"/>
  <c r="P87" i="2"/>
  <c r="Q87" i="2"/>
  <c r="R87" i="2"/>
  <c r="T87" i="2"/>
  <c r="U87" i="2"/>
  <c r="V87" i="2"/>
  <c r="W87" i="2"/>
  <c r="Y87" i="2"/>
  <c r="F100" i="2"/>
  <c r="G100" i="2"/>
  <c r="H100" i="2"/>
  <c r="S100" i="2" s="1"/>
  <c r="I100" i="2"/>
  <c r="J100" i="2"/>
  <c r="K100" i="2"/>
  <c r="L100" i="2"/>
  <c r="M100" i="2"/>
  <c r="N100" i="2"/>
  <c r="O100" i="2"/>
  <c r="P100" i="2"/>
  <c r="Q100" i="2"/>
  <c r="R100" i="2"/>
  <c r="T100" i="2"/>
  <c r="U100" i="2"/>
  <c r="X28" i="9" s="1"/>
  <c r="V100" i="2"/>
  <c r="W100" i="2"/>
  <c r="Y100" i="2"/>
  <c r="F106" i="2"/>
  <c r="G106" i="2"/>
  <c r="H106" i="2"/>
  <c r="I106" i="2"/>
  <c r="J106" i="2"/>
  <c r="K106" i="2"/>
  <c r="Q87" i="9" s="1"/>
  <c r="L106" i="2"/>
  <c r="M106" i="2"/>
  <c r="N106" i="2"/>
  <c r="O106" i="2"/>
  <c r="P106" i="2"/>
  <c r="Q106" i="2"/>
  <c r="R106" i="2"/>
  <c r="T106" i="2"/>
  <c r="U106" i="2"/>
  <c r="V106" i="2"/>
  <c r="Y87" i="9" s="1"/>
  <c r="W106" i="2"/>
  <c r="Y106" i="2"/>
  <c r="F109" i="2"/>
  <c r="G109" i="2"/>
  <c r="H109" i="2"/>
  <c r="S109" i="2" s="1"/>
  <c r="I109" i="2"/>
  <c r="K98" i="9" s="1"/>
  <c r="J109" i="2"/>
  <c r="K109" i="2"/>
  <c r="L109" i="2"/>
  <c r="M109" i="2"/>
  <c r="N109" i="2"/>
  <c r="O109" i="2"/>
  <c r="P109" i="2"/>
  <c r="Q109" i="2"/>
  <c r="T98" i="9" s="1"/>
  <c r="R109" i="2"/>
  <c r="U98" i="9" s="1"/>
  <c r="T109" i="2"/>
  <c r="U109" i="2"/>
  <c r="V109" i="2"/>
  <c r="W109" i="2"/>
  <c r="Y109" i="2"/>
  <c r="F114" i="2"/>
  <c r="G114" i="2"/>
  <c r="H114" i="2"/>
  <c r="I114" i="2"/>
  <c r="J114" i="2"/>
  <c r="K114" i="2"/>
  <c r="L114" i="2"/>
  <c r="M114" i="2"/>
  <c r="N114" i="2"/>
  <c r="O114" i="2"/>
  <c r="P114" i="2"/>
  <c r="Q114" i="2"/>
  <c r="R114" i="2"/>
  <c r="T114" i="2"/>
  <c r="U114" i="2"/>
  <c r="V114" i="2"/>
  <c r="W114" i="2"/>
  <c r="Y114" i="2"/>
  <c r="F118" i="2"/>
  <c r="G118" i="2"/>
  <c r="H118" i="2"/>
  <c r="S118" i="2" s="1"/>
  <c r="I118" i="2"/>
  <c r="J118" i="2"/>
  <c r="K118" i="2"/>
  <c r="L118" i="2"/>
  <c r="M118" i="2"/>
  <c r="N118" i="2"/>
  <c r="O118" i="2"/>
  <c r="P118" i="2"/>
  <c r="Q118" i="2"/>
  <c r="R118" i="2"/>
  <c r="T118" i="2"/>
  <c r="U118" i="2"/>
  <c r="V118" i="2"/>
  <c r="W118" i="2"/>
  <c r="Y118" i="2"/>
  <c r="F121" i="2"/>
  <c r="G121" i="2"/>
  <c r="H121" i="2"/>
  <c r="S121" i="2" s="1"/>
  <c r="I121" i="2"/>
  <c r="J121" i="2"/>
  <c r="K121" i="2"/>
  <c r="Q142" i="9" s="1"/>
  <c r="L121" i="2"/>
  <c r="M121" i="2"/>
  <c r="N121" i="2"/>
  <c r="O121" i="2"/>
  <c r="P121" i="2"/>
  <c r="Q121" i="2"/>
  <c r="R121" i="2"/>
  <c r="T121" i="2"/>
  <c r="U121" i="2"/>
  <c r="V121" i="2"/>
  <c r="W121" i="2"/>
  <c r="Y121" i="2"/>
  <c r="F99" i="2"/>
  <c r="G99" i="2"/>
  <c r="H99" i="2"/>
  <c r="S99" i="2" s="1"/>
  <c r="I99" i="2"/>
  <c r="K46" i="9" s="1"/>
  <c r="J99" i="2"/>
  <c r="K99" i="2"/>
  <c r="L99" i="2"/>
  <c r="M99" i="2"/>
  <c r="N99" i="2"/>
  <c r="O99" i="2"/>
  <c r="P99" i="2"/>
  <c r="Q99" i="2"/>
  <c r="T46" i="9" s="1"/>
  <c r="R99" i="2"/>
  <c r="U46" i="9" s="1"/>
  <c r="T99" i="2"/>
  <c r="U99" i="2"/>
  <c r="V99" i="2"/>
  <c r="W99" i="2"/>
  <c r="Y99" i="2"/>
  <c r="F102" i="2"/>
  <c r="G102" i="2"/>
  <c r="H102" i="2"/>
  <c r="S102" i="2" s="1"/>
  <c r="I102" i="2"/>
  <c r="J102" i="2"/>
  <c r="K102" i="2"/>
  <c r="L102" i="2"/>
  <c r="M102" i="2"/>
  <c r="N102" i="2"/>
  <c r="O102" i="2"/>
  <c r="P102" i="2"/>
  <c r="Q102" i="2"/>
  <c r="R102" i="2"/>
  <c r="T102" i="2"/>
  <c r="U102" i="2"/>
  <c r="V102" i="2"/>
  <c r="W102" i="2"/>
  <c r="Y102" i="2"/>
  <c r="F107" i="2"/>
  <c r="G107" i="2"/>
  <c r="H107" i="2"/>
  <c r="S107" i="2" s="1"/>
  <c r="I107" i="2"/>
  <c r="J107" i="2"/>
  <c r="K107" i="2"/>
  <c r="L107" i="2"/>
  <c r="M107" i="2"/>
  <c r="N107" i="2"/>
  <c r="O107" i="2"/>
  <c r="P107" i="2"/>
  <c r="Q107" i="2"/>
  <c r="R107" i="2"/>
  <c r="T107" i="2"/>
  <c r="U107" i="2"/>
  <c r="V107" i="2"/>
  <c r="W107" i="2"/>
  <c r="Y107" i="2"/>
  <c r="F112" i="2"/>
  <c r="G112" i="2"/>
  <c r="H112" i="2"/>
  <c r="S112" i="2" s="1"/>
  <c r="I112" i="2"/>
  <c r="J112" i="2"/>
  <c r="K112" i="2"/>
  <c r="Q106" i="9" s="1"/>
  <c r="L112" i="2"/>
  <c r="M112" i="2"/>
  <c r="N112" i="2"/>
  <c r="O112" i="2"/>
  <c r="P112" i="2"/>
  <c r="Q112" i="2"/>
  <c r="R112" i="2"/>
  <c r="T112" i="2"/>
  <c r="U112" i="2"/>
  <c r="V112" i="2"/>
  <c r="W112" i="2"/>
  <c r="Y112" i="2"/>
  <c r="F115" i="2"/>
  <c r="G115" i="2"/>
  <c r="H115" i="2"/>
  <c r="S115" i="2" s="1"/>
  <c r="I115" i="2"/>
  <c r="K108" i="9" s="1"/>
  <c r="J115" i="2"/>
  <c r="K115" i="2"/>
  <c r="L115" i="2"/>
  <c r="M115" i="2"/>
  <c r="N115" i="2"/>
  <c r="O115" i="2"/>
  <c r="P115" i="2"/>
  <c r="Q115" i="2"/>
  <c r="T108" i="9" s="1"/>
  <c r="R115" i="2"/>
  <c r="U108" i="9" s="1"/>
  <c r="T115" i="2"/>
  <c r="U115" i="2"/>
  <c r="V115" i="2"/>
  <c r="W115" i="2"/>
  <c r="Y115" i="2"/>
  <c r="F120" i="2"/>
  <c r="G120" i="2"/>
  <c r="H120" i="2"/>
  <c r="S120" i="2" s="1"/>
  <c r="I120" i="2"/>
  <c r="J120" i="2"/>
  <c r="K120" i="2"/>
  <c r="L120" i="2"/>
  <c r="M120" i="2"/>
  <c r="N120" i="2"/>
  <c r="O120" i="2"/>
  <c r="P120" i="2"/>
  <c r="Q120" i="2"/>
  <c r="R120" i="2"/>
  <c r="T120" i="2"/>
  <c r="U120" i="2"/>
  <c r="V120" i="2"/>
  <c r="W120" i="2"/>
  <c r="Y120" i="2"/>
  <c r="F96" i="2"/>
  <c r="G96" i="2"/>
  <c r="H96" i="2"/>
  <c r="S96" i="2" s="1"/>
  <c r="I96" i="2"/>
  <c r="J96" i="2"/>
  <c r="K96" i="2"/>
  <c r="L96" i="2"/>
  <c r="M96" i="2"/>
  <c r="N96" i="2"/>
  <c r="O96" i="2"/>
  <c r="P96" i="2"/>
  <c r="Q96" i="2"/>
  <c r="R96" i="2"/>
  <c r="T96" i="2"/>
  <c r="U96" i="2"/>
  <c r="V96" i="2"/>
  <c r="W96" i="2"/>
  <c r="Y96" i="2"/>
  <c r="F101" i="2"/>
  <c r="G101" i="2"/>
  <c r="H101" i="2"/>
  <c r="S101" i="2" s="1"/>
  <c r="I101" i="2"/>
  <c r="J101" i="2"/>
  <c r="K101" i="2"/>
  <c r="Q34" i="9" s="1"/>
  <c r="L101" i="2"/>
  <c r="M101" i="2"/>
  <c r="N101" i="2"/>
  <c r="O101" i="2"/>
  <c r="P101" i="2"/>
  <c r="Q101" i="2"/>
  <c r="R101" i="2"/>
  <c r="T101" i="2"/>
  <c r="U101" i="2"/>
  <c r="V101" i="2"/>
  <c r="W101" i="2"/>
  <c r="Y101" i="2"/>
  <c r="F103" i="2"/>
  <c r="G103" i="2"/>
  <c r="H103" i="2"/>
  <c r="S103" i="2" s="1"/>
  <c r="I103" i="2"/>
  <c r="K56" i="9" s="1"/>
  <c r="J103" i="2"/>
  <c r="K103" i="2"/>
  <c r="L103" i="2"/>
  <c r="M103" i="2"/>
  <c r="N103" i="2"/>
  <c r="O103" i="2"/>
  <c r="P103" i="2"/>
  <c r="Q103" i="2"/>
  <c r="T56" i="9" s="1"/>
  <c r="R103" i="2"/>
  <c r="U56" i="9" s="1"/>
  <c r="T103" i="2"/>
  <c r="U103" i="2"/>
  <c r="V103" i="2"/>
  <c r="W103" i="2"/>
  <c r="Y103" i="2"/>
  <c r="F108" i="2"/>
  <c r="G108" i="2"/>
  <c r="H108" i="2"/>
  <c r="S108" i="2" s="1"/>
  <c r="I108" i="2"/>
  <c r="J108" i="2"/>
  <c r="K108" i="2"/>
  <c r="L108" i="2"/>
  <c r="M108" i="2"/>
  <c r="N108" i="2"/>
  <c r="O108" i="2"/>
  <c r="P108" i="2"/>
  <c r="Q108" i="2"/>
  <c r="R108" i="2"/>
  <c r="T108" i="2"/>
  <c r="U108" i="2"/>
  <c r="L64" i="9" s="1"/>
  <c r="V108" i="2"/>
  <c r="W108" i="2"/>
  <c r="Y108" i="2"/>
  <c r="F113" i="2"/>
  <c r="G113" i="2"/>
  <c r="H113" i="2"/>
  <c r="S113" i="2" s="1"/>
  <c r="I113" i="2"/>
  <c r="J113" i="2"/>
  <c r="K113" i="2"/>
  <c r="L113" i="2"/>
  <c r="M113" i="2"/>
  <c r="N113" i="2"/>
  <c r="O113" i="2"/>
  <c r="P113" i="2"/>
  <c r="Q113" i="2"/>
  <c r="R113" i="2"/>
  <c r="T113" i="2"/>
  <c r="U113" i="2"/>
  <c r="V113" i="2"/>
  <c r="W113" i="2"/>
  <c r="Y113" i="2"/>
  <c r="F119" i="2"/>
  <c r="G119" i="2"/>
  <c r="H119" i="2"/>
  <c r="S119" i="2" s="1"/>
  <c r="I119" i="2"/>
  <c r="J119" i="2"/>
  <c r="K119" i="2"/>
  <c r="Q103" i="9" s="1"/>
  <c r="L119" i="2"/>
  <c r="M119" i="2"/>
  <c r="N119" i="2"/>
  <c r="O119" i="2"/>
  <c r="P119" i="2"/>
  <c r="Q119" i="2"/>
  <c r="R119" i="2"/>
  <c r="T119" i="2"/>
  <c r="U119" i="2"/>
  <c r="V119" i="2"/>
  <c r="W119" i="2"/>
  <c r="Y119" i="2"/>
  <c r="F92" i="2"/>
  <c r="G92" i="2"/>
  <c r="H92" i="2"/>
  <c r="S92" i="2" s="1"/>
  <c r="I92" i="2"/>
  <c r="K12" i="9" s="1"/>
  <c r="J92" i="2"/>
  <c r="K92" i="2"/>
  <c r="L92" i="2"/>
  <c r="M92" i="2"/>
  <c r="N92" i="2"/>
  <c r="O92" i="2"/>
  <c r="P92" i="2"/>
  <c r="Q92" i="2"/>
  <c r="T12" i="9" s="1"/>
  <c r="R92" i="2"/>
  <c r="U12" i="9" s="1"/>
  <c r="T92" i="2"/>
  <c r="U92" i="2"/>
  <c r="V92" i="2"/>
  <c r="W92" i="2"/>
  <c r="Y92" i="2"/>
  <c r="F93" i="2"/>
  <c r="G93" i="2"/>
  <c r="H93" i="2"/>
  <c r="S93" i="2" s="1"/>
  <c r="I93" i="2"/>
  <c r="J93" i="2"/>
  <c r="K93" i="2"/>
  <c r="L93" i="2"/>
  <c r="M93" i="2"/>
  <c r="N93" i="2"/>
  <c r="O93" i="2"/>
  <c r="P93" i="2"/>
  <c r="Q93" i="2"/>
  <c r="R93" i="2"/>
  <c r="T93" i="2"/>
  <c r="U93" i="2"/>
  <c r="V93" i="2"/>
  <c r="W93" i="2"/>
  <c r="Y93" i="2"/>
  <c r="F94" i="2"/>
  <c r="G94" i="2"/>
  <c r="H94" i="2"/>
  <c r="S94" i="2" s="1"/>
  <c r="I94" i="2"/>
  <c r="J94" i="2"/>
  <c r="K94" i="2"/>
  <c r="L94" i="2"/>
  <c r="M94" i="2"/>
  <c r="N94" i="2"/>
  <c r="O94" i="2"/>
  <c r="P94" i="2"/>
  <c r="Q94" i="2"/>
  <c r="R94" i="2"/>
  <c r="T94" i="2"/>
  <c r="U94" i="2"/>
  <c r="V94" i="2"/>
  <c r="W94" i="2"/>
  <c r="Y94" i="2"/>
  <c r="F95" i="2"/>
  <c r="G95" i="2"/>
  <c r="H95" i="2"/>
  <c r="S95" i="2" s="1"/>
  <c r="I95" i="2"/>
  <c r="J95" i="2"/>
  <c r="K95" i="2"/>
  <c r="Q9" i="9" s="1"/>
  <c r="L95" i="2"/>
  <c r="M95" i="2"/>
  <c r="N95" i="2"/>
  <c r="O95" i="2"/>
  <c r="P95" i="2"/>
  <c r="Q95" i="2"/>
  <c r="R95" i="2"/>
  <c r="T95" i="2"/>
  <c r="U95" i="2"/>
  <c r="V95" i="2"/>
  <c r="W95" i="2"/>
  <c r="Y95" i="2"/>
  <c r="F97" i="2"/>
  <c r="G97" i="2"/>
  <c r="H97" i="2"/>
  <c r="S97" i="2" s="1"/>
  <c r="I97" i="2"/>
  <c r="K71" i="9" s="1"/>
  <c r="J97" i="2"/>
  <c r="K97" i="2"/>
  <c r="L97" i="2"/>
  <c r="M97" i="2"/>
  <c r="N97" i="2"/>
  <c r="O97" i="2"/>
  <c r="P97" i="2"/>
  <c r="Q97" i="2"/>
  <c r="T71" i="9" s="1"/>
  <c r="R97" i="2"/>
  <c r="U71" i="9" s="1"/>
  <c r="T97" i="2"/>
  <c r="U97" i="2"/>
  <c r="V97" i="2"/>
  <c r="W97" i="2"/>
  <c r="Y97" i="2"/>
  <c r="F98" i="2"/>
  <c r="G98" i="2"/>
  <c r="H98" i="2"/>
  <c r="I98" i="2"/>
  <c r="J98" i="2"/>
  <c r="K98" i="2"/>
  <c r="L98" i="2"/>
  <c r="M98" i="2"/>
  <c r="N98" i="2"/>
  <c r="O98" i="2"/>
  <c r="P98" i="2"/>
  <c r="Q98" i="2"/>
  <c r="R98" i="2"/>
  <c r="T98" i="2"/>
  <c r="U98" i="2"/>
  <c r="V98" i="2"/>
  <c r="Y16" i="9" s="1"/>
  <c r="W98" i="2"/>
  <c r="Y98" i="2"/>
  <c r="F104" i="2"/>
  <c r="G104" i="2"/>
  <c r="H104" i="2"/>
  <c r="S104" i="2" s="1"/>
  <c r="I104" i="2"/>
  <c r="J104" i="2"/>
  <c r="K104" i="2"/>
  <c r="L104" i="2"/>
  <c r="M104" i="2"/>
  <c r="N104" i="2"/>
  <c r="O104" i="2"/>
  <c r="P104" i="2"/>
  <c r="Q104" i="2"/>
  <c r="R104" i="2"/>
  <c r="T104" i="2"/>
  <c r="U104" i="2"/>
  <c r="V104" i="2"/>
  <c r="W104" i="2"/>
  <c r="Y104" i="2"/>
  <c r="F105" i="2"/>
  <c r="G105" i="2"/>
  <c r="H105" i="2"/>
  <c r="S105" i="2" s="1"/>
  <c r="I105" i="2"/>
  <c r="J105" i="2"/>
  <c r="K105" i="2"/>
  <c r="Q25" i="9" s="1"/>
  <c r="L105" i="2"/>
  <c r="M105" i="2"/>
  <c r="N105" i="2"/>
  <c r="O105" i="2"/>
  <c r="P105" i="2"/>
  <c r="Q105" i="2"/>
  <c r="R105" i="2"/>
  <c r="T105" i="2"/>
  <c r="U105" i="2"/>
  <c r="V105" i="2"/>
  <c r="W105" i="2"/>
  <c r="Y105" i="2"/>
  <c r="F110" i="2"/>
  <c r="G110" i="2"/>
  <c r="H110" i="2"/>
  <c r="S110" i="2" s="1"/>
  <c r="I110" i="2"/>
  <c r="K107" i="9" s="1"/>
  <c r="J110" i="2"/>
  <c r="K110" i="2"/>
  <c r="L110" i="2"/>
  <c r="M110" i="2"/>
  <c r="N110" i="2"/>
  <c r="O110" i="2"/>
  <c r="P110" i="2"/>
  <c r="Q110" i="2"/>
  <c r="T107" i="9" s="1"/>
  <c r="R110" i="2"/>
  <c r="U107" i="9" s="1"/>
  <c r="T110" i="2"/>
  <c r="U110" i="2"/>
  <c r="V110" i="2"/>
  <c r="W110" i="2"/>
  <c r="Y110" i="2"/>
  <c r="F111" i="2"/>
  <c r="G111" i="2"/>
  <c r="H111" i="2"/>
  <c r="S111" i="2" s="1"/>
  <c r="I111" i="2"/>
  <c r="J111" i="2"/>
  <c r="K111" i="2"/>
  <c r="L111" i="2"/>
  <c r="M111" i="2"/>
  <c r="N111" i="2"/>
  <c r="O111" i="2"/>
  <c r="P111" i="2"/>
  <c r="Q111" i="2"/>
  <c r="R111" i="2"/>
  <c r="T111" i="2"/>
  <c r="U111" i="2"/>
  <c r="V111" i="2"/>
  <c r="W111" i="2"/>
  <c r="Y111" i="2"/>
  <c r="F116" i="2"/>
  <c r="G116" i="2"/>
  <c r="H116" i="2"/>
  <c r="S116" i="2" s="1"/>
  <c r="I116" i="2"/>
  <c r="J116" i="2"/>
  <c r="K116" i="2"/>
  <c r="L116" i="2"/>
  <c r="M116" i="2"/>
  <c r="N116" i="2"/>
  <c r="O116" i="2"/>
  <c r="P116" i="2"/>
  <c r="Q116" i="2"/>
  <c r="R116" i="2"/>
  <c r="T116" i="2"/>
  <c r="U116" i="2"/>
  <c r="X117" i="9" s="1"/>
  <c r="V116" i="2"/>
  <c r="W116" i="2"/>
  <c r="Y116" i="2"/>
  <c r="F117" i="2"/>
  <c r="G117" i="2"/>
  <c r="H117" i="2"/>
  <c r="S117" i="2" s="1"/>
  <c r="I117" i="2"/>
  <c r="J117" i="2"/>
  <c r="K117" i="2"/>
  <c r="Q37" i="9" s="1"/>
  <c r="L117" i="2"/>
  <c r="M117" i="2"/>
  <c r="N117" i="2"/>
  <c r="O117" i="2"/>
  <c r="P117" i="2"/>
  <c r="Q117" i="2"/>
  <c r="R117" i="2"/>
  <c r="T117" i="2"/>
  <c r="U117" i="2"/>
  <c r="V117" i="2"/>
  <c r="W117" i="2"/>
  <c r="Y117" i="2"/>
  <c r="F132" i="2"/>
  <c r="G132" i="2"/>
  <c r="H132" i="2"/>
  <c r="S132" i="2" s="1"/>
  <c r="I132" i="2"/>
  <c r="K84" i="9" s="1"/>
  <c r="J132" i="2"/>
  <c r="K132" i="2"/>
  <c r="L132" i="2"/>
  <c r="M132" i="2"/>
  <c r="N132" i="2"/>
  <c r="O132" i="2"/>
  <c r="P132" i="2"/>
  <c r="Q132" i="2"/>
  <c r="T84" i="9" s="1"/>
  <c r="R132" i="2"/>
  <c r="U84" i="9" s="1"/>
  <c r="T132" i="2"/>
  <c r="U132" i="2"/>
  <c r="V132" i="2"/>
  <c r="W132" i="2"/>
  <c r="Y132" i="2"/>
  <c r="F136" i="2"/>
  <c r="G136" i="2"/>
  <c r="H136" i="2"/>
  <c r="S136" i="2" s="1"/>
  <c r="I136" i="2"/>
  <c r="J136" i="2"/>
  <c r="K136" i="2"/>
  <c r="L136" i="2"/>
  <c r="M136" i="2"/>
  <c r="N136" i="2"/>
  <c r="O136" i="2"/>
  <c r="P136" i="2"/>
  <c r="Q136" i="2"/>
  <c r="R136" i="2"/>
  <c r="T136" i="2"/>
  <c r="U136" i="2"/>
  <c r="V136" i="2"/>
  <c r="W136" i="2"/>
  <c r="Y136" i="2"/>
  <c r="F141" i="2"/>
  <c r="G141" i="2"/>
  <c r="H141" i="2"/>
  <c r="S141" i="2" s="1"/>
  <c r="I141" i="2"/>
  <c r="J141" i="2"/>
  <c r="K141" i="2"/>
  <c r="L141" i="2"/>
  <c r="M141" i="2"/>
  <c r="N141" i="2"/>
  <c r="O141" i="2"/>
  <c r="P141" i="2"/>
  <c r="Q141" i="2"/>
  <c r="R141" i="2"/>
  <c r="T141" i="2"/>
  <c r="U141" i="2"/>
  <c r="V141" i="2"/>
  <c r="W141" i="2"/>
  <c r="Y141" i="2"/>
  <c r="F144" i="2"/>
  <c r="G144" i="2"/>
  <c r="H144" i="2"/>
  <c r="S144" i="2" s="1"/>
  <c r="I144" i="2"/>
  <c r="J144" i="2"/>
  <c r="K144" i="2"/>
  <c r="Q134" i="9" s="1"/>
  <c r="L144" i="2"/>
  <c r="M144" i="2"/>
  <c r="N144" i="2"/>
  <c r="O144" i="2"/>
  <c r="P144" i="2"/>
  <c r="Q144" i="2"/>
  <c r="R144" i="2"/>
  <c r="T144" i="2"/>
  <c r="U144" i="2"/>
  <c r="V144" i="2"/>
  <c r="W144" i="2"/>
  <c r="Y144" i="2"/>
  <c r="F148" i="2"/>
  <c r="G148" i="2"/>
  <c r="H148" i="2"/>
  <c r="S148" i="2" s="1"/>
  <c r="I148" i="2"/>
  <c r="K135" i="9" s="1"/>
  <c r="J148" i="2"/>
  <c r="K148" i="2"/>
  <c r="L148" i="2"/>
  <c r="M148" i="2"/>
  <c r="N148" i="2"/>
  <c r="O148" i="2"/>
  <c r="P148" i="2"/>
  <c r="Q148" i="2"/>
  <c r="T135" i="9" s="1"/>
  <c r="R148" i="2"/>
  <c r="U135" i="9" s="1"/>
  <c r="T148" i="2"/>
  <c r="U148" i="2"/>
  <c r="V148" i="2"/>
  <c r="W148" i="2"/>
  <c r="Y148" i="2"/>
  <c r="F151" i="2"/>
  <c r="G151" i="2"/>
  <c r="H151" i="2"/>
  <c r="S151" i="2" s="1"/>
  <c r="I151" i="2"/>
  <c r="J151" i="2"/>
  <c r="K151" i="2"/>
  <c r="L151" i="2"/>
  <c r="M151" i="2"/>
  <c r="N151" i="2"/>
  <c r="O151" i="2"/>
  <c r="P151" i="2"/>
  <c r="Q151" i="2"/>
  <c r="R151" i="2"/>
  <c r="T151" i="2"/>
  <c r="U151" i="2"/>
  <c r="V151" i="2"/>
  <c r="W151" i="2"/>
  <c r="Y151" i="2"/>
  <c r="F130" i="2"/>
  <c r="G130" i="2"/>
  <c r="H130" i="2"/>
  <c r="I130" i="2"/>
  <c r="J130" i="2"/>
  <c r="K130" i="2"/>
  <c r="L130" i="2"/>
  <c r="M130" i="2"/>
  <c r="N130" i="2"/>
  <c r="O130" i="2"/>
  <c r="P130" i="2"/>
  <c r="Q130" i="2"/>
  <c r="R130" i="2"/>
  <c r="T130" i="2"/>
  <c r="U130" i="2"/>
  <c r="V130" i="2"/>
  <c r="W130" i="2"/>
  <c r="Y130" i="2"/>
  <c r="F133" i="2"/>
  <c r="G133" i="2"/>
  <c r="H133" i="2"/>
  <c r="S133" i="2" s="1"/>
  <c r="I133" i="2"/>
  <c r="J133" i="2"/>
  <c r="K133" i="2"/>
  <c r="Q74" i="9" s="1"/>
  <c r="L133" i="2"/>
  <c r="M133" i="2"/>
  <c r="N133" i="2"/>
  <c r="O133" i="2"/>
  <c r="P133" i="2"/>
  <c r="Q133" i="2"/>
  <c r="R133" i="2"/>
  <c r="T133" i="2"/>
  <c r="U133" i="2"/>
  <c r="V133" i="2"/>
  <c r="W133" i="2"/>
  <c r="Y133" i="2"/>
  <c r="F137" i="2"/>
  <c r="G137" i="2"/>
  <c r="H137" i="2"/>
  <c r="S137" i="2" s="1"/>
  <c r="I137" i="2"/>
  <c r="K88" i="9" s="1"/>
  <c r="J137" i="2"/>
  <c r="K137" i="2"/>
  <c r="L137" i="2"/>
  <c r="M137" i="2"/>
  <c r="N137" i="2"/>
  <c r="O137" i="2"/>
  <c r="P137" i="2"/>
  <c r="Q137" i="2"/>
  <c r="T88" i="9" s="1"/>
  <c r="R137" i="2"/>
  <c r="U88" i="9" s="1"/>
  <c r="T137" i="2"/>
  <c r="U137" i="2"/>
  <c r="V137" i="2"/>
  <c r="W137" i="2"/>
  <c r="Y137" i="2"/>
  <c r="F142" i="2"/>
  <c r="G142" i="2"/>
  <c r="H142" i="2"/>
  <c r="S142" i="2" s="1"/>
  <c r="I142" i="2"/>
  <c r="J142" i="2"/>
  <c r="K142" i="2"/>
  <c r="L142" i="2"/>
  <c r="M142" i="2"/>
  <c r="N142" i="2"/>
  <c r="O142" i="2"/>
  <c r="P142" i="2"/>
  <c r="Q142" i="2"/>
  <c r="R142" i="2"/>
  <c r="T142" i="2"/>
  <c r="U142" i="2"/>
  <c r="V142" i="2"/>
  <c r="W142" i="2"/>
  <c r="Y142" i="2"/>
  <c r="F145" i="2"/>
  <c r="G145" i="2"/>
  <c r="H145" i="2"/>
  <c r="S145" i="2" s="1"/>
  <c r="I145" i="2"/>
  <c r="J145" i="2"/>
  <c r="K145" i="2"/>
  <c r="L145" i="2"/>
  <c r="M145" i="2"/>
  <c r="N145" i="2"/>
  <c r="O145" i="2"/>
  <c r="P145" i="2"/>
  <c r="Q145" i="2"/>
  <c r="R145" i="2"/>
  <c r="T145" i="2"/>
  <c r="U145" i="2"/>
  <c r="V145" i="2"/>
  <c r="W145" i="2"/>
  <c r="Y145" i="2"/>
  <c r="F150" i="2"/>
  <c r="G150" i="2"/>
  <c r="H150" i="2"/>
  <c r="S150" i="2" s="1"/>
  <c r="I150" i="2"/>
  <c r="J150" i="2"/>
  <c r="K150" i="2"/>
  <c r="Q129" i="9" s="1"/>
  <c r="L150" i="2"/>
  <c r="M150" i="2"/>
  <c r="N150" i="2"/>
  <c r="O150" i="2"/>
  <c r="P150" i="2"/>
  <c r="Q150" i="2"/>
  <c r="R150" i="2"/>
  <c r="T150" i="2"/>
  <c r="U150" i="2"/>
  <c r="V150" i="2"/>
  <c r="W150" i="2"/>
  <c r="Y150" i="2"/>
  <c r="F122" i="2"/>
  <c r="G122" i="2"/>
  <c r="H122" i="2"/>
  <c r="I122" i="2"/>
  <c r="K5" i="9" s="1"/>
  <c r="J122" i="2"/>
  <c r="K122" i="2"/>
  <c r="L122" i="2"/>
  <c r="M122" i="2"/>
  <c r="N122" i="2"/>
  <c r="O122" i="2"/>
  <c r="P122" i="2"/>
  <c r="Q122" i="2"/>
  <c r="T5" i="9" s="1"/>
  <c r="R122" i="2"/>
  <c r="U5" i="9" s="1"/>
  <c r="T122" i="2"/>
  <c r="U122" i="2"/>
  <c r="V122" i="2"/>
  <c r="W122" i="2"/>
  <c r="Y122" i="2"/>
  <c r="F127" i="2"/>
  <c r="G127" i="2"/>
  <c r="H127" i="2"/>
  <c r="S127" i="2" s="1"/>
  <c r="I127" i="2"/>
  <c r="J127" i="2"/>
  <c r="K127" i="2"/>
  <c r="L127" i="2"/>
  <c r="M127" i="2"/>
  <c r="N127" i="2"/>
  <c r="O127" i="2"/>
  <c r="P127" i="2"/>
  <c r="Q127" i="2"/>
  <c r="R127" i="2"/>
  <c r="T127" i="2"/>
  <c r="U127" i="2"/>
  <c r="V127" i="2"/>
  <c r="W127" i="2"/>
  <c r="Y127" i="2"/>
  <c r="F131" i="2"/>
  <c r="G131" i="2"/>
  <c r="H131" i="2"/>
  <c r="S131" i="2" s="1"/>
  <c r="I131" i="2"/>
  <c r="J131" i="2"/>
  <c r="K131" i="2"/>
  <c r="L131" i="2"/>
  <c r="M131" i="2"/>
  <c r="N131" i="2"/>
  <c r="O131" i="2"/>
  <c r="P131" i="2"/>
  <c r="Q131" i="2"/>
  <c r="R131" i="2"/>
  <c r="T131" i="2"/>
  <c r="U131" i="2"/>
  <c r="V131" i="2"/>
  <c r="W131" i="2"/>
  <c r="Y131" i="2"/>
  <c r="F138" i="2"/>
  <c r="G138" i="2"/>
  <c r="H138" i="2"/>
  <c r="I138" i="2"/>
  <c r="J138" i="2"/>
  <c r="K138" i="2"/>
  <c r="Q45" i="9" s="1"/>
  <c r="L138" i="2"/>
  <c r="M138" i="2"/>
  <c r="N138" i="2"/>
  <c r="O138" i="2"/>
  <c r="P138" i="2"/>
  <c r="Q138" i="2"/>
  <c r="R138" i="2"/>
  <c r="T138" i="2"/>
  <c r="U138" i="2"/>
  <c r="V138" i="2"/>
  <c r="Y45" i="9" s="1"/>
  <c r="W138" i="2"/>
  <c r="Y138" i="2"/>
  <c r="F143" i="2"/>
  <c r="G143" i="2"/>
  <c r="H143" i="2"/>
  <c r="S143" i="2" s="1"/>
  <c r="I143" i="2"/>
  <c r="K55" i="9" s="1"/>
  <c r="J143" i="2"/>
  <c r="K143" i="2"/>
  <c r="L143" i="2"/>
  <c r="M143" i="2"/>
  <c r="N143" i="2"/>
  <c r="O143" i="2"/>
  <c r="P143" i="2"/>
  <c r="Q143" i="2"/>
  <c r="T55" i="9" s="1"/>
  <c r="R143" i="2"/>
  <c r="U55" i="9" s="1"/>
  <c r="T143" i="2"/>
  <c r="U143" i="2"/>
  <c r="V143" i="2"/>
  <c r="W143" i="2"/>
  <c r="Y143" i="2"/>
  <c r="F149" i="2"/>
  <c r="G149" i="2"/>
  <c r="H149" i="2"/>
  <c r="S149" i="2" s="1"/>
  <c r="I149" i="2"/>
  <c r="J149" i="2"/>
  <c r="K149" i="2"/>
  <c r="L149" i="2"/>
  <c r="M149" i="2"/>
  <c r="N149" i="2"/>
  <c r="O149" i="2"/>
  <c r="P149" i="2"/>
  <c r="Q149" i="2"/>
  <c r="R149" i="2"/>
  <c r="T149" i="2"/>
  <c r="U149" i="2"/>
  <c r="V149" i="2"/>
  <c r="W149" i="2"/>
  <c r="Y149" i="2"/>
  <c r="F123" i="2"/>
  <c r="G123" i="2"/>
  <c r="H123" i="2"/>
  <c r="S123" i="2" s="1"/>
  <c r="I123" i="2"/>
  <c r="J123" i="2"/>
  <c r="K123" i="2"/>
  <c r="L123" i="2"/>
  <c r="M123" i="2"/>
  <c r="N123" i="2"/>
  <c r="O123" i="2"/>
  <c r="P123" i="2"/>
  <c r="Q123" i="2"/>
  <c r="R123" i="2"/>
  <c r="T123" i="2"/>
  <c r="U123" i="2"/>
  <c r="V123" i="2"/>
  <c r="W123" i="2"/>
  <c r="Y123" i="2"/>
  <c r="F124" i="2"/>
  <c r="G124" i="2"/>
  <c r="H124" i="2"/>
  <c r="S124" i="2" s="1"/>
  <c r="I124" i="2"/>
  <c r="J124" i="2"/>
  <c r="K124" i="2"/>
  <c r="Q11" i="9" s="1"/>
  <c r="L124" i="2"/>
  <c r="M124" i="2"/>
  <c r="N124" i="2"/>
  <c r="O124" i="2"/>
  <c r="P124" i="2"/>
  <c r="Q124" i="2"/>
  <c r="R124" i="2"/>
  <c r="T124" i="2"/>
  <c r="U124" i="2"/>
  <c r="X11" i="9" s="1"/>
  <c r="V124" i="2"/>
  <c r="W124" i="2"/>
  <c r="Y124" i="2"/>
  <c r="F125" i="2"/>
  <c r="G125" i="2"/>
  <c r="H125" i="2"/>
  <c r="S125" i="2" s="1"/>
  <c r="I125" i="2"/>
  <c r="K62" i="9" s="1"/>
  <c r="J125" i="2"/>
  <c r="K125" i="2"/>
  <c r="L125" i="2"/>
  <c r="M125" i="2"/>
  <c r="N125" i="2"/>
  <c r="O125" i="2"/>
  <c r="P125" i="2"/>
  <c r="Q125" i="2"/>
  <c r="T62" i="9" s="1"/>
  <c r="R125" i="2"/>
  <c r="U62" i="9" s="1"/>
  <c r="T125" i="2"/>
  <c r="U125" i="2"/>
  <c r="V125" i="2"/>
  <c r="W125" i="2"/>
  <c r="Y125" i="2"/>
  <c r="F126" i="2"/>
  <c r="G126" i="2"/>
  <c r="H126" i="2"/>
  <c r="S126" i="2" s="1"/>
  <c r="I126" i="2"/>
  <c r="J126" i="2"/>
  <c r="K126" i="2"/>
  <c r="L126" i="2"/>
  <c r="M126" i="2"/>
  <c r="N126" i="2"/>
  <c r="O126" i="2"/>
  <c r="P126" i="2"/>
  <c r="Q126" i="2"/>
  <c r="R126" i="2"/>
  <c r="T126" i="2"/>
  <c r="U126" i="2"/>
  <c r="V126" i="2"/>
  <c r="W126" i="2"/>
  <c r="Y126" i="2"/>
  <c r="F128" i="2"/>
  <c r="G128" i="2"/>
  <c r="H128" i="2"/>
  <c r="S128" i="2" s="1"/>
  <c r="I128" i="2"/>
  <c r="J128" i="2"/>
  <c r="K128" i="2"/>
  <c r="L128" i="2"/>
  <c r="M128" i="2"/>
  <c r="N128" i="2"/>
  <c r="O128" i="2"/>
  <c r="P128" i="2"/>
  <c r="Q128" i="2"/>
  <c r="R128" i="2"/>
  <c r="T128" i="2"/>
  <c r="U128" i="2"/>
  <c r="V128" i="2"/>
  <c r="W128" i="2"/>
  <c r="Y128" i="2"/>
  <c r="F129" i="2"/>
  <c r="G129" i="2"/>
  <c r="H129" i="2"/>
  <c r="S129" i="2" s="1"/>
  <c r="I129" i="2"/>
  <c r="J129" i="2"/>
  <c r="K129" i="2"/>
  <c r="Q23" i="9" s="1"/>
  <c r="L129" i="2"/>
  <c r="M129" i="2"/>
  <c r="N129" i="2"/>
  <c r="O129" i="2"/>
  <c r="P129" i="2"/>
  <c r="Q129" i="2"/>
  <c r="R129" i="2"/>
  <c r="T129" i="2"/>
  <c r="U129" i="2"/>
  <c r="V129" i="2"/>
  <c r="W129" i="2"/>
  <c r="Y129" i="2"/>
  <c r="F134" i="2"/>
  <c r="G134" i="2"/>
  <c r="H134" i="2"/>
  <c r="S134" i="2" s="1"/>
  <c r="I134" i="2"/>
  <c r="K112" i="9" s="1"/>
  <c r="J134" i="2"/>
  <c r="K134" i="2"/>
  <c r="L134" i="2"/>
  <c r="M134" i="2"/>
  <c r="N134" i="2"/>
  <c r="O134" i="2"/>
  <c r="P134" i="2"/>
  <c r="Q134" i="2"/>
  <c r="T112" i="9" s="1"/>
  <c r="R134" i="2"/>
  <c r="U112" i="9" s="1"/>
  <c r="T134" i="2"/>
  <c r="U134" i="2"/>
  <c r="V134" i="2"/>
  <c r="W134" i="2"/>
  <c r="Y134" i="2"/>
  <c r="F135" i="2"/>
  <c r="G135" i="2"/>
  <c r="H135" i="2"/>
  <c r="K35" i="9" s="1"/>
  <c r="I135" i="2"/>
  <c r="J135" i="2"/>
  <c r="K135" i="2"/>
  <c r="L135" i="2"/>
  <c r="M135" i="2"/>
  <c r="N135" i="2"/>
  <c r="O135" i="2"/>
  <c r="P135" i="2"/>
  <c r="Q135" i="2"/>
  <c r="R135" i="2"/>
  <c r="T135" i="2"/>
  <c r="U135" i="2"/>
  <c r="V135" i="2"/>
  <c r="W135" i="2"/>
  <c r="Y135" i="2"/>
  <c r="F139" i="2"/>
  <c r="G139" i="2"/>
  <c r="H139" i="2"/>
  <c r="S139" i="2" s="1"/>
  <c r="I139" i="2"/>
  <c r="J139" i="2"/>
  <c r="K139" i="2"/>
  <c r="L139" i="2"/>
  <c r="M139" i="2"/>
  <c r="N139" i="2"/>
  <c r="O139" i="2"/>
  <c r="P139" i="2"/>
  <c r="Q139" i="2"/>
  <c r="R139" i="2"/>
  <c r="T139" i="2"/>
  <c r="U139" i="2"/>
  <c r="V139" i="2"/>
  <c r="W139" i="2"/>
  <c r="Y139" i="2"/>
  <c r="F140" i="2"/>
  <c r="G140" i="2"/>
  <c r="H140" i="2"/>
  <c r="S140" i="2" s="1"/>
  <c r="I140" i="2"/>
  <c r="J140" i="2"/>
  <c r="K140" i="2"/>
  <c r="Q43" i="9" s="1"/>
  <c r="L140" i="2"/>
  <c r="M140" i="2"/>
  <c r="N140" i="2"/>
  <c r="O140" i="2"/>
  <c r="P140" i="2"/>
  <c r="Q140" i="2"/>
  <c r="R140" i="2"/>
  <c r="T140" i="2"/>
  <c r="U140" i="2"/>
  <c r="V140" i="2"/>
  <c r="W140" i="2"/>
  <c r="Y140" i="2"/>
  <c r="F146" i="2"/>
  <c r="G146" i="2"/>
  <c r="H146" i="2"/>
  <c r="I146" i="2"/>
  <c r="K133" i="9" s="1"/>
  <c r="J146" i="2"/>
  <c r="K146" i="2"/>
  <c r="L146" i="2"/>
  <c r="M146" i="2"/>
  <c r="N146" i="2"/>
  <c r="S146" i="2" s="1"/>
  <c r="O146" i="2"/>
  <c r="P146" i="2"/>
  <c r="Q146" i="2"/>
  <c r="T133" i="9" s="1"/>
  <c r="R146" i="2"/>
  <c r="U133" i="9" s="1"/>
  <c r="T146" i="2"/>
  <c r="U146" i="2"/>
  <c r="V146" i="2"/>
  <c r="W146" i="2"/>
  <c r="Y146" i="2"/>
  <c r="F147" i="2"/>
  <c r="G147" i="2"/>
  <c r="H147" i="2"/>
  <c r="S147" i="2" s="1"/>
  <c r="I147" i="2"/>
  <c r="J147" i="2"/>
  <c r="K147" i="2"/>
  <c r="L147" i="2"/>
  <c r="M147" i="2"/>
  <c r="N147" i="2"/>
  <c r="O147" i="2"/>
  <c r="P147" i="2"/>
  <c r="Q147" i="2"/>
  <c r="R147" i="2"/>
  <c r="T147" i="2"/>
  <c r="U147" i="2"/>
  <c r="V147" i="2"/>
  <c r="W147" i="2"/>
  <c r="Y147" i="2"/>
  <c r="G9" i="2"/>
  <c r="H9" i="2"/>
  <c r="S9" i="2" s="1"/>
  <c r="I9" i="2"/>
  <c r="K26" i="9" s="1"/>
  <c r="J9" i="2"/>
  <c r="K9" i="2"/>
  <c r="L9" i="2"/>
  <c r="M9" i="2"/>
  <c r="N9" i="2"/>
  <c r="O9" i="2"/>
  <c r="P9" i="2"/>
  <c r="Q9" i="2"/>
  <c r="T26" i="9" s="1"/>
  <c r="R9" i="2"/>
  <c r="T9" i="2"/>
  <c r="U9" i="2"/>
  <c r="V9" i="2"/>
  <c r="W9" i="2"/>
  <c r="Y9" i="2"/>
  <c r="F9" i="2"/>
  <c r="S138" i="2" l="1"/>
  <c r="S26" i="2"/>
  <c r="S18" i="2"/>
  <c r="U11" i="9"/>
  <c r="U45" i="9"/>
  <c r="R45" i="9" s="1"/>
  <c r="U129" i="9"/>
  <c r="U74" i="9"/>
  <c r="R74" i="9" s="1"/>
  <c r="U134" i="9"/>
  <c r="U37" i="9"/>
  <c r="U25" i="9"/>
  <c r="U9" i="9"/>
  <c r="U103" i="9"/>
  <c r="U34" i="9"/>
  <c r="R34" i="9" s="1"/>
  <c r="U106" i="9"/>
  <c r="U142" i="9"/>
  <c r="R142" i="9" s="1"/>
  <c r="U87" i="9"/>
  <c r="U60" i="9"/>
  <c r="U30" i="9"/>
  <c r="U19" i="9"/>
  <c r="U70" i="9"/>
  <c r="U38" i="9"/>
  <c r="R38" i="9" s="1"/>
  <c r="U15" i="9"/>
  <c r="U3" i="9"/>
  <c r="U73" i="9"/>
  <c r="U149" i="9"/>
  <c r="U54" i="9"/>
  <c r="M72" i="9"/>
  <c r="M14" i="9"/>
  <c r="L52" i="9"/>
  <c r="S122" i="2"/>
  <c r="S106" i="2"/>
  <c r="S90" i="2"/>
  <c r="S34" i="2"/>
  <c r="U43" i="9"/>
  <c r="U23" i="9"/>
  <c r="T43" i="9"/>
  <c r="K43" i="9"/>
  <c r="T23" i="9"/>
  <c r="K23" i="9"/>
  <c r="T11" i="9"/>
  <c r="R11" i="9" s="1"/>
  <c r="K11" i="9"/>
  <c r="T45" i="9"/>
  <c r="K45" i="9"/>
  <c r="T129" i="9"/>
  <c r="K129" i="9"/>
  <c r="T74" i="9"/>
  <c r="K74" i="9"/>
  <c r="T134" i="9"/>
  <c r="R134" i="9" s="1"/>
  <c r="K134" i="9"/>
  <c r="T37" i="9"/>
  <c r="K37" i="9"/>
  <c r="T25" i="9"/>
  <c r="K25" i="9"/>
  <c r="T9" i="9"/>
  <c r="K9" i="9"/>
  <c r="T103" i="9"/>
  <c r="K103" i="9"/>
  <c r="T34" i="9"/>
  <c r="K34" i="9"/>
  <c r="T106" i="9"/>
  <c r="K106" i="9"/>
  <c r="T142" i="9"/>
  <c r="K142" i="9"/>
  <c r="T87" i="9"/>
  <c r="R87" i="9" s="1"/>
  <c r="K87" i="9"/>
  <c r="T60" i="9"/>
  <c r="T30" i="9"/>
  <c r="K30" i="9"/>
  <c r="K93" i="9"/>
  <c r="Q91" i="9"/>
  <c r="Q143" i="9"/>
  <c r="R143" i="9" s="1"/>
  <c r="T97" i="9"/>
  <c r="K97" i="9"/>
  <c r="Q81" i="9"/>
  <c r="T38" i="9"/>
  <c r="Q118" i="9"/>
  <c r="T15" i="9"/>
  <c r="Q69" i="9"/>
  <c r="T3" i="9"/>
  <c r="Q6" i="9"/>
  <c r="R6" i="9" s="1"/>
  <c r="T73" i="9"/>
  <c r="Q57" i="9"/>
  <c r="T149" i="9"/>
  <c r="Q124" i="9"/>
  <c r="T54" i="9"/>
  <c r="Q47" i="9"/>
  <c r="T130" i="9"/>
  <c r="Q102" i="9"/>
  <c r="R102" i="9" s="1"/>
  <c r="N14" i="9"/>
  <c r="M31" i="9"/>
  <c r="M137" i="9"/>
  <c r="M21" i="9"/>
  <c r="M104" i="9"/>
  <c r="S135" i="2"/>
  <c r="S63" i="2"/>
  <c r="S31" i="2"/>
  <c r="N31" i="9"/>
  <c r="N137" i="9"/>
  <c r="N21" i="9"/>
  <c r="U67" i="9"/>
  <c r="U35" i="9"/>
  <c r="S23" i="9"/>
  <c r="U13" i="9"/>
  <c r="S11" i="9"/>
  <c r="U63" i="9"/>
  <c r="S45" i="9"/>
  <c r="U20" i="9"/>
  <c r="S129" i="9"/>
  <c r="U96" i="9"/>
  <c r="S74" i="9"/>
  <c r="U147" i="9"/>
  <c r="R147" i="9" s="1"/>
  <c r="S134" i="9"/>
  <c r="U95" i="9"/>
  <c r="S37" i="9"/>
  <c r="U33" i="9"/>
  <c r="S25" i="9"/>
  <c r="U16" i="9"/>
  <c r="S9" i="9"/>
  <c r="U2" i="9"/>
  <c r="X12" i="9"/>
  <c r="S103" i="9"/>
  <c r="U64" i="9"/>
  <c r="S34" i="9"/>
  <c r="U136" i="9"/>
  <c r="S106" i="9"/>
  <c r="U59" i="9"/>
  <c r="S142" i="9"/>
  <c r="U122" i="9"/>
  <c r="S87" i="9"/>
  <c r="U79" i="9"/>
  <c r="S60" i="9"/>
  <c r="U36" i="9"/>
  <c r="S30" i="9"/>
  <c r="U17" i="9"/>
  <c r="S19" i="9"/>
  <c r="U113" i="9"/>
  <c r="S70" i="9"/>
  <c r="U24" i="9"/>
  <c r="S123" i="9"/>
  <c r="U85" i="9"/>
  <c r="S50" i="9"/>
  <c r="U148" i="9"/>
  <c r="S132" i="9"/>
  <c r="U114" i="9"/>
  <c r="S86" i="9"/>
  <c r="L126" i="9"/>
  <c r="L48" i="9"/>
  <c r="U52" i="9"/>
  <c r="L29" i="9"/>
  <c r="S97" i="9"/>
  <c r="L138" i="9"/>
  <c r="S38" i="9"/>
  <c r="S15" i="9"/>
  <c r="S3" i="9"/>
  <c r="S73" i="9"/>
  <c r="S149" i="9"/>
  <c r="L83" i="9"/>
  <c r="S54" i="9"/>
  <c r="L144" i="9"/>
  <c r="S130" i="9"/>
  <c r="N57" i="9"/>
  <c r="M151" i="9"/>
  <c r="M87" i="9"/>
  <c r="S43" i="9"/>
  <c r="T67" i="9"/>
  <c r="K67" i="9"/>
  <c r="Q133" i="9"/>
  <c r="R133" i="9" s="1"/>
  <c r="K96" i="9"/>
  <c r="Q18" i="9"/>
  <c r="Q61" i="9"/>
  <c r="Q145" i="9"/>
  <c r="Q109" i="9"/>
  <c r="Q126" i="9"/>
  <c r="R126" i="9" s="1"/>
  <c r="Q92" i="9"/>
  <c r="Q48" i="9"/>
  <c r="R48" i="9" s="1"/>
  <c r="Q29" i="9"/>
  <c r="R29" i="9" s="1"/>
  <c r="Q127" i="9"/>
  <c r="Q76" i="9"/>
  <c r="Q120" i="9"/>
  <c r="Q138" i="9"/>
  <c r="Q105" i="9"/>
  <c r="Q58" i="9"/>
  <c r="Q99" i="9"/>
  <c r="R99" i="9" s="1"/>
  <c r="Q39" i="9"/>
  <c r="Q83" i="9"/>
  <c r="Q144" i="9"/>
  <c r="M89" i="9"/>
  <c r="N151" i="9"/>
  <c r="M45" i="9"/>
  <c r="N89" i="9"/>
  <c r="M40" i="9"/>
  <c r="X133" i="9"/>
  <c r="L133" i="9"/>
  <c r="X62" i="9"/>
  <c r="L62" i="9"/>
  <c r="X5" i="9"/>
  <c r="L5" i="9"/>
  <c r="X135" i="9"/>
  <c r="L135" i="9"/>
  <c r="X107" i="9"/>
  <c r="L107" i="9"/>
  <c r="Z121" i="9"/>
  <c r="N121" i="9"/>
  <c r="S26" i="9"/>
  <c r="Y121" i="9"/>
  <c r="M121" i="9"/>
  <c r="V11" i="9"/>
  <c r="O11" i="9"/>
  <c r="Y116" i="9"/>
  <c r="M116" i="9"/>
  <c r="V134" i="9"/>
  <c r="O134" i="9"/>
  <c r="Y100" i="9"/>
  <c r="M100" i="9"/>
  <c r="V103" i="9"/>
  <c r="O103" i="9"/>
  <c r="Y80" i="9"/>
  <c r="M80" i="9"/>
  <c r="V142" i="9"/>
  <c r="O142" i="9"/>
  <c r="Y128" i="9"/>
  <c r="M128" i="9"/>
  <c r="V19" i="9"/>
  <c r="O19" i="9"/>
  <c r="Y101" i="9"/>
  <c r="M101" i="9"/>
  <c r="Y125" i="9"/>
  <c r="M125" i="9"/>
  <c r="V40" i="9"/>
  <c r="W40" i="9" s="1"/>
  <c r="O40" i="9"/>
  <c r="Y65" i="9"/>
  <c r="M65" i="9"/>
  <c r="V104" i="9"/>
  <c r="O104" i="9"/>
  <c r="V38" i="9"/>
  <c r="O38" i="9"/>
  <c r="T58" i="9"/>
  <c r="M58" i="9"/>
  <c r="Y6" i="9"/>
  <c r="M6" i="9"/>
  <c r="Y26" i="9"/>
  <c r="S67" i="9"/>
  <c r="S35" i="9"/>
  <c r="Z13" i="9"/>
  <c r="N13" i="9"/>
  <c r="M26" i="9"/>
  <c r="L11" i="9"/>
  <c r="U26" i="9"/>
  <c r="V67" i="9"/>
  <c r="O67" i="9"/>
  <c r="Q67" i="9"/>
  <c r="Y133" i="9"/>
  <c r="M133" i="9"/>
  <c r="T121" i="9"/>
  <c r="K121" i="9"/>
  <c r="V35" i="9"/>
  <c r="O35" i="9"/>
  <c r="Q35" i="9"/>
  <c r="Y112" i="9"/>
  <c r="M112" i="9"/>
  <c r="T90" i="9"/>
  <c r="K90" i="9"/>
  <c r="Q20" i="9"/>
  <c r="M92" i="9"/>
  <c r="X112" i="9"/>
  <c r="L112" i="9"/>
  <c r="Z9" i="9"/>
  <c r="N9" i="9"/>
  <c r="Z103" i="9"/>
  <c r="N103" i="9"/>
  <c r="X56" i="9"/>
  <c r="L56" i="9"/>
  <c r="Z34" i="9"/>
  <c r="N34" i="9"/>
  <c r="X108" i="9"/>
  <c r="L108" i="9"/>
  <c r="Z106" i="9"/>
  <c r="N106" i="9"/>
  <c r="X46" i="9"/>
  <c r="L46" i="9"/>
  <c r="Z142" i="9"/>
  <c r="N142" i="9"/>
  <c r="X98" i="9"/>
  <c r="L98" i="9"/>
  <c r="Z87" i="9"/>
  <c r="N87" i="9"/>
  <c r="X140" i="9"/>
  <c r="L140" i="9"/>
  <c r="Z60" i="9"/>
  <c r="N60" i="9"/>
  <c r="X111" i="9"/>
  <c r="L111" i="9"/>
  <c r="Z30" i="9"/>
  <c r="N30" i="9"/>
  <c r="X66" i="9"/>
  <c r="Z19" i="9"/>
  <c r="N19" i="9"/>
  <c r="X78" i="9"/>
  <c r="L78" i="9"/>
  <c r="Z70" i="9"/>
  <c r="N70" i="9"/>
  <c r="X18" i="9"/>
  <c r="L18" i="9"/>
  <c r="Z123" i="9"/>
  <c r="N123" i="9"/>
  <c r="X61" i="9"/>
  <c r="L61" i="9"/>
  <c r="Z50" i="9"/>
  <c r="N50" i="9"/>
  <c r="X145" i="9"/>
  <c r="L145" i="9"/>
  <c r="Z132" i="9"/>
  <c r="N132" i="9"/>
  <c r="X109" i="9"/>
  <c r="L109" i="9"/>
  <c r="Z86" i="9"/>
  <c r="N86" i="9"/>
  <c r="Z23" i="9"/>
  <c r="N23" i="9"/>
  <c r="Z45" i="9"/>
  <c r="N45" i="9"/>
  <c r="Z37" i="9"/>
  <c r="N37" i="9"/>
  <c r="V133" i="9"/>
  <c r="O133" i="9"/>
  <c r="X23" i="9"/>
  <c r="L23" i="9"/>
  <c r="Z90" i="9"/>
  <c r="N90" i="9"/>
  <c r="S90" i="9"/>
  <c r="Z42" i="9"/>
  <c r="N42" i="9"/>
  <c r="S42" i="9"/>
  <c r="X45" i="9"/>
  <c r="L45" i="9"/>
  <c r="Z27" i="9"/>
  <c r="N27" i="9"/>
  <c r="S27" i="9"/>
  <c r="X129" i="9"/>
  <c r="L129" i="9"/>
  <c r="Z116" i="9"/>
  <c r="N116" i="9"/>
  <c r="S116" i="9"/>
  <c r="X74" i="9"/>
  <c r="L74" i="9"/>
  <c r="Z77" i="9"/>
  <c r="N77" i="9"/>
  <c r="S77" i="9"/>
  <c r="X134" i="9"/>
  <c r="L134" i="9"/>
  <c r="Z119" i="9"/>
  <c r="N119" i="9"/>
  <c r="S119" i="9"/>
  <c r="X37" i="9"/>
  <c r="L37" i="9"/>
  <c r="Z117" i="9"/>
  <c r="N117" i="9"/>
  <c r="S117" i="9"/>
  <c r="X25" i="9"/>
  <c r="L25" i="9"/>
  <c r="Z100" i="9"/>
  <c r="N100" i="9"/>
  <c r="S100" i="9"/>
  <c r="X9" i="9"/>
  <c r="L9" i="9"/>
  <c r="Z53" i="9"/>
  <c r="N53" i="9"/>
  <c r="S53" i="9"/>
  <c r="X103" i="9"/>
  <c r="L103" i="9"/>
  <c r="Z82" i="9"/>
  <c r="N82" i="9"/>
  <c r="S82" i="9"/>
  <c r="X34" i="9"/>
  <c r="L34" i="9"/>
  <c r="Z41" i="9"/>
  <c r="N41" i="9"/>
  <c r="S41" i="9"/>
  <c r="L106" i="9"/>
  <c r="X106" i="9"/>
  <c r="Z80" i="9"/>
  <c r="N80" i="9"/>
  <c r="S80" i="9"/>
  <c r="M76" i="9"/>
  <c r="L66" i="9"/>
  <c r="Z25" i="9"/>
  <c r="N25" i="9"/>
  <c r="Y43" i="9"/>
  <c r="M43" i="9"/>
  <c r="S121" i="9"/>
  <c r="V43" i="9"/>
  <c r="O43" i="9"/>
  <c r="Y42" i="9"/>
  <c r="M42" i="9"/>
  <c r="V129" i="9"/>
  <c r="O129" i="9"/>
  <c r="Y119" i="9"/>
  <c r="M119" i="9"/>
  <c r="V25" i="9"/>
  <c r="W25" i="9" s="1"/>
  <c r="O25" i="9"/>
  <c r="Y82" i="9"/>
  <c r="M82" i="9"/>
  <c r="V106" i="9"/>
  <c r="O106" i="9"/>
  <c r="Y28" i="9"/>
  <c r="M28" i="9"/>
  <c r="V30" i="9"/>
  <c r="O30" i="9"/>
  <c r="Y44" i="9"/>
  <c r="M44" i="9"/>
  <c r="V50" i="9"/>
  <c r="O50" i="9"/>
  <c r="V132" i="9"/>
  <c r="O132" i="9"/>
  <c r="Y141" i="9"/>
  <c r="M141" i="9"/>
  <c r="V14" i="9"/>
  <c r="O14" i="9"/>
  <c r="Y4" i="9"/>
  <c r="M4" i="9"/>
  <c r="V150" i="9"/>
  <c r="O150" i="9"/>
  <c r="Y118" i="9"/>
  <c r="M118" i="9"/>
  <c r="V3" i="9"/>
  <c r="O3" i="9"/>
  <c r="T99" i="9"/>
  <c r="M99" i="9"/>
  <c r="Y57" i="9"/>
  <c r="M57" i="9"/>
  <c r="T39" i="9"/>
  <c r="M39" i="9"/>
  <c r="V149" i="9"/>
  <c r="O149" i="9"/>
  <c r="V54" i="9"/>
  <c r="O54" i="9"/>
  <c r="Y47" i="9"/>
  <c r="M47" i="9"/>
  <c r="V130" i="9"/>
  <c r="W130" i="9" s="1"/>
  <c r="O130" i="9"/>
  <c r="Y102" i="9"/>
  <c r="M102" i="9"/>
  <c r="Z43" i="9"/>
  <c r="N43" i="9"/>
  <c r="Z11" i="9"/>
  <c r="N11" i="9"/>
  <c r="X55" i="9"/>
  <c r="L55" i="9"/>
  <c r="Z129" i="9"/>
  <c r="N129" i="9"/>
  <c r="X88" i="9"/>
  <c r="L88" i="9"/>
  <c r="Z134" i="9"/>
  <c r="N134" i="9"/>
  <c r="X84" i="9"/>
  <c r="L84" i="9"/>
  <c r="X71" i="9"/>
  <c r="L71" i="9"/>
  <c r="Z26" i="9"/>
  <c r="N26" i="9"/>
  <c r="V23" i="9"/>
  <c r="O23" i="9"/>
  <c r="Y27" i="9"/>
  <c r="M27" i="9"/>
  <c r="V74" i="9"/>
  <c r="O74" i="9"/>
  <c r="Y117" i="9"/>
  <c r="M117" i="9"/>
  <c r="V9" i="9"/>
  <c r="O9" i="9"/>
  <c r="Y41" i="9"/>
  <c r="M41" i="9"/>
  <c r="V87" i="9"/>
  <c r="O87" i="9"/>
  <c r="Y94" i="9"/>
  <c r="M94" i="9"/>
  <c r="V70" i="9"/>
  <c r="O70" i="9"/>
  <c r="Y8" i="9"/>
  <c r="M8" i="9"/>
  <c r="V86" i="9"/>
  <c r="O86" i="9"/>
  <c r="Y49" i="9"/>
  <c r="M49" i="9"/>
  <c r="V21" i="9"/>
  <c r="W21" i="9" s="1"/>
  <c r="O21" i="9"/>
  <c r="Y143" i="9"/>
  <c r="M143" i="9"/>
  <c r="Y81" i="9"/>
  <c r="M81" i="9"/>
  <c r="V15" i="9"/>
  <c r="O15" i="9"/>
  <c r="X90" i="9"/>
  <c r="L90" i="9"/>
  <c r="S13" i="9"/>
  <c r="Z63" i="9"/>
  <c r="N63" i="9"/>
  <c r="X27" i="9"/>
  <c r="L27" i="9"/>
  <c r="Z20" i="9"/>
  <c r="N20" i="9"/>
  <c r="S96" i="9"/>
  <c r="X77" i="9"/>
  <c r="L77" i="9"/>
  <c r="S147" i="9"/>
  <c r="X119" i="9"/>
  <c r="L119" i="9"/>
  <c r="S95" i="9"/>
  <c r="L12" i="9"/>
  <c r="Z74" i="9"/>
  <c r="N74" i="9"/>
  <c r="X43" i="9"/>
  <c r="L43" i="9"/>
  <c r="Y90" i="9"/>
  <c r="M90" i="9"/>
  <c r="V45" i="9"/>
  <c r="O45" i="9"/>
  <c r="Y77" i="9"/>
  <c r="M77" i="9"/>
  <c r="V37" i="9"/>
  <c r="O37" i="9"/>
  <c r="Y53" i="9"/>
  <c r="M53" i="9"/>
  <c r="V34" i="9"/>
  <c r="O34" i="9"/>
  <c r="Y131" i="9"/>
  <c r="M131" i="9"/>
  <c r="V60" i="9"/>
  <c r="O60" i="9"/>
  <c r="Y68" i="9"/>
  <c r="M68" i="9"/>
  <c r="V123" i="9"/>
  <c r="O123" i="9"/>
  <c r="Y110" i="9"/>
  <c r="M110" i="9"/>
  <c r="V93" i="9"/>
  <c r="O93" i="9"/>
  <c r="Y91" i="9"/>
  <c r="M91" i="9"/>
  <c r="V97" i="9"/>
  <c r="O97" i="9"/>
  <c r="T105" i="9"/>
  <c r="M105" i="9"/>
  <c r="Y69" i="9"/>
  <c r="M69" i="9"/>
  <c r="V73" i="9"/>
  <c r="O73" i="9"/>
  <c r="Z67" i="9"/>
  <c r="N67" i="9"/>
  <c r="X121" i="9"/>
  <c r="L121" i="9"/>
  <c r="Z35" i="9"/>
  <c r="N35" i="9"/>
  <c r="X42" i="9"/>
  <c r="L42" i="9"/>
  <c r="S63" i="9"/>
  <c r="S20" i="9"/>
  <c r="X116" i="9"/>
  <c r="L116" i="9"/>
  <c r="Z96" i="9"/>
  <c r="N96" i="9"/>
  <c r="Z147" i="9"/>
  <c r="N147" i="9"/>
  <c r="Z95" i="9"/>
  <c r="N95" i="9"/>
  <c r="X26" i="9"/>
  <c r="L26" i="9"/>
  <c r="Y67" i="9"/>
  <c r="W67" i="9" s="1"/>
  <c r="M67" i="9"/>
  <c r="M124" i="9"/>
  <c r="T35" i="9"/>
  <c r="V112" i="9"/>
  <c r="O112" i="9"/>
  <c r="Q112" i="9"/>
  <c r="R112" i="9" s="1"/>
  <c r="Y23" i="9"/>
  <c r="M23" i="9"/>
  <c r="T13" i="9"/>
  <c r="K13" i="9"/>
  <c r="V62" i="9"/>
  <c r="O62" i="9"/>
  <c r="Q62" i="9"/>
  <c r="R62" i="9" s="1"/>
  <c r="Y11" i="9"/>
  <c r="M11" i="9"/>
  <c r="T63" i="9"/>
  <c r="K63" i="9"/>
  <c r="V55" i="9"/>
  <c r="O55" i="9"/>
  <c r="Q55" i="9"/>
  <c r="T20" i="9"/>
  <c r="K20" i="9"/>
  <c r="V5" i="9"/>
  <c r="O5" i="9"/>
  <c r="Q5" i="9"/>
  <c r="Y129" i="9"/>
  <c r="M129" i="9"/>
  <c r="T96" i="9"/>
  <c r="V88" i="9"/>
  <c r="O88" i="9"/>
  <c r="Q88" i="9"/>
  <c r="R88" i="9" s="1"/>
  <c r="Y74" i="9"/>
  <c r="M74" i="9"/>
  <c r="T147" i="9"/>
  <c r="K147" i="9"/>
  <c r="V135" i="9"/>
  <c r="O135" i="9"/>
  <c r="Q135" i="9"/>
  <c r="Y134" i="9"/>
  <c r="M134" i="9"/>
  <c r="T95" i="9"/>
  <c r="K95" i="9"/>
  <c r="V84" i="9"/>
  <c r="O84" i="9"/>
  <c r="Q84" i="9"/>
  <c r="R84" i="9" s="1"/>
  <c r="Y37" i="9"/>
  <c r="M37" i="9"/>
  <c r="T33" i="9"/>
  <c r="K33" i="9"/>
  <c r="V107" i="9"/>
  <c r="O107" i="9"/>
  <c r="Q107" i="9"/>
  <c r="Y25" i="9"/>
  <c r="M25" i="9"/>
  <c r="T16" i="9"/>
  <c r="K16" i="9"/>
  <c r="V71" i="9"/>
  <c r="O71" i="9"/>
  <c r="Q71" i="9"/>
  <c r="Y9" i="9"/>
  <c r="M9" i="9"/>
  <c r="T2" i="9"/>
  <c r="K2" i="9"/>
  <c r="V12" i="9"/>
  <c r="O12" i="9"/>
  <c r="Q12" i="9"/>
  <c r="Y103" i="9"/>
  <c r="M103" i="9"/>
  <c r="T64" i="9"/>
  <c r="K64" i="9"/>
  <c r="V56" i="9"/>
  <c r="O56" i="9"/>
  <c r="Q56" i="9"/>
  <c r="Y34" i="9"/>
  <c r="M34" i="9"/>
  <c r="T136" i="9"/>
  <c r="K136" i="9"/>
  <c r="V108" i="9"/>
  <c r="O108" i="9"/>
  <c r="Q108" i="9"/>
  <c r="R108" i="9" s="1"/>
  <c r="Y106" i="9"/>
  <c r="M106" i="9"/>
  <c r="T59" i="9"/>
  <c r="K59" i="9"/>
  <c r="V46" i="9"/>
  <c r="O46" i="9"/>
  <c r="Q46" i="9"/>
  <c r="R46" i="9" s="1"/>
  <c r="Y142" i="9"/>
  <c r="W142" i="9" s="1"/>
  <c r="M142" i="9"/>
  <c r="T122" i="9"/>
  <c r="K122" i="9"/>
  <c r="V98" i="9"/>
  <c r="O98" i="9"/>
  <c r="Q98" i="9"/>
  <c r="R98" i="9" s="1"/>
  <c r="T79" i="9"/>
  <c r="K79" i="9"/>
  <c r="V140" i="9"/>
  <c r="O140" i="9"/>
  <c r="Q140" i="9"/>
  <c r="Y60" i="9"/>
  <c r="M60" i="9"/>
  <c r="T36" i="9"/>
  <c r="K36" i="9"/>
  <c r="V111" i="9"/>
  <c r="O111" i="9"/>
  <c r="Q111" i="9"/>
  <c r="Y30" i="9"/>
  <c r="M30" i="9"/>
  <c r="T17" i="9"/>
  <c r="K17" i="9"/>
  <c r="V66" i="9"/>
  <c r="O66" i="9"/>
  <c r="Q66" i="9"/>
  <c r="Y19" i="9"/>
  <c r="M19" i="9"/>
  <c r="T113" i="9"/>
  <c r="K113" i="9"/>
  <c r="V78" i="9"/>
  <c r="O78" i="9"/>
  <c r="Q78" i="9"/>
  <c r="R78" i="9" s="1"/>
  <c r="Y70" i="9"/>
  <c r="M70" i="9"/>
  <c r="T24" i="9"/>
  <c r="K24" i="9"/>
  <c r="V18" i="9"/>
  <c r="O18" i="9"/>
  <c r="T85" i="9"/>
  <c r="K85" i="9"/>
  <c r="V61" i="9"/>
  <c r="O61" i="9"/>
  <c r="Y50" i="9"/>
  <c r="M50" i="9"/>
  <c r="T148" i="9"/>
  <c r="K148" i="9"/>
  <c r="V145" i="9"/>
  <c r="O145" i="9"/>
  <c r="Y132" i="9"/>
  <c r="M132" i="9"/>
  <c r="T114" i="9"/>
  <c r="K114" i="9"/>
  <c r="V109" i="9"/>
  <c r="O109" i="9"/>
  <c r="Y86" i="9"/>
  <c r="W86" i="9" s="1"/>
  <c r="M86" i="9"/>
  <c r="T51" i="9"/>
  <c r="K10" i="9"/>
  <c r="M16" i="9"/>
  <c r="X142" i="9"/>
  <c r="L142" i="9"/>
  <c r="Z131" i="9"/>
  <c r="N131" i="9"/>
  <c r="S131" i="9"/>
  <c r="X87" i="9"/>
  <c r="L87" i="9"/>
  <c r="Z28" i="9"/>
  <c r="N28" i="9"/>
  <c r="S28" i="9"/>
  <c r="X60" i="9"/>
  <c r="L60" i="9"/>
  <c r="Z128" i="9"/>
  <c r="N128" i="9"/>
  <c r="S128" i="9"/>
  <c r="X30" i="9"/>
  <c r="L30" i="9"/>
  <c r="Z94" i="9"/>
  <c r="N94" i="9"/>
  <c r="S94" i="9"/>
  <c r="L19" i="9"/>
  <c r="X19" i="9"/>
  <c r="Z68" i="9"/>
  <c r="N68" i="9"/>
  <c r="S68" i="9"/>
  <c r="X70" i="9"/>
  <c r="L70" i="9"/>
  <c r="Z44" i="9"/>
  <c r="W44" i="9" s="1"/>
  <c r="N44" i="9"/>
  <c r="S44" i="9"/>
  <c r="X123" i="9"/>
  <c r="L123" i="9"/>
  <c r="Z101" i="9"/>
  <c r="N101" i="9"/>
  <c r="S101" i="9"/>
  <c r="X50" i="9"/>
  <c r="L50" i="9"/>
  <c r="Z8" i="9"/>
  <c r="N8" i="9"/>
  <c r="S8" i="9"/>
  <c r="Z125" i="9"/>
  <c r="N125" i="9"/>
  <c r="S125" i="9"/>
  <c r="X86" i="9"/>
  <c r="L86" i="9"/>
  <c r="Z141" i="9"/>
  <c r="N141" i="9"/>
  <c r="X40" i="9"/>
  <c r="L40" i="9"/>
  <c r="Z110" i="9"/>
  <c r="N110" i="9"/>
  <c r="X14" i="9"/>
  <c r="L14" i="9"/>
  <c r="Z49" i="9"/>
  <c r="N49" i="9"/>
  <c r="X93" i="9"/>
  <c r="L93" i="9"/>
  <c r="Z65" i="9"/>
  <c r="N65" i="9"/>
  <c r="X21" i="9"/>
  <c r="L21" i="9"/>
  <c r="Z4" i="9"/>
  <c r="N4" i="9"/>
  <c r="X104" i="9"/>
  <c r="L104" i="9"/>
  <c r="Z91" i="9"/>
  <c r="N91" i="9"/>
  <c r="X150" i="9"/>
  <c r="L150" i="9"/>
  <c r="Z143" i="9"/>
  <c r="N143" i="9"/>
  <c r="X97" i="9"/>
  <c r="L97" i="9"/>
  <c r="Z81" i="9"/>
  <c r="N81" i="9"/>
  <c r="X38" i="9"/>
  <c r="L38" i="9"/>
  <c r="X15" i="9"/>
  <c r="L15" i="9"/>
  <c r="Z69" i="9"/>
  <c r="N69" i="9"/>
  <c r="X3" i="9"/>
  <c r="L3" i="9"/>
  <c r="X73" i="9"/>
  <c r="L73" i="9"/>
  <c r="X149" i="9"/>
  <c r="L149" i="9"/>
  <c r="X54" i="9"/>
  <c r="L54" i="9"/>
  <c r="Z47" i="9"/>
  <c r="N47" i="9"/>
  <c r="X130" i="9"/>
  <c r="L130" i="9"/>
  <c r="N39" i="9"/>
  <c r="N105" i="9"/>
  <c r="N99" i="9"/>
  <c r="N92" i="9"/>
  <c r="L28" i="9"/>
  <c r="Z33" i="9"/>
  <c r="N33" i="9"/>
  <c r="S33" i="9"/>
  <c r="X100" i="9"/>
  <c r="L100" i="9"/>
  <c r="Z16" i="9"/>
  <c r="N16" i="9"/>
  <c r="S16" i="9"/>
  <c r="X53" i="9"/>
  <c r="L53" i="9"/>
  <c r="Z2" i="9"/>
  <c r="N2" i="9"/>
  <c r="S2" i="9"/>
  <c r="X82" i="9"/>
  <c r="L82" i="9"/>
  <c r="Z64" i="9"/>
  <c r="N64" i="9"/>
  <c r="S64" i="9"/>
  <c r="X41" i="9"/>
  <c r="L41" i="9"/>
  <c r="Z136" i="9"/>
  <c r="N136" i="9"/>
  <c r="S136" i="9"/>
  <c r="X80" i="9"/>
  <c r="L80" i="9"/>
  <c r="Z59" i="9"/>
  <c r="N59" i="9"/>
  <c r="S59" i="9"/>
  <c r="X131" i="9"/>
  <c r="L131" i="9"/>
  <c r="Z122" i="9"/>
  <c r="N122" i="9"/>
  <c r="S122" i="9"/>
  <c r="Z79" i="9"/>
  <c r="N79" i="9"/>
  <c r="S79" i="9"/>
  <c r="X128" i="9"/>
  <c r="L128" i="9"/>
  <c r="Z36" i="9"/>
  <c r="N36" i="9"/>
  <c r="S36" i="9"/>
  <c r="X94" i="9"/>
  <c r="L94" i="9"/>
  <c r="Z17" i="9"/>
  <c r="N17" i="9"/>
  <c r="S17" i="9"/>
  <c r="X68" i="9"/>
  <c r="L68" i="9"/>
  <c r="Z113" i="9"/>
  <c r="N113" i="9"/>
  <c r="S113" i="9"/>
  <c r="X44" i="9"/>
  <c r="L44" i="9"/>
  <c r="Z24" i="9"/>
  <c r="N24" i="9"/>
  <c r="S24" i="9"/>
  <c r="U123" i="9"/>
  <c r="X101" i="9"/>
  <c r="L101" i="9"/>
  <c r="Z85" i="9"/>
  <c r="N85" i="9"/>
  <c r="S85" i="9"/>
  <c r="U50" i="9"/>
  <c r="X8" i="9"/>
  <c r="L8" i="9"/>
  <c r="Z148" i="9"/>
  <c r="N148" i="9"/>
  <c r="S148" i="9"/>
  <c r="U132" i="9"/>
  <c r="X125" i="9"/>
  <c r="L125" i="9"/>
  <c r="Z114" i="9"/>
  <c r="N114" i="9"/>
  <c r="S114" i="9"/>
  <c r="N124" i="9"/>
  <c r="N76" i="9"/>
  <c r="V121" i="9"/>
  <c r="O121" i="9"/>
  <c r="Y35" i="9"/>
  <c r="M35" i="9"/>
  <c r="V90" i="9"/>
  <c r="O90" i="9"/>
  <c r="Q90" i="9"/>
  <c r="Y13" i="9"/>
  <c r="M13" i="9"/>
  <c r="V42" i="9"/>
  <c r="O42" i="9"/>
  <c r="Q42" i="9"/>
  <c r="Y63" i="9"/>
  <c r="M63" i="9"/>
  <c r="V27" i="9"/>
  <c r="O27" i="9"/>
  <c r="Q27" i="9"/>
  <c r="Y20" i="9"/>
  <c r="M20" i="9"/>
  <c r="V116" i="9"/>
  <c r="W116" i="9" s="1"/>
  <c r="O116" i="9"/>
  <c r="Q116" i="9"/>
  <c r="Y96" i="9"/>
  <c r="M96" i="9"/>
  <c r="V77" i="9"/>
  <c r="O77" i="9"/>
  <c r="Q77" i="9"/>
  <c r="Y147" i="9"/>
  <c r="M147" i="9"/>
  <c r="V119" i="9"/>
  <c r="O119" i="9"/>
  <c r="Q119" i="9"/>
  <c r="Y95" i="9"/>
  <c r="M95" i="9"/>
  <c r="V117" i="9"/>
  <c r="O117" i="9"/>
  <c r="Q117" i="9"/>
  <c r="Y33" i="9"/>
  <c r="M33" i="9"/>
  <c r="V100" i="9"/>
  <c r="O100" i="9"/>
  <c r="Q100" i="9"/>
  <c r="V53" i="9"/>
  <c r="O53" i="9"/>
  <c r="Q53" i="9"/>
  <c r="Y2" i="9"/>
  <c r="M2" i="9"/>
  <c r="V82" i="9"/>
  <c r="O82" i="9"/>
  <c r="Q82" i="9"/>
  <c r="Y64" i="9"/>
  <c r="M64" i="9"/>
  <c r="V41" i="9"/>
  <c r="O41" i="9"/>
  <c r="Q41" i="9"/>
  <c r="Y136" i="9"/>
  <c r="M136" i="9"/>
  <c r="V80" i="9"/>
  <c r="O80" i="9"/>
  <c r="Q80" i="9"/>
  <c r="Y59" i="9"/>
  <c r="M59" i="9"/>
  <c r="V131" i="9"/>
  <c r="O131" i="9"/>
  <c r="Q131" i="9"/>
  <c r="Y122" i="9"/>
  <c r="V28" i="9"/>
  <c r="O28" i="9"/>
  <c r="Q28" i="9"/>
  <c r="Y79" i="9"/>
  <c r="M79" i="9"/>
  <c r="K60" i="9"/>
  <c r="V128" i="9"/>
  <c r="O128" i="9"/>
  <c r="Q128" i="9"/>
  <c r="Y36" i="9"/>
  <c r="V94" i="9"/>
  <c r="O94" i="9"/>
  <c r="Q94" i="9"/>
  <c r="Y17" i="9"/>
  <c r="M17" i="9"/>
  <c r="T19" i="9"/>
  <c r="K19" i="9"/>
  <c r="V68" i="9"/>
  <c r="W68" i="9" s="1"/>
  <c r="O68" i="9"/>
  <c r="Y113" i="9"/>
  <c r="M113" i="9"/>
  <c r="T70" i="9"/>
  <c r="V44" i="9"/>
  <c r="O44" i="9"/>
  <c r="Q44" i="9"/>
  <c r="Y24" i="9"/>
  <c r="T123" i="9"/>
  <c r="K123" i="9"/>
  <c r="V101" i="9"/>
  <c r="W101" i="9" s="1"/>
  <c r="O101" i="9"/>
  <c r="Q101" i="9"/>
  <c r="Y85" i="9"/>
  <c r="T50" i="9"/>
  <c r="K50" i="9"/>
  <c r="V8" i="9"/>
  <c r="O8" i="9"/>
  <c r="Q8" i="9"/>
  <c r="Y148" i="9"/>
  <c r="M148" i="9"/>
  <c r="T132" i="9"/>
  <c r="K132" i="9"/>
  <c r="V125" i="9"/>
  <c r="W125" i="9" s="1"/>
  <c r="O125" i="9"/>
  <c r="Q125" i="9"/>
  <c r="Y114" i="9"/>
  <c r="M114" i="9"/>
  <c r="T86" i="9"/>
  <c r="K86" i="9"/>
  <c r="L143" i="9"/>
  <c r="M85" i="9"/>
  <c r="M122" i="9"/>
  <c r="Q121" i="9"/>
  <c r="V26" i="9"/>
  <c r="W26" i="9" s="1"/>
  <c r="O26" i="9"/>
  <c r="Q26" i="9"/>
  <c r="X67" i="9"/>
  <c r="L67" i="9"/>
  <c r="Z133" i="9"/>
  <c r="W133" i="9" s="1"/>
  <c r="N133" i="9"/>
  <c r="S133" i="9"/>
  <c r="U121" i="9"/>
  <c r="X35" i="9"/>
  <c r="L35" i="9"/>
  <c r="Z112" i="9"/>
  <c r="N112" i="9"/>
  <c r="S112" i="9"/>
  <c r="U90" i="9"/>
  <c r="X13" i="9"/>
  <c r="L13" i="9"/>
  <c r="Z62" i="9"/>
  <c r="N62" i="9"/>
  <c r="S62" i="9"/>
  <c r="U42" i="9"/>
  <c r="X63" i="9"/>
  <c r="L63" i="9"/>
  <c r="Z55" i="9"/>
  <c r="N55" i="9"/>
  <c r="S55" i="9"/>
  <c r="U27" i="9"/>
  <c r="X20" i="9"/>
  <c r="L20" i="9"/>
  <c r="Z5" i="9"/>
  <c r="N5" i="9"/>
  <c r="S5" i="9"/>
  <c r="U116" i="9"/>
  <c r="X96" i="9"/>
  <c r="L96" i="9"/>
  <c r="Z88" i="9"/>
  <c r="N88" i="9"/>
  <c r="S88" i="9"/>
  <c r="U77" i="9"/>
  <c r="X147" i="9"/>
  <c r="L147" i="9"/>
  <c r="Z135" i="9"/>
  <c r="N135" i="9"/>
  <c r="S135" i="9"/>
  <c r="U119" i="9"/>
  <c r="X95" i="9"/>
  <c r="L95" i="9"/>
  <c r="Z84" i="9"/>
  <c r="W84" i="9" s="1"/>
  <c r="N84" i="9"/>
  <c r="S84" i="9"/>
  <c r="U117" i="9"/>
  <c r="X33" i="9"/>
  <c r="L33" i="9"/>
  <c r="Z107" i="9"/>
  <c r="N107" i="9"/>
  <c r="S107" i="9"/>
  <c r="U100" i="9"/>
  <c r="X16" i="9"/>
  <c r="L16" i="9"/>
  <c r="Z71" i="9"/>
  <c r="N71" i="9"/>
  <c r="S71" i="9"/>
  <c r="U53" i="9"/>
  <c r="X2" i="9"/>
  <c r="L2" i="9"/>
  <c r="Z12" i="9"/>
  <c r="N12" i="9"/>
  <c r="S12" i="9"/>
  <c r="U82" i="9"/>
  <c r="X64" i="9"/>
  <c r="Z56" i="9"/>
  <c r="N56" i="9"/>
  <c r="S56" i="9"/>
  <c r="U41" i="9"/>
  <c r="X136" i="9"/>
  <c r="L136" i="9"/>
  <c r="Z108" i="9"/>
  <c r="N108" i="9"/>
  <c r="S108" i="9"/>
  <c r="U80" i="9"/>
  <c r="X59" i="9"/>
  <c r="L59" i="9"/>
  <c r="Z46" i="9"/>
  <c r="N46" i="9"/>
  <c r="S46" i="9"/>
  <c r="U131" i="9"/>
  <c r="X122" i="9"/>
  <c r="L122" i="9"/>
  <c r="Z98" i="9"/>
  <c r="N98" i="9"/>
  <c r="S98" i="9"/>
  <c r="U28" i="9"/>
  <c r="X79" i="9"/>
  <c r="L79" i="9"/>
  <c r="Z140" i="9"/>
  <c r="N140" i="9"/>
  <c r="S140" i="9"/>
  <c r="U128" i="9"/>
  <c r="X36" i="9"/>
  <c r="L36" i="9"/>
  <c r="Z111" i="9"/>
  <c r="N111" i="9"/>
  <c r="S111" i="9"/>
  <c r="U94" i="9"/>
  <c r="X17" i="9"/>
  <c r="L17" i="9"/>
  <c r="Z66" i="9"/>
  <c r="N66" i="9"/>
  <c r="S66" i="9"/>
  <c r="U68" i="9"/>
  <c r="X113" i="9"/>
  <c r="L113" i="9"/>
  <c r="Z78" i="9"/>
  <c r="N78" i="9"/>
  <c r="S78" i="9"/>
  <c r="U44" i="9"/>
  <c r="X24" i="9"/>
  <c r="L24" i="9"/>
  <c r="Z18" i="9"/>
  <c r="N18" i="9"/>
  <c r="U101" i="9"/>
  <c r="X85" i="9"/>
  <c r="L85" i="9"/>
  <c r="Z61" i="9"/>
  <c r="N61" i="9"/>
  <c r="U8" i="9"/>
  <c r="X148" i="9"/>
  <c r="L148" i="9"/>
  <c r="Z145" i="9"/>
  <c r="N145" i="9"/>
  <c r="U125" i="9"/>
  <c r="X114" i="9"/>
  <c r="L114" i="9"/>
  <c r="Z109" i="9"/>
  <c r="N109" i="9"/>
  <c r="X51" i="9"/>
  <c r="L51" i="9"/>
  <c r="N6" i="9"/>
  <c r="N118" i="9"/>
  <c r="L132" i="9"/>
  <c r="L117" i="9"/>
  <c r="V13" i="9"/>
  <c r="W13" i="9" s="1"/>
  <c r="O13" i="9"/>
  <c r="Q13" i="9"/>
  <c r="R13" i="9" s="1"/>
  <c r="Y62" i="9"/>
  <c r="W62" i="9" s="1"/>
  <c r="M62" i="9"/>
  <c r="T42" i="9"/>
  <c r="K42" i="9"/>
  <c r="V63" i="9"/>
  <c r="O63" i="9"/>
  <c r="Q63" i="9"/>
  <c r="Y55" i="9"/>
  <c r="W55" i="9" s="1"/>
  <c r="M55" i="9"/>
  <c r="T27" i="9"/>
  <c r="K27" i="9"/>
  <c r="V20" i="9"/>
  <c r="O20" i="9"/>
  <c r="Y5" i="9"/>
  <c r="T116" i="9"/>
  <c r="K116" i="9"/>
  <c r="V96" i="9"/>
  <c r="W96" i="9" s="1"/>
  <c r="O96" i="9"/>
  <c r="Q96" i="9"/>
  <c r="Y88" i="9"/>
  <c r="M88" i="9"/>
  <c r="T77" i="9"/>
  <c r="K77" i="9"/>
  <c r="V147" i="9"/>
  <c r="O147" i="9"/>
  <c r="Q147" i="9"/>
  <c r="Y135" i="9"/>
  <c r="M135" i="9"/>
  <c r="T119" i="9"/>
  <c r="K119" i="9"/>
  <c r="V95" i="9"/>
  <c r="W95" i="9" s="1"/>
  <c r="O95" i="9"/>
  <c r="Q95" i="9"/>
  <c r="R95" i="9" s="1"/>
  <c r="Y84" i="9"/>
  <c r="M84" i="9"/>
  <c r="T117" i="9"/>
  <c r="K117" i="9"/>
  <c r="V33" i="9"/>
  <c r="O33" i="9"/>
  <c r="Q33" i="9"/>
  <c r="Y107" i="9"/>
  <c r="W107" i="9" s="1"/>
  <c r="M107" i="9"/>
  <c r="T100" i="9"/>
  <c r="K100" i="9"/>
  <c r="V16" i="9"/>
  <c r="O16" i="9"/>
  <c r="Q16" i="9"/>
  <c r="Y71" i="9"/>
  <c r="W71" i="9" s="1"/>
  <c r="M71" i="9"/>
  <c r="T53" i="9"/>
  <c r="K53" i="9"/>
  <c r="V2" i="9"/>
  <c r="O2" i="9"/>
  <c r="Q2" i="9"/>
  <c r="Y12" i="9"/>
  <c r="M12" i="9"/>
  <c r="T82" i="9"/>
  <c r="R82" i="9" s="1"/>
  <c r="K82" i="9"/>
  <c r="V64" i="9"/>
  <c r="O64" i="9"/>
  <c r="Q64" i="9"/>
  <c r="Y56" i="9"/>
  <c r="M56" i="9"/>
  <c r="T41" i="9"/>
  <c r="K41" i="9"/>
  <c r="V136" i="9"/>
  <c r="O136" i="9"/>
  <c r="Q136" i="9"/>
  <c r="Y108" i="9"/>
  <c r="M108" i="9"/>
  <c r="T80" i="9"/>
  <c r="K80" i="9"/>
  <c r="V59" i="9"/>
  <c r="O59" i="9"/>
  <c r="Q59" i="9"/>
  <c r="Y46" i="9"/>
  <c r="M46" i="9"/>
  <c r="T131" i="9"/>
  <c r="R131" i="9" s="1"/>
  <c r="K131" i="9"/>
  <c r="V122" i="9"/>
  <c r="W122" i="9" s="1"/>
  <c r="O122" i="9"/>
  <c r="Q122" i="9"/>
  <c r="Y98" i="9"/>
  <c r="M98" i="9"/>
  <c r="T28" i="9"/>
  <c r="K28" i="9"/>
  <c r="V79" i="9"/>
  <c r="O79" i="9"/>
  <c r="Q79" i="9"/>
  <c r="Y140" i="9"/>
  <c r="M140" i="9"/>
  <c r="T128" i="9"/>
  <c r="K128" i="9"/>
  <c r="V36" i="9"/>
  <c r="W36" i="9" s="1"/>
  <c r="O36" i="9"/>
  <c r="Q36" i="9"/>
  <c r="R36" i="9" s="1"/>
  <c r="Y111" i="9"/>
  <c r="M111" i="9"/>
  <c r="T94" i="9"/>
  <c r="K94" i="9"/>
  <c r="V17" i="9"/>
  <c r="O17" i="9"/>
  <c r="Q17" i="9"/>
  <c r="Y66" i="9"/>
  <c r="M66" i="9"/>
  <c r="T68" i="9"/>
  <c r="K68" i="9"/>
  <c r="V113" i="9"/>
  <c r="O113" i="9"/>
  <c r="Q113" i="9"/>
  <c r="Y78" i="9"/>
  <c r="M78" i="9"/>
  <c r="T44" i="9"/>
  <c r="R44" i="9" s="1"/>
  <c r="K44" i="9"/>
  <c r="V24" i="9"/>
  <c r="O24" i="9"/>
  <c r="Q24" i="9"/>
  <c r="R24" i="9" s="1"/>
  <c r="Y18" i="9"/>
  <c r="M18" i="9"/>
  <c r="T101" i="9"/>
  <c r="K101" i="9"/>
  <c r="V85" i="9"/>
  <c r="O85" i="9"/>
  <c r="Q85" i="9"/>
  <c r="Y61" i="9"/>
  <c r="M61" i="9"/>
  <c r="T8" i="9"/>
  <c r="K8" i="9"/>
  <c r="V148" i="9"/>
  <c r="O148" i="9"/>
  <c r="Q148" i="9"/>
  <c r="Y145" i="9"/>
  <c r="M145" i="9"/>
  <c r="T125" i="9"/>
  <c r="K125" i="9"/>
  <c r="V114" i="9"/>
  <c r="O114" i="9"/>
  <c r="Q114" i="9"/>
  <c r="Y109" i="9"/>
  <c r="M109" i="9"/>
  <c r="V51" i="9"/>
  <c r="O51" i="9"/>
  <c r="Q51" i="9"/>
  <c r="Y126" i="9"/>
  <c r="M126" i="9"/>
  <c r="V22" i="9"/>
  <c r="O22" i="9"/>
  <c r="Q22" i="9"/>
  <c r="Y92" i="9"/>
  <c r="M48" i="9"/>
  <c r="M29" i="9"/>
  <c r="M127" i="9"/>
  <c r="M138" i="9"/>
  <c r="M83" i="9"/>
  <c r="M144" i="9"/>
  <c r="M123" i="9"/>
  <c r="M5" i="9"/>
  <c r="U86" i="9"/>
  <c r="R86" i="9" s="1"/>
  <c r="X141" i="9"/>
  <c r="Z51" i="9"/>
  <c r="W51" i="9" s="1"/>
  <c r="N51" i="9"/>
  <c r="S51" i="9"/>
  <c r="U40" i="9"/>
  <c r="X110" i="9"/>
  <c r="Z22" i="9"/>
  <c r="S22" i="9"/>
  <c r="U14" i="9"/>
  <c r="X49" i="9"/>
  <c r="Z10" i="9"/>
  <c r="S10" i="9"/>
  <c r="U93" i="9"/>
  <c r="X65" i="9"/>
  <c r="L65" i="9"/>
  <c r="Z52" i="9"/>
  <c r="N52" i="9"/>
  <c r="S52" i="9"/>
  <c r="U21" i="9"/>
  <c r="X4" i="9"/>
  <c r="Z146" i="9"/>
  <c r="N146" i="9"/>
  <c r="S146" i="9"/>
  <c r="U104" i="9"/>
  <c r="X91" i="9"/>
  <c r="Z75" i="9"/>
  <c r="S75" i="9"/>
  <c r="U150" i="9"/>
  <c r="X143" i="9"/>
  <c r="Z139" i="9"/>
  <c r="N139" i="9"/>
  <c r="S139" i="9"/>
  <c r="U97" i="9"/>
  <c r="X81" i="9"/>
  <c r="Z72" i="9"/>
  <c r="W72" i="9" s="1"/>
  <c r="S72" i="9"/>
  <c r="X118" i="9"/>
  <c r="S32" i="9"/>
  <c r="X69" i="9"/>
  <c r="S7" i="9"/>
  <c r="X6" i="9"/>
  <c r="S137" i="9"/>
  <c r="X57" i="9"/>
  <c r="S31" i="9"/>
  <c r="X124" i="9"/>
  <c r="S115" i="9"/>
  <c r="X47" i="9"/>
  <c r="S151" i="9"/>
  <c r="S89" i="9"/>
  <c r="O31" i="9"/>
  <c r="O89" i="9"/>
  <c r="O102" i="9"/>
  <c r="O72" i="9"/>
  <c r="O137" i="9"/>
  <c r="O151" i="9"/>
  <c r="O10" i="9"/>
  <c r="O75" i="9"/>
  <c r="L139" i="9"/>
  <c r="M93" i="9"/>
  <c r="V141" i="9"/>
  <c r="O141" i="9"/>
  <c r="Q141" i="9"/>
  <c r="Y51" i="9"/>
  <c r="T40" i="9"/>
  <c r="R40" i="9" s="1"/>
  <c r="K40" i="9"/>
  <c r="V110" i="9"/>
  <c r="Q110" i="9"/>
  <c r="R110" i="9" s="1"/>
  <c r="Y22" i="9"/>
  <c r="T14" i="9"/>
  <c r="K14" i="9"/>
  <c r="V49" i="9"/>
  <c r="Q49" i="9"/>
  <c r="R49" i="9" s="1"/>
  <c r="Y10" i="9"/>
  <c r="T93" i="9"/>
  <c r="R93" i="9" s="1"/>
  <c r="V65" i="9"/>
  <c r="O65" i="9"/>
  <c r="Q65" i="9"/>
  <c r="Y52" i="9"/>
  <c r="T21" i="9"/>
  <c r="K21" i="9"/>
  <c r="V4" i="9"/>
  <c r="W4" i="9" s="1"/>
  <c r="Q4" i="9"/>
  <c r="R4" i="9" s="1"/>
  <c r="Y146" i="9"/>
  <c r="T104" i="9"/>
  <c r="K104" i="9"/>
  <c r="V91" i="9"/>
  <c r="O91" i="9"/>
  <c r="Y75" i="9"/>
  <c r="T150" i="9"/>
  <c r="K150" i="9"/>
  <c r="V143" i="9"/>
  <c r="O143" i="9"/>
  <c r="V81" i="9"/>
  <c r="K38" i="9"/>
  <c r="V118" i="9"/>
  <c r="K15" i="9"/>
  <c r="V69" i="9"/>
  <c r="K3" i="9"/>
  <c r="V6" i="9"/>
  <c r="K73" i="9"/>
  <c r="V57" i="9"/>
  <c r="K149" i="9"/>
  <c r="V124" i="9"/>
  <c r="K54" i="9"/>
  <c r="V47" i="9"/>
  <c r="K130" i="9"/>
  <c r="L7" i="9"/>
  <c r="L69" i="9"/>
  <c r="L47" i="9"/>
  <c r="L32" i="9"/>
  <c r="L115" i="9"/>
  <c r="L4" i="9"/>
  <c r="L49" i="9"/>
  <c r="L22" i="9"/>
  <c r="L81" i="9"/>
  <c r="L110" i="9"/>
  <c r="M139" i="9"/>
  <c r="L146" i="9"/>
  <c r="Z126" i="9"/>
  <c r="N126" i="9"/>
  <c r="Z92" i="9"/>
  <c r="Z48" i="9"/>
  <c r="Z29" i="9"/>
  <c r="Z127" i="9"/>
  <c r="N127" i="9"/>
  <c r="Z76" i="9"/>
  <c r="Z120" i="9"/>
  <c r="N120" i="9"/>
  <c r="Z138" i="9"/>
  <c r="Z105" i="9"/>
  <c r="Z58" i="9"/>
  <c r="Z99" i="9"/>
  <c r="Z39" i="9"/>
  <c r="Z83" i="9"/>
  <c r="Z144" i="9"/>
  <c r="M3" i="9"/>
  <c r="M7" i="9"/>
  <c r="M15" i="9"/>
  <c r="M54" i="9"/>
  <c r="M32" i="9"/>
  <c r="M73" i="9"/>
  <c r="M38" i="9"/>
  <c r="M115" i="9"/>
  <c r="M130" i="9"/>
  <c r="M149" i="9"/>
  <c r="M22" i="9"/>
  <c r="M97" i="9"/>
  <c r="M146" i="9"/>
  <c r="Q10" i="9"/>
  <c r="Y48" i="9"/>
  <c r="V52" i="9"/>
  <c r="O52" i="9"/>
  <c r="Q52" i="9"/>
  <c r="Y29" i="9"/>
  <c r="V146" i="9"/>
  <c r="W146" i="9" s="1"/>
  <c r="O146" i="9"/>
  <c r="Q146" i="9"/>
  <c r="Y127" i="9"/>
  <c r="Q75" i="9"/>
  <c r="Y76" i="9"/>
  <c r="V139" i="9"/>
  <c r="W139" i="9" s="1"/>
  <c r="O139" i="9"/>
  <c r="Q139" i="9"/>
  <c r="Y120" i="9"/>
  <c r="Q72" i="9"/>
  <c r="Y138" i="9"/>
  <c r="Q32" i="9"/>
  <c r="Y105" i="9"/>
  <c r="Q7" i="9"/>
  <c r="Y58" i="9"/>
  <c r="Q137" i="9"/>
  <c r="Y99" i="9"/>
  <c r="Q31" i="9"/>
  <c r="Y39" i="9"/>
  <c r="Q115" i="9"/>
  <c r="Y83" i="9"/>
  <c r="Y144" i="9"/>
  <c r="Q89" i="9"/>
  <c r="N3" i="9"/>
  <c r="N7" i="9"/>
  <c r="N15" i="9"/>
  <c r="N54" i="9"/>
  <c r="N32" i="9"/>
  <c r="N83" i="9"/>
  <c r="N73" i="9"/>
  <c r="N38" i="9"/>
  <c r="N115" i="9"/>
  <c r="N130" i="9"/>
  <c r="N138" i="9"/>
  <c r="N144" i="9"/>
  <c r="N149" i="9"/>
  <c r="N48" i="9"/>
  <c r="N22" i="9"/>
  <c r="N29" i="9"/>
  <c r="N97" i="9"/>
  <c r="M51" i="9"/>
  <c r="L141" i="9"/>
  <c r="M150" i="9"/>
  <c r="U51" i="9"/>
  <c r="X126" i="9"/>
  <c r="S40" i="9"/>
  <c r="U22" i="9"/>
  <c r="R22" i="9" s="1"/>
  <c r="X92" i="9"/>
  <c r="S14" i="9"/>
  <c r="U10" i="9"/>
  <c r="X48" i="9"/>
  <c r="Z93" i="9"/>
  <c r="N93" i="9"/>
  <c r="S93" i="9"/>
  <c r="X29" i="9"/>
  <c r="S21" i="9"/>
  <c r="U146" i="9"/>
  <c r="X127" i="9"/>
  <c r="L127" i="9"/>
  <c r="Z104" i="9"/>
  <c r="N104" i="9"/>
  <c r="S104" i="9"/>
  <c r="U75" i="9"/>
  <c r="X76" i="9"/>
  <c r="Z150" i="9"/>
  <c r="N150" i="9"/>
  <c r="S150" i="9"/>
  <c r="U139" i="9"/>
  <c r="X120" i="9"/>
  <c r="L120" i="9"/>
  <c r="U72" i="9"/>
  <c r="X138" i="9"/>
  <c r="U32" i="9"/>
  <c r="X105" i="9"/>
  <c r="U7" i="9"/>
  <c r="X58" i="9"/>
  <c r="U137" i="9"/>
  <c r="X99" i="9"/>
  <c r="U31" i="9"/>
  <c r="R31" i="9" s="1"/>
  <c r="X39" i="9"/>
  <c r="U115" i="9"/>
  <c r="X83" i="9"/>
  <c r="U151" i="9"/>
  <c r="X144" i="9"/>
  <c r="U89" i="9"/>
  <c r="O7" i="9"/>
  <c r="O69" i="9"/>
  <c r="O47" i="9"/>
  <c r="O32" i="9"/>
  <c r="O115" i="9"/>
  <c r="O4" i="9"/>
  <c r="O49" i="9"/>
  <c r="O81" i="9"/>
  <c r="O110" i="9"/>
  <c r="L91" i="9"/>
  <c r="M120" i="9"/>
  <c r="K51" i="9"/>
  <c r="V126" i="9"/>
  <c r="O126" i="9"/>
  <c r="T22" i="9"/>
  <c r="K22" i="9"/>
  <c r="V92" i="9"/>
  <c r="W92" i="9" s="1"/>
  <c r="T10" i="9"/>
  <c r="R10" i="9" s="1"/>
  <c r="V48" i="9"/>
  <c r="T52" i="9"/>
  <c r="K52" i="9"/>
  <c r="V29" i="9"/>
  <c r="T146" i="9"/>
  <c r="K146" i="9"/>
  <c r="V127" i="9"/>
  <c r="W127" i="9" s="1"/>
  <c r="O127" i="9"/>
  <c r="T75" i="9"/>
  <c r="K75" i="9"/>
  <c r="V76" i="9"/>
  <c r="T139" i="9"/>
  <c r="K139" i="9"/>
  <c r="V120" i="9"/>
  <c r="W120" i="9" s="1"/>
  <c r="O120" i="9"/>
  <c r="T72" i="9"/>
  <c r="R72" i="9" s="1"/>
  <c r="K72" i="9"/>
  <c r="V138" i="9"/>
  <c r="T32" i="9"/>
  <c r="K32" i="9"/>
  <c r="V105" i="9"/>
  <c r="T7" i="9"/>
  <c r="K7" i="9"/>
  <c r="V58" i="9"/>
  <c r="T137" i="9"/>
  <c r="K137" i="9"/>
  <c r="V99" i="9"/>
  <c r="T31" i="9"/>
  <c r="K31" i="9"/>
  <c r="V39" i="9"/>
  <c r="W39" i="9" s="1"/>
  <c r="T115" i="9"/>
  <c r="K115" i="9"/>
  <c r="V83" i="9"/>
  <c r="W83" i="9" s="1"/>
  <c r="T151" i="9"/>
  <c r="K151" i="9"/>
  <c r="V144" i="9"/>
  <c r="T89" i="9"/>
  <c r="K89" i="9"/>
  <c r="L6" i="9"/>
  <c r="L58" i="9"/>
  <c r="L39" i="9"/>
  <c r="L31" i="9"/>
  <c r="L57" i="9"/>
  <c r="L105" i="9"/>
  <c r="L89" i="9"/>
  <c r="L118" i="9"/>
  <c r="L102" i="9"/>
  <c r="L99" i="9"/>
  <c r="L124" i="9"/>
  <c r="L72" i="9"/>
  <c r="L137" i="9"/>
  <c r="L151" i="9"/>
  <c r="L10" i="9"/>
  <c r="L92" i="9"/>
  <c r="L76" i="9"/>
  <c r="L75" i="9"/>
  <c r="H43" i="12"/>
  <c r="F41" i="12"/>
  <c r="B41" i="12"/>
  <c r="G43" i="12"/>
  <c r="F43" i="12"/>
  <c r="C42" i="12"/>
  <c r="H40" i="12"/>
  <c r="H44" i="12"/>
  <c r="E43" i="12"/>
  <c r="B42" i="12"/>
  <c r="G40" i="12"/>
  <c r="F40" i="12"/>
  <c r="G44" i="12"/>
  <c r="F44" i="12"/>
  <c r="H41" i="12"/>
  <c r="E40" i="12"/>
  <c r="E44" i="12"/>
  <c r="C43" i="12"/>
  <c r="G41" i="12"/>
  <c r="D44" i="12"/>
  <c r="B43" i="12"/>
  <c r="H42" i="12"/>
  <c r="E41" i="12"/>
  <c r="C40" i="12"/>
  <c r="C44" i="12"/>
  <c r="G42" i="12"/>
  <c r="F42" i="12"/>
  <c r="D41" i="12"/>
  <c r="B40" i="12"/>
  <c r="B44" i="12"/>
  <c r="E42" i="12"/>
  <c r="C41" i="12"/>
  <c r="Y26" i="12"/>
  <c r="D40" i="12"/>
  <c r="D42" i="12"/>
  <c r="Y8" i="12"/>
  <c r="D43" i="12"/>
  <c r="R106" i="9"/>
  <c r="R107" i="9"/>
  <c r="R130" i="9"/>
  <c r="R83" i="9"/>
  <c r="R25" i="9"/>
  <c r="R71" i="9"/>
  <c r="R91" i="9"/>
  <c r="R54" i="9"/>
  <c r="W14" i="9"/>
  <c r="W102" i="9"/>
  <c r="R76" i="9"/>
  <c r="R124" i="9"/>
  <c r="R59" i="9"/>
  <c r="W70" i="9"/>
  <c r="W61" i="9"/>
  <c r="R27" i="9"/>
  <c r="W82" i="9"/>
  <c r="W50" i="9"/>
  <c r="W97" i="9"/>
  <c r="W124" i="9"/>
  <c r="W89" i="9"/>
  <c r="W31" i="9"/>
  <c r="R81" i="9"/>
  <c r="W3" i="9"/>
  <c r="W42" i="9"/>
  <c r="W17" i="9"/>
  <c r="W109" i="9"/>
  <c r="W32" i="9"/>
  <c r="W54" i="9"/>
  <c r="R109" i="9"/>
  <c r="R18" i="9"/>
  <c r="W87" i="9"/>
  <c r="R51" i="9"/>
  <c r="W16" i="9"/>
  <c r="R138" i="9"/>
  <c r="W112" i="9"/>
  <c r="W28" i="9"/>
  <c r="W91" i="9"/>
  <c r="W22" i="9"/>
  <c r="W49" i="9"/>
  <c r="W15" i="9"/>
  <c r="W7" i="9"/>
  <c r="R23" i="9"/>
  <c r="R9" i="9"/>
  <c r="R60" i="9"/>
  <c r="R70" i="9"/>
  <c r="R61" i="9"/>
  <c r="R30" i="9"/>
  <c r="R5" i="9"/>
  <c r="R37" i="9"/>
  <c r="W85" i="9"/>
  <c r="W149" i="9"/>
  <c r="R123" i="9"/>
  <c r="W129" i="9"/>
  <c r="W135" i="9"/>
  <c r="W20" i="9"/>
  <c r="W136" i="9"/>
  <c r="W117" i="9"/>
  <c r="W34" i="9"/>
  <c r="W9" i="9"/>
  <c r="W104" i="9"/>
  <c r="W151" i="9"/>
  <c r="W137" i="9"/>
  <c r="W115" i="9"/>
  <c r="W38" i="9"/>
  <c r="R96" i="9"/>
  <c r="R43" i="9"/>
  <c r="R111" i="9"/>
  <c r="R120" i="9"/>
  <c r="W73" i="9"/>
  <c r="R55" i="9"/>
  <c r="R119" i="9"/>
  <c r="R128" i="9"/>
  <c r="R92" i="9"/>
  <c r="R69" i="9"/>
  <c r="R56" i="9"/>
  <c r="R53" i="9"/>
  <c r="R12" i="9"/>
  <c r="R50" i="9"/>
  <c r="R66" i="9"/>
  <c r="R19" i="9"/>
  <c r="R151" i="9"/>
  <c r="R57" i="9"/>
  <c r="R141" i="9"/>
  <c r="R118" i="9"/>
  <c r="R129" i="9"/>
  <c r="R135" i="9"/>
  <c r="R136" i="9"/>
  <c r="R145" i="9"/>
  <c r="R140" i="9"/>
  <c r="R132" i="9"/>
  <c r="R68" i="9"/>
  <c r="R127" i="9"/>
  <c r="R65" i="9"/>
  <c r="R47" i="9"/>
  <c r="R103" i="9"/>
  <c r="R149" i="9"/>
  <c r="R144" i="9"/>
  <c r="R75" i="9" l="1"/>
  <c r="W143" i="9"/>
  <c r="R21" i="9"/>
  <c r="W98" i="9"/>
  <c r="R100" i="9"/>
  <c r="W114" i="9"/>
  <c r="W27" i="9"/>
  <c r="R90" i="9"/>
  <c r="R63" i="9"/>
  <c r="W93" i="9"/>
  <c r="W60" i="9"/>
  <c r="W63" i="9"/>
  <c r="W45" i="9"/>
  <c r="W123" i="9"/>
  <c r="R26" i="9"/>
  <c r="R114" i="9"/>
  <c r="R122" i="9"/>
  <c r="R73" i="9"/>
  <c r="W76" i="9"/>
  <c r="R104" i="9"/>
  <c r="W52" i="9"/>
  <c r="R77" i="9"/>
  <c r="W24" i="9"/>
  <c r="AB24" i="9" s="1"/>
  <c r="R42" i="9"/>
  <c r="W64" i="9"/>
  <c r="R58" i="9"/>
  <c r="R67" i="9"/>
  <c r="R15" i="9"/>
  <c r="R3" i="9"/>
  <c r="R14" i="9"/>
  <c r="W79" i="9"/>
  <c r="AB79" i="9" s="1"/>
  <c r="W8" i="9"/>
  <c r="R125" i="9"/>
  <c r="R113" i="9"/>
  <c r="W56" i="9"/>
  <c r="R80" i="9"/>
  <c r="R148" i="9"/>
  <c r="W18" i="9"/>
  <c r="W46" i="9"/>
  <c r="AB46" i="9" s="1"/>
  <c r="R64" i="9"/>
  <c r="W88" i="9"/>
  <c r="W57" i="9"/>
  <c r="W150" i="9"/>
  <c r="W132" i="9"/>
  <c r="AB132" i="9" s="1"/>
  <c r="W80" i="9"/>
  <c r="AB80" i="9" s="1"/>
  <c r="W106" i="9"/>
  <c r="W128" i="9"/>
  <c r="AB128" i="9" s="1"/>
  <c r="W100" i="9"/>
  <c r="W121" i="9"/>
  <c r="R105" i="9"/>
  <c r="R35" i="9"/>
  <c r="W111" i="9"/>
  <c r="AB111" i="9" s="1"/>
  <c r="R137" i="9"/>
  <c r="W35" i="9"/>
  <c r="W126" i="9"/>
  <c r="AB126" i="9" s="1"/>
  <c r="W58" i="9"/>
  <c r="AB58" i="9" s="1"/>
  <c r="R89" i="9"/>
  <c r="W29" i="9"/>
  <c r="W48" i="9"/>
  <c r="W110" i="9"/>
  <c r="AB110" i="9" s="1"/>
  <c r="W75" i="9"/>
  <c r="AB75" i="9" s="1"/>
  <c r="R101" i="9"/>
  <c r="R41" i="9"/>
  <c r="R33" i="9"/>
  <c r="W147" i="9"/>
  <c r="R94" i="9"/>
  <c r="R121" i="9"/>
  <c r="W113" i="9"/>
  <c r="AB113" i="9" s="1"/>
  <c r="W2" i="9"/>
  <c r="AB2" i="9" s="1"/>
  <c r="W33" i="9"/>
  <c r="W119" i="9"/>
  <c r="AB119" i="9" s="1"/>
  <c r="R116" i="9"/>
  <c r="W148" i="9"/>
  <c r="W145" i="9"/>
  <c r="R85" i="9"/>
  <c r="W66" i="9"/>
  <c r="AB66" i="9" s="1"/>
  <c r="R79" i="9"/>
  <c r="W134" i="9"/>
  <c r="AB134" i="9" s="1"/>
  <c r="W5" i="9"/>
  <c r="AB5" i="9" s="1"/>
  <c r="W23" i="9"/>
  <c r="AB23" i="9" s="1"/>
  <c r="R39" i="9"/>
  <c r="W118" i="9"/>
  <c r="W141" i="9"/>
  <c r="W30" i="9"/>
  <c r="W43" i="9"/>
  <c r="AB43" i="9" s="1"/>
  <c r="R20" i="9"/>
  <c r="W6" i="9"/>
  <c r="AB6" i="9" s="1"/>
  <c r="W65" i="9"/>
  <c r="W19" i="9"/>
  <c r="W103" i="9"/>
  <c r="W11" i="9"/>
  <c r="W144" i="9"/>
  <c r="AB144" i="9" s="1"/>
  <c r="R7" i="9"/>
  <c r="R52" i="9"/>
  <c r="W138" i="9"/>
  <c r="AB138" i="9" s="1"/>
  <c r="W47" i="9"/>
  <c r="AB47" i="9" s="1"/>
  <c r="W69" i="9"/>
  <c r="R150" i="9"/>
  <c r="W10" i="9"/>
  <c r="R97" i="9"/>
  <c r="R8" i="9"/>
  <c r="R17" i="9"/>
  <c r="W12" i="9"/>
  <c r="AB12" i="9" s="1"/>
  <c r="R16" i="9"/>
  <c r="W140" i="9"/>
  <c r="W94" i="9"/>
  <c r="AB94" i="9" s="1"/>
  <c r="R28" i="9"/>
  <c r="W59" i="9"/>
  <c r="AB59" i="9" s="1"/>
  <c r="W41" i="9"/>
  <c r="AB41" i="9" s="1"/>
  <c r="R117" i="9"/>
  <c r="W90" i="9"/>
  <c r="AB90" i="9" s="1"/>
  <c r="W78" i="9"/>
  <c r="AB78" i="9" s="1"/>
  <c r="W108" i="9"/>
  <c r="R2" i="9"/>
  <c r="W37" i="9"/>
  <c r="W131" i="9"/>
  <c r="AB131" i="9" s="1"/>
  <c r="W77" i="9"/>
  <c r="AB77" i="9" s="1"/>
  <c r="W74" i="9"/>
  <c r="AB74" i="9" s="1"/>
  <c r="W53" i="9"/>
  <c r="AB53" i="9" s="1"/>
  <c r="AB54" i="9"/>
  <c r="W105" i="9"/>
  <c r="AB105" i="9" s="1"/>
  <c r="R146" i="9"/>
  <c r="R139" i="9"/>
  <c r="R115" i="9"/>
  <c r="R32" i="9"/>
  <c r="W99" i="9"/>
  <c r="AB99" i="9" s="1"/>
  <c r="W81" i="9"/>
  <c r="AB81" i="9" s="1"/>
  <c r="AB127" i="9"/>
  <c r="AB86" i="9"/>
  <c r="AB149" i="9"/>
  <c r="AB150" i="9"/>
  <c r="AB57" i="9"/>
  <c r="AB22" i="9"/>
  <c r="AB120" i="9"/>
  <c r="AB18" i="9"/>
  <c r="AB103" i="9"/>
  <c r="AB117" i="9"/>
  <c r="AB14" i="9"/>
  <c r="AB142" i="9"/>
  <c r="AB123" i="9"/>
  <c r="AB38" i="9"/>
  <c r="AB17" i="9"/>
  <c r="AB61" i="9"/>
  <c r="AB147" i="9"/>
  <c r="AB64" i="9"/>
  <c r="AB139" i="9"/>
  <c r="AB108" i="9"/>
  <c r="AB148" i="9"/>
  <c r="AB118" i="9"/>
  <c r="AB101" i="9"/>
  <c r="AB30" i="9"/>
  <c r="AB37" i="9"/>
  <c r="AB29" i="9"/>
  <c r="AB137" i="9"/>
  <c r="AB40" i="9"/>
  <c r="AB60" i="9"/>
  <c r="AB136" i="9"/>
  <c r="AB122" i="9"/>
  <c r="AB9" i="9"/>
  <c r="AB34" i="9"/>
  <c r="AB135" i="9"/>
  <c r="AB71" i="9"/>
  <c r="AB151" i="9"/>
  <c r="AB91" i="9"/>
  <c r="AB98" i="9"/>
  <c r="AB55" i="9"/>
  <c r="AB8" i="9"/>
  <c r="AB44" i="9"/>
  <c r="AB50" i="9"/>
  <c r="AB106" i="9"/>
  <c r="AB7" i="9"/>
  <c r="AB84" i="9"/>
  <c r="AB32" i="9"/>
  <c r="AB85" i="9"/>
  <c r="AB114" i="9"/>
  <c r="AB39" i="9"/>
  <c r="AB20" i="9"/>
  <c r="AB33" i="9"/>
  <c r="AB49" i="9"/>
  <c r="AB140" i="9"/>
  <c r="AB48" i="9"/>
  <c r="AB62" i="9"/>
  <c r="AB129" i="9"/>
  <c r="AB89" i="9"/>
  <c r="AB72" i="9"/>
  <c r="AB3" i="9"/>
  <c r="AB124" i="9"/>
  <c r="AB83" i="9"/>
  <c r="AB145" i="9"/>
  <c r="AB87" i="9"/>
  <c r="AB51" i="9"/>
  <c r="AB95" i="9"/>
  <c r="AB45" i="9"/>
  <c r="AB56" i="9"/>
  <c r="AB97" i="9"/>
  <c r="AB63" i="9"/>
  <c r="AB109" i="9"/>
  <c r="AB67" i="9"/>
  <c r="AB76" i="9"/>
  <c r="AB35" i="9"/>
  <c r="AB70" i="9"/>
  <c r="AB133" i="9"/>
  <c r="AB102" i="9"/>
  <c r="AB4" i="9"/>
  <c r="AB16" i="9"/>
  <c r="AB92" i="9"/>
  <c r="AB112" i="9"/>
  <c r="AB21" i="9"/>
  <c r="AB11" i="9"/>
  <c r="AB13" i="9"/>
  <c r="AB104" i="9"/>
  <c r="AB69" i="9"/>
  <c r="AB93" i="9"/>
  <c r="AB25" i="9"/>
  <c r="AB116" i="9"/>
  <c r="AB130" i="9"/>
  <c r="AB26" i="9"/>
  <c r="AB42" i="9"/>
  <c r="AB107" i="9"/>
  <c r="AB143" i="9"/>
  <c r="AB141" i="9"/>
  <c r="AB125" i="9"/>
  <c r="AB27" i="9"/>
  <c r="AB100" i="9"/>
  <c r="AB65" i="9"/>
  <c r="AB28" i="9"/>
  <c r="AB73" i="9"/>
  <c r="AB96" i="9"/>
  <c r="AB36" i="9"/>
  <c r="AB15" i="9"/>
  <c r="AB19" i="9"/>
  <c r="AB146" i="9"/>
  <c r="AB88" i="9"/>
  <c r="AB82" i="9"/>
  <c r="AB31" i="9"/>
  <c r="AB115" i="9"/>
  <c r="AB10" i="9"/>
  <c r="AB52" i="9"/>
  <c r="AB121" i="9"/>
  <c r="AB68" i="9"/>
</calcChain>
</file>

<file path=xl/sharedStrings.xml><?xml version="1.0" encoding="utf-8"?>
<sst xmlns="http://schemas.openxmlformats.org/spreadsheetml/2006/main" count="200" uniqueCount="81">
  <si>
    <t>experiment_num</t>
  </si>
  <si>
    <t>N</t>
  </si>
  <si>
    <t>n</t>
  </si>
  <si>
    <t>N0</t>
  </si>
  <si>
    <t>eta</t>
  </si>
  <si>
    <t>E2_neighbors</t>
  </si>
  <si>
    <t>Level</t>
  </si>
  <si>
    <t>Boxes</t>
  </si>
  <si>
    <t>gpu_time</t>
  </si>
  <si>
    <t>cpu_time</t>
  </si>
  <si>
    <t>speedup</t>
  </si>
  <si>
    <t>cpu_M2L_time</t>
  </si>
  <si>
    <t>cpu_P2P_time</t>
  </si>
  <si>
    <t>X</t>
  </si>
  <si>
    <t>Data_collection_time</t>
  </si>
  <si>
    <t>M2L_data_transfer</t>
  </si>
  <si>
    <t>GPU_M2L_time</t>
  </si>
  <si>
    <t>P2P_data_transfer</t>
  </si>
  <si>
    <t>GPU_P2P_time</t>
  </si>
  <si>
    <t>update_time</t>
  </si>
  <si>
    <t>max_level</t>
  </si>
  <si>
    <t>num_clus</t>
  </si>
  <si>
    <t>min_nei</t>
  </si>
  <si>
    <t>gpu_collection_time</t>
  </si>
  <si>
    <t>gpu_M2L_transfer_time</t>
  </si>
  <si>
    <t>gpu_M2L_computation_time</t>
  </si>
  <si>
    <t>gpu_M2L_time</t>
  </si>
  <si>
    <t>gpu_P2P_transfer_time</t>
  </si>
  <si>
    <t>gpu_P2P_computation_time</t>
  </si>
  <si>
    <t>gpu_P2P_time</t>
  </si>
  <si>
    <t>gpu_Update_time</t>
  </si>
  <si>
    <t>cpu_collection_time</t>
  </si>
  <si>
    <t>cpu_Update_time</t>
  </si>
  <si>
    <t>total_gpu_time</t>
  </si>
  <si>
    <t>X total</t>
  </si>
  <si>
    <t>X M2L</t>
  </si>
  <si>
    <t>X P2P</t>
  </si>
  <si>
    <t>X update</t>
  </si>
  <si>
    <t>X collect</t>
  </si>
  <si>
    <t>share GPU collect</t>
  </si>
  <si>
    <t>share GPU FF</t>
  </si>
  <si>
    <t>share GPU NF</t>
  </si>
  <si>
    <t>share GPU update</t>
  </si>
  <si>
    <t>share CPU collect</t>
  </si>
  <si>
    <t>share CPU FF</t>
  </si>
  <si>
    <t>share CPU NF</t>
  </si>
  <si>
    <t>share CPU update</t>
  </si>
  <si>
    <t>share GPU M2l</t>
  </si>
  <si>
    <t>share CPU M2L</t>
  </si>
  <si>
    <t>ratio sahre NF/FF</t>
  </si>
  <si>
    <t>t</t>
  </si>
  <si>
    <t>x</t>
  </si>
  <si>
    <t>shareM2L</t>
  </si>
  <si>
    <t>shareP2P</t>
  </si>
  <si>
    <t>X^4</t>
  </si>
  <si>
    <t>pred X</t>
  </si>
  <si>
    <t>imbalancement</t>
  </si>
  <si>
    <t>avg Share P2P</t>
  </si>
  <si>
    <t>avg Share M2L</t>
  </si>
  <si>
    <t>share others FF</t>
  </si>
  <si>
    <t>N0~t</t>
  </si>
  <si>
    <t>N0=POW(n)</t>
  </si>
  <si>
    <t xml:space="preserve">سهم محاسبات میدان نزدیک با سرعت نسبت مستقیم داره چون اسپیداپ میدان نزدیک بیشتره و سهمش نسبت عکس با سهم میدان دور داره. </t>
  </si>
  <si>
    <t>چگالی (جعبه های بزرگتر) بنفع سهم میدان نزدیک و همچنین سرعتش هست ولی ابتدا کاهشی سپس افزایشی هست. برای میدان دور برعکس هست و تاثیرش روی سرعت نامنظم هست. درنتیجه سرعت کل ابتدا کاهش سپس افزایشی میشه.</t>
  </si>
  <si>
    <t>اتا یا شعاع همسایگی، میدان دور رو بیشتر از میدان نزدیک متاثر میکنه. وقتی زیاد میشه، اسپیداپ میدان نزدیک رو اندکی کم میکنه ولی سهمش رو کاهش میده. درعین حال سهم میدان دور رو اندکی افزایش و اسپداپش رو کاهش میده. درکل سرعت کاهش میشه.</t>
  </si>
  <si>
    <t>ارتفاع درخت میتونه در مساله کوچک با چگالی پایین همونی باشه که در مساله بزرگ با چگالی بالا هست. تاثیر اون روی سرعت یک تاثیر فرعی هست.</t>
  </si>
  <si>
    <t>تعدد همسایگی ها عامل مهم تری هست</t>
  </si>
  <si>
    <t>درکل افزایش سرعت میدان نزدیک بالاتر هست</t>
  </si>
  <si>
    <t>سهم میدان نزدیک در سپی بیشتر از جپی متناظر هست. یعنی اون افزایش سرعت بیشتری گرفته.</t>
  </si>
  <si>
    <t>X P2P  ^ 10</t>
  </si>
  <si>
    <t>بدردنخور</t>
  </si>
  <si>
    <t>m2l_size</t>
  </si>
  <si>
    <t>p2p_size</t>
  </si>
  <si>
    <t>M2L GB</t>
  </si>
  <si>
    <t>P2P GB</t>
  </si>
  <si>
    <t>M2L_transfer_time</t>
  </si>
  <si>
    <t>P2P_transfer_time</t>
  </si>
  <si>
    <t>X others FF</t>
  </si>
  <si>
    <t>gpu others FF</t>
  </si>
  <si>
    <t>CPU others FF</t>
  </si>
  <si>
    <t>share CPU others 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</si>
</sst>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FFFF0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1" fontId="0" fillId="0" borderId="0" xfId="0" applyNumberFormat="1"/>
    <xf numFmtId="164" fontId="0" fillId="0" borderId="0" xfId="0" applyNumberFormat="1"/>
    <xf numFmtId="0" fontId="0" fillId="0" borderId="0" xfId="0" applyAlignment="1">
      <alignment vertical="top" wrapText="1"/>
    </xf>
    <xf numFmtId="0" fontId="0" fillId="34" borderId="0" xfId="0" applyFill="1" applyAlignment="1">
      <alignment vertical="top" wrapText="1"/>
    </xf>
    <xf numFmtId="0" fontId="0" fillId="33" borderId="0" xfId="0" applyFill="1" applyAlignment="1">
      <alignment vertical="top" wrapText="1"/>
    </xf>
    <xf numFmtId="0" fontId="0" fillId="35" borderId="0" xfId="0" applyFill="1" applyAlignment="1">
      <alignment vertical="top" wrapText="1"/>
    </xf>
    <xf numFmtId="0" fontId="0" fillId="35" borderId="0" xfId="0" applyFill="1"/>
    <xf numFmtId="0" fontId="0" fillId="36" borderId="0" xfId="0" applyFill="1"/>
    <xf numFmtId="0" fontId="0" fillId="37" borderId="0" xfId="0" applyFill="1"/>
    <xf numFmtId="0" fontId="18" fillId="38"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1"/>
          <c:tx>
            <c:strRef>
              <c:f>avg!$H$1</c:f>
              <c:strCache>
                <c:ptCount val="1"/>
                <c:pt idx="0">
                  <c:v>gpu_time</c:v>
                </c:pt>
              </c:strCache>
            </c:strRef>
          </c:tx>
          <c:spPr>
            <a:ln w="28575" cap="rnd">
              <a:solidFill>
                <a:schemeClr val="accent1"/>
              </a:solidFill>
              <a:round/>
            </a:ln>
            <a:effectLst/>
          </c:spPr>
          <c:marker>
            <c:symbol val="none"/>
          </c:marker>
          <c:val>
            <c:numRef>
              <c:f>avg!$H$2:$H$151</c:f>
              <c:numCache>
                <c:formatCode>General</c:formatCode>
                <c:ptCount val="150"/>
                <c:pt idx="0">
                  <c:v>553755933.33333337</c:v>
                </c:pt>
                <c:pt idx="1">
                  <c:v>300519066.66666669</c:v>
                </c:pt>
                <c:pt idx="2">
                  <c:v>680044100</c:v>
                </c:pt>
                <c:pt idx="3">
                  <c:v>345786300</c:v>
                </c:pt>
                <c:pt idx="4">
                  <c:v>836841933.33333337</c:v>
                </c:pt>
                <c:pt idx="5">
                  <c:v>848923800</c:v>
                </c:pt>
                <c:pt idx="6">
                  <c:v>481735066.66666669</c:v>
                </c:pt>
                <c:pt idx="7">
                  <c:v>1808769300</c:v>
                </c:pt>
                <c:pt idx="8">
                  <c:v>1462607333.3333333</c:v>
                </c:pt>
                <c:pt idx="9">
                  <c:v>1114748233.3333333</c:v>
                </c:pt>
                <c:pt idx="10">
                  <c:v>1812309766.6666667</c:v>
                </c:pt>
                <c:pt idx="11">
                  <c:v>1903746466.6666667</c:v>
                </c:pt>
                <c:pt idx="12">
                  <c:v>1754591125</c:v>
                </c:pt>
                <c:pt idx="13">
                  <c:v>773197800</c:v>
                </c:pt>
                <c:pt idx="14">
                  <c:v>2738328866.6666665</c:v>
                </c:pt>
                <c:pt idx="15">
                  <c:v>2871223733.3333335</c:v>
                </c:pt>
                <c:pt idx="16">
                  <c:v>2589492175</c:v>
                </c:pt>
                <c:pt idx="17">
                  <c:v>1902845533.3333333</c:v>
                </c:pt>
                <c:pt idx="18">
                  <c:v>3301471000</c:v>
                </c:pt>
                <c:pt idx="19">
                  <c:v>3117396166.6666665</c:v>
                </c:pt>
                <c:pt idx="20">
                  <c:v>3642004525</c:v>
                </c:pt>
                <c:pt idx="21">
                  <c:v>4479958533.333333</c:v>
                </c:pt>
                <c:pt idx="22">
                  <c:v>4387986650</c:v>
                </c:pt>
                <c:pt idx="23">
                  <c:v>5971704600</c:v>
                </c:pt>
                <c:pt idx="24">
                  <c:v>4609839300</c:v>
                </c:pt>
                <c:pt idx="25">
                  <c:v>7578434366.666667</c:v>
                </c:pt>
                <c:pt idx="26">
                  <c:v>7212967633.333333</c:v>
                </c:pt>
                <c:pt idx="27">
                  <c:v>9038576033.333334</c:v>
                </c:pt>
                <c:pt idx="28">
                  <c:v>9743496533.333334</c:v>
                </c:pt>
                <c:pt idx="29">
                  <c:v>10202870800</c:v>
                </c:pt>
                <c:pt idx="30">
                  <c:v>1578618800</c:v>
                </c:pt>
                <c:pt idx="31">
                  <c:v>787174733.33333337</c:v>
                </c:pt>
                <c:pt idx="32">
                  <c:v>451314833.33333331</c:v>
                </c:pt>
                <c:pt idx="33">
                  <c:v>1160579633.3333333</c:v>
                </c:pt>
                <c:pt idx="34">
                  <c:v>582082066.66666663</c:v>
                </c:pt>
                <c:pt idx="35">
                  <c:v>2538790400</c:v>
                </c:pt>
                <c:pt idx="36">
                  <c:v>2055697300</c:v>
                </c:pt>
                <c:pt idx="37">
                  <c:v>848914600</c:v>
                </c:pt>
                <c:pt idx="38">
                  <c:v>3071245433.3333335</c:v>
                </c:pt>
                <c:pt idx="39">
                  <c:v>3317386133.3333335</c:v>
                </c:pt>
                <c:pt idx="40">
                  <c:v>3774035233.3333335</c:v>
                </c:pt>
                <c:pt idx="41">
                  <c:v>3823524333.3333335</c:v>
                </c:pt>
                <c:pt idx="42">
                  <c:v>1771105025</c:v>
                </c:pt>
                <c:pt idx="43">
                  <c:v>3138537375</c:v>
                </c:pt>
                <c:pt idx="44">
                  <c:v>4707535866.666667</c:v>
                </c:pt>
                <c:pt idx="45">
                  <c:v>4800561300</c:v>
                </c:pt>
                <c:pt idx="46">
                  <c:v>5130455750</c:v>
                </c:pt>
                <c:pt idx="47">
                  <c:v>3591459666.6666665</c:v>
                </c:pt>
                <c:pt idx="48">
                  <c:v>6386454933.333333</c:v>
                </c:pt>
                <c:pt idx="49">
                  <c:v>5866462366.666667</c:v>
                </c:pt>
                <c:pt idx="50">
                  <c:v>7644962175</c:v>
                </c:pt>
                <c:pt idx="51">
                  <c:v>10579840766.666666</c:v>
                </c:pt>
                <c:pt idx="52">
                  <c:v>9585800425</c:v>
                </c:pt>
                <c:pt idx="53">
                  <c:v>13732019666.666666</c:v>
                </c:pt>
                <c:pt idx="54">
                  <c:v>10966608566.666666</c:v>
                </c:pt>
                <c:pt idx="55">
                  <c:v>17938551333.333332</c:v>
                </c:pt>
                <c:pt idx="56">
                  <c:v>16945024500</c:v>
                </c:pt>
                <c:pt idx="57">
                  <c:v>27488740800</c:v>
                </c:pt>
                <c:pt idx="58">
                  <c:v>31334839166.666668</c:v>
                </c:pt>
                <c:pt idx="59">
                  <c:v>34727042866.666664</c:v>
                </c:pt>
                <c:pt idx="60">
                  <c:v>1528670700</c:v>
                </c:pt>
                <c:pt idx="61">
                  <c:v>852484566.66666663</c:v>
                </c:pt>
                <c:pt idx="62">
                  <c:v>1033676000</c:v>
                </c:pt>
                <c:pt idx="63">
                  <c:v>3202193366.6666665</c:v>
                </c:pt>
                <c:pt idx="64">
                  <c:v>5852622566.666667</c:v>
                </c:pt>
                <c:pt idx="65">
                  <c:v>2659528400</c:v>
                </c:pt>
                <c:pt idx="66">
                  <c:v>4099699100</c:v>
                </c:pt>
                <c:pt idx="67">
                  <c:v>1865781533.3333333</c:v>
                </c:pt>
                <c:pt idx="68">
                  <c:v>3326574600</c:v>
                </c:pt>
                <c:pt idx="69">
                  <c:v>7254045133.333333</c:v>
                </c:pt>
                <c:pt idx="70">
                  <c:v>5467417733.333333</c:v>
                </c:pt>
                <c:pt idx="71">
                  <c:v>3325234150</c:v>
                </c:pt>
                <c:pt idx="72">
                  <c:v>6272611275</c:v>
                </c:pt>
                <c:pt idx="73">
                  <c:v>7257784200</c:v>
                </c:pt>
                <c:pt idx="74">
                  <c:v>9224016333.333334</c:v>
                </c:pt>
                <c:pt idx="75">
                  <c:v>9007365933.333334</c:v>
                </c:pt>
                <c:pt idx="76">
                  <c:v>10228422725</c:v>
                </c:pt>
                <c:pt idx="77">
                  <c:v>7333054466.666667</c:v>
                </c:pt>
                <c:pt idx="78">
                  <c:v>13344893733.333334</c:v>
                </c:pt>
                <c:pt idx="79">
                  <c:v>12011351833.333334</c:v>
                </c:pt>
                <c:pt idx="80">
                  <c:v>15698883925</c:v>
                </c:pt>
                <c:pt idx="81">
                  <c:v>22049402800</c:v>
                </c:pt>
                <c:pt idx="82">
                  <c:v>20777299250</c:v>
                </c:pt>
                <c:pt idx="83">
                  <c:v>32085534633.333332</c:v>
                </c:pt>
                <c:pt idx="84">
                  <c:v>27107354466.666668</c:v>
                </c:pt>
                <c:pt idx="85">
                  <c:v>46659979800</c:v>
                </c:pt>
                <c:pt idx="86">
                  <c:v>40786512666.666664</c:v>
                </c:pt>
                <c:pt idx="87">
                  <c:v>64974061366.666664</c:v>
                </c:pt>
                <c:pt idx="88">
                  <c:v>87298514966.666672</c:v>
                </c:pt>
                <c:pt idx="89">
                  <c:v>108115478633.33333</c:v>
                </c:pt>
                <c:pt idx="90">
                  <c:v>1407393033.3333333</c:v>
                </c:pt>
                <c:pt idx="91">
                  <c:v>3502308166.6666665</c:v>
                </c:pt>
                <c:pt idx="92">
                  <c:v>2516766966.6666665</c:v>
                </c:pt>
                <c:pt idx="93">
                  <c:v>4531425433.333333</c:v>
                </c:pt>
                <c:pt idx="94">
                  <c:v>5548501433.333333</c:v>
                </c:pt>
                <c:pt idx="95">
                  <c:v>3170636066.6666665</c:v>
                </c:pt>
                <c:pt idx="96">
                  <c:v>6357506933.333333</c:v>
                </c:pt>
                <c:pt idx="97">
                  <c:v>10408880766.666666</c:v>
                </c:pt>
                <c:pt idx="98">
                  <c:v>12916384800</c:v>
                </c:pt>
                <c:pt idx="99">
                  <c:v>7626782100</c:v>
                </c:pt>
                <c:pt idx="100">
                  <c:v>13504904266.666666</c:v>
                </c:pt>
                <c:pt idx="101">
                  <c:v>10617944966.666666</c:v>
                </c:pt>
                <c:pt idx="102">
                  <c:v>6220332250</c:v>
                </c:pt>
                <c:pt idx="103">
                  <c:v>12646095300</c:v>
                </c:pt>
                <c:pt idx="104">
                  <c:v>17296369400</c:v>
                </c:pt>
                <c:pt idx="105">
                  <c:v>17740774533.333332</c:v>
                </c:pt>
                <c:pt idx="106">
                  <c:v>21990497300</c:v>
                </c:pt>
                <c:pt idx="107">
                  <c:v>22532638900</c:v>
                </c:pt>
                <c:pt idx="108">
                  <c:v>14586128233.333334</c:v>
                </c:pt>
                <c:pt idx="109">
                  <c:v>30287637166.666668</c:v>
                </c:pt>
                <c:pt idx="110">
                  <c:v>32672031325</c:v>
                </c:pt>
                <c:pt idx="111">
                  <c:v>47448948266.666664</c:v>
                </c:pt>
                <c:pt idx="112">
                  <c:v>41468324675</c:v>
                </c:pt>
                <c:pt idx="113">
                  <c:v>68466253033.333336</c:v>
                </c:pt>
                <c:pt idx="114">
                  <c:v>57816268666.666664</c:v>
                </c:pt>
                <c:pt idx="115">
                  <c:v>117384732933.33333</c:v>
                </c:pt>
                <c:pt idx="116">
                  <c:v>89611063633.333328</c:v>
                </c:pt>
                <c:pt idx="117">
                  <c:v>172644244366.66666</c:v>
                </c:pt>
                <c:pt idx="118">
                  <c:v>214354245666.66666</c:v>
                </c:pt>
                <c:pt idx="119">
                  <c:v>266681871533.33334</c:v>
                </c:pt>
                <c:pt idx="120">
                  <c:v>11699558900</c:v>
                </c:pt>
                <c:pt idx="121">
                  <c:v>2949633000</c:v>
                </c:pt>
                <c:pt idx="122">
                  <c:v>5915642300</c:v>
                </c:pt>
                <c:pt idx="123">
                  <c:v>3960084933.3333335</c:v>
                </c:pt>
                <c:pt idx="124">
                  <c:v>8292799566.666667</c:v>
                </c:pt>
                <c:pt idx="125">
                  <c:v>15283255166.666666</c:v>
                </c:pt>
                <c:pt idx="126">
                  <c:v>5764725633.333333</c:v>
                </c:pt>
                <c:pt idx="127">
                  <c:v>11804671366.666666</c:v>
                </c:pt>
                <c:pt idx="128">
                  <c:v>21189433733.333332</c:v>
                </c:pt>
                <c:pt idx="129">
                  <c:v>22132629100</c:v>
                </c:pt>
                <c:pt idx="130">
                  <c:v>25370596433.333332</c:v>
                </c:pt>
                <c:pt idx="131">
                  <c:v>26813561366.666668</c:v>
                </c:pt>
                <c:pt idx="132">
                  <c:v>12520729075</c:v>
                </c:pt>
                <c:pt idx="133">
                  <c:v>25123108300</c:v>
                </c:pt>
                <c:pt idx="134">
                  <c:v>33414567933.333332</c:v>
                </c:pt>
                <c:pt idx="135">
                  <c:v>36692421533.333336</c:v>
                </c:pt>
                <c:pt idx="136">
                  <c:v>45603542750</c:v>
                </c:pt>
                <c:pt idx="137">
                  <c:v>29789413000</c:v>
                </c:pt>
                <c:pt idx="138">
                  <c:v>59459055100</c:v>
                </c:pt>
                <c:pt idx="139">
                  <c:v>45931624933.333336</c:v>
                </c:pt>
                <c:pt idx="140">
                  <c:v>70726606325</c:v>
                </c:pt>
                <c:pt idx="141">
                  <c:v>110172573266.66667</c:v>
                </c:pt>
                <c:pt idx="142">
                  <c:v>91655885850</c:v>
                </c:pt>
                <c:pt idx="143">
                  <c:v>151320240133.33334</c:v>
                </c:pt>
                <c:pt idx="144">
                  <c:v>130396670333.33333</c:v>
                </c:pt>
                <c:pt idx="145">
                  <c:v>234242152366.66666</c:v>
                </c:pt>
                <c:pt idx="146">
                  <c:v>197196257300</c:v>
                </c:pt>
                <c:pt idx="147">
                  <c:v>431751896000</c:v>
                </c:pt>
                <c:pt idx="148">
                  <c:v>554426525833.33337</c:v>
                </c:pt>
                <c:pt idx="149">
                  <c:v>689438423400</c:v>
                </c:pt>
              </c:numCache>
            </c:numRef>
          </c:val>
          <c:smooth val="0"/>
          <c:extLst>
            <c:ext xmlns:c16="http://schemas.microsoft.com/office/drawing/2014/chart" uri="{C3380CC4-5D6E-409C-BE32-E72D297353CC}">
              <c16:uniqueId val="{00000001-72FC-47A2-BBA0-8A5E6D0DCF63}"/>
            </c:ext>
          </c:extLst>
        </c:ser>
        <c:ser>
          <c:idx val="1"/>
          <c:order val="2"/>
          <c:tx>
            <c:strRef>
              <c:f>avg!$I$1</c:f>
              <c:strCache>
                <c:ptCount val="1"/>
                <c:pt idx="0">
                  <c:v>cpu_time</c:v>
                </c:pt>
              </c:strCache>
            </c:strRef>
          </c:tx>
          <c:spPr>
            <a:ln w="28575" cap="rnd">
              <a:solidFill>
                <a:schemeClr val="accent2"/>
              </a:solidFill>
              <a:round/>
            </a:ln>
            <a:effectLst/>
          </c:spPr>
          <c:marker>
            <c:symbol val="none"/>
          </c:marker>
          <c:val>
            <c:numRef>
              <c:f>avg!$I$2:$I$151</c:f>
              <c:numCache>
                <c:formatCode>General</c:formatCode>
                <c:ptCount val="150"/>
                <c:pt idx="0">
                  <c:v>1644916433.3333333</c:v>
                </c:pt>
                <c:pt idx="1">
                  <c:v>798907066.66666663</c:v>
                </c:pt>
                <c:pt idx="2">
                  <c:v>2475598666.6666665</c:v>
                </c:pt>
                <c:pt idx="3">
                  <c:v>1085317366.6666667</c:v>
                </c:pt>
                <c:pt idx="4">
                  <c:v>3728202800</c:v>
                </c:pt>
                <c:pt idx="5">
                  <c:v>2372989266.6666665</c:v>
                </c:pt>
                <c:pt idx="6">
                  <c:v>1722379700</c:v>
                </c:pt>
                <c:pt idx="7">
                  <c:v>4207049400</c:v>
                </c:pt>
                <c:pt idx="8">
                  <c:v>3063577366.6666665</c:v>
                </c:pt>
                <c:pt idx="9">
                  <c:v>3687240466.6666665</c:v>
                </c:pt>
                <c:pt idx="10">
                  <c:v>5201829733.333333</c:v>
                </c:pt>
                <c:pt idx="11">
                  <c:v>5470429233.333333</c:v>
                </c:pt>
                <c:pt idx="12">
                  <c:v>7107518850</c:v>
                </c:pt>
                <c:pt idx="13">
                  <c:v>3516111450</c:v>
                </c:pt>
                <c:pt idx="14">
                  <c:v>7592912366.666667</c:v>
                </c:pt>
                <c:pt idx="15">
                  <c:v>8081230066.666667</c:v>
                </c:pt>
                <c:pt idx="16">
                  <c:v>10961730325</c:v>
                </c:pt>
                <c:pt idx="17">
                  <c:v>8173434733.333333</c:v>
                </c:pt>
                <c:pt idx="18">
                  <c:v>16211401533.333334</c:v>
                </c:pt>
                <c:pt idx="19">
                  <c:v>11112009233.333334</c:v>
                </c:pt>
                <c:pt idx="20">
                  <c:v>15171093900</c:v>
                </c:pt>
                <c:pt idx="21">
                  <c:v>21936738300</c:v>
                </c:pt>
                <c:pt idx="22">
                  <c:v>21273166075</c:v>
                </c:pt>
                <c:pt idx="23">
                  <c:v>30062729400</c:v>
                </c:pt>
                <c:pt idx="24">
                  <c:v>26278557433.333332</c:v>
                </c:pt>
                <c:pt idx="25">
                  <c:v>45013865433.333336</c:v>
                </c:pt>
                <c:pt idx="26">
                  <c:v>41870796900</c:v>
                </c:pt>
                <c:pt idx="27">
                  <c:v>53978159733.333336</c:v>
                </c:pt>
                <c:pt idx="28">
                  <c:v>62716126633.333336</c:v>
                </c:pt>
                <c:pt idx="29">
                  <c:v>69069033200</c:v>
                </c:pt>
                <c:pt idx="30">
                  <c:v>5131480266.666667</c:v>
                </c:pt>
                <c:pt idx="31">
                  <c:v>3005159266.6666665</c:v>
                </c:pt>
                <c:pt idx="32">
                  <c:v>1395534633.3333333</c:v>
                </c:pt>
                <c:pt idx="33">
                  <c:v>4664066133.333333</c:v>
                </c:pt>
                <c:pt idx="34">
                  <c:v>2481475433.3333335</c:v>
                </c:pt>
                <c:pt idx="35">
                  <c:v>7347832033.333333</c:v>
                </c:pt>
                <c:pt idx="36">
                  <c:v>7105879666.666667</c:v>
                </c:pt>
                <c:pt idx="37">
                  <c:v>3496783633.3333335</c:v>
                </c:pt>
                <c:pt idx="38">
                  <c:v>11406510066.666666</c:v>
                </c:pt>
                <c:pt idx="39">
                  <c:v>7170160733.333333</c:v>
                </c:pt>
                <c:pt idx="40">
                  <c:v>9238956666.666666</c:v>
                </c:pt>
                <c:pt idx="41">
                  <c:v>10756737466.666666</c:v>
                </c:pt>
                <c:pt idx="42">
                  <c:v>8581109900</c:v>
                </c:pt>
                <c:pt idx="43">
                  <c:v>15131765075</c:v>
                </c:pt>
                <c:pt idx="44">
                  <c:v>15394169366.666666</c:v>
                </c:pt>
                <c:pt idx="45">
                  <c:v>17116030866.666666</c:v>
                </c:pt>
                <c:pt idx="46">
                  <c:v>23321258050</c:v>
                </c:pt>
                <c:pt idx="47">
                  <c:v>19060776200</c:v>
                </c:pt>
                <c:pt idx="48">
                  <c:v>34450600466.666664</c:v>
                </c:pt>
                <c:pt idx="49">
                  <c:v>24290843600</c:v>
                </c:pt>
                <c:pt idx="50">
                  <c:v>35237188675</c:v>
                </c:pt>
                <c:pt idx="51">
                  <c:v>53815308933.333336</c:v>
                </c:pt>
                <c:pt idx="52">
                  <c:v>52095753525</c:v>
                </c:pt>
                <c:pt idx="53">
                  <c:v>75637879433.333328</c:v>
                </c:pt>
                <c:pt idx="54">
                  <c:v>71377753833.333328</c:v>
                </c:pt>
                <c:pt idx="55">
                  <c:v>107910102366.66667</c:v>
                </c:pt>
                <c:pt idx="56">
                  <c:v>105512770100</c:v>
                </c:pt>
                <c:pt idx="57">
                  <c:v>154736375733.33334</c:v>
                </c:pt>
                <c:pt idx="58">
                  <c:v>203969738600</c:v>
                </c:pt>
                <c:pt idx="59">
                  <c:v>251078806166.66666</c:v>
                </c:pt>
                <c:pt idx="60">
                  <c:v>6202387133.333333</c:v>
                </c:pt>
                <c:pt idx="61">
                  <c:v>3562095400</c:v>
                </c:pt>
                <c:pt idx="62">
                  <c:v>4758407466.666667</c:v>
                </c:pt>
                <c:pt idx="63">
                  <c:v>8728428933.333334</c:v>
                </c:pt>
                <c:pt idx="64">
                  <c:v>13190028333.333334</c:v>
                </c:pt>
                <c:pt idx="65">
                  <c:v>9585861366.666666</c:v>
                </c:pt>
                <c:pt idx="66">
                  <c:v>14573172300</c:v>
                </c:pt>
                <c:pt idx="67">
                  <c:v>7753511866.666667</c:v>
                </c:pt>
                <c:pt idx="68">
                  <c:v>14779837433.333334</c:v>
                </c:pt>
                <c:pt idx="69">
                  <c:v>22012803366.666668</c:v>
                </c:pt>
                <c:pt idx="70">
                  <c:v>22518939500</c:v>
                </c:pt>
                <c:pt idx="71">
                  <c:v>17393868800</c:v>
                </c:pt>
                <c:pt idx="72">
                  <c:v>33491168475</c:v>
                </c:pt>
                <c:pt idx="73">
                  <c:v>22127609266.666668</c:v>
                </c:pt>
                <c:pt idx="74">
                  <c:v>33344478733.333332</c:v>
                </c:pt>
                <c:pt idx="75">
                  <c:v>33945890333.333332</c:v>
                </c:pt>
                <c:pt idx="76">
                  <c:v>50344894800</c:v>
                </c:pt>
                <c:pt idx="77">
                  <c:v>42816266233.333336</c:v>
                </c:pt>
                <c:pt idx="78">
                  <c:v>76659003966.666672</c:v>
                </c:pt>
                <c:pt idx="79">
                  <c:v>55476573833.333336</c:v>
                </c:pt>
                <c:pt idx="80">
                  <c:v>73392390175</c:v>
                </c:pt>
                <c:pt idx="81">
                  <c:v>116624434800</c:v>
                </c:pt>
                <c:pt idx="82">
                  <c:v>117048215825</c:v>
                </c:pt>
                <c:pt idx="83">
                  <c:v>173415773600</c:v>
                </c:pt>
                <c:pt idx="84">
                  <c:v>173249305700</c:v>
                </c:pt>
                <c:pt idx="85">
                  <c:v>285429887133.33331</c:v>
                </c:pt>
                <c:pt idx="86">
                  <c:v>267703548200</c:v>
                </c:pt>
                <c:pt idx="87">
                  <c:v>383511019233.33331</c:v>
                </c:pt>
                <c:pt idx="88">
                  <c:v>530170751166.66669</c:v>
                </c:pt>
                <c:pt idx="89">
                  <c:v>789040818633.33337</c:v>
                </c:pt>
                <c:pt idx="90">
                  <c:v>5789837700</c:v>
                </c:pt>
                <c:pt idx="91">
                  <c:v>13498594600</c:v>
                </c:pt>
                <c:pt idx="92">
                  <c:v>9091529466.666666</c:v>
                </c:pt>
                <c:pt idx="93">
                  <c:v>20240340933.333332</c:v>
                </c:pt>
                <c:pt idx="94">
                  <c:v>18558100133.333332</c:v>
                </c:pt>
                <c:pt idx="95">
                  <c:v>14638244133.333334</c:v>
                </c:pt>
                <c:pt idx="96">
                  <c:v>30943821500</c:v>
                </c:pt>
                <c:pt idx="97">
                  <c:v>24886387233.333332</c:v>
                </c:pt>
                <c:pt idx="98">
                  <c:v>33596836800</c:v>
                </c:pt>
                <c:pt idx="99">
                  <c:v>29434992533.333332</c:v>
                </c:pt>
                <c:pt idx="100">
                  <c:v>42546243566.666664</c:v>
                </c:pt>
                <c:pt idx="101">
                  <c:v>47444442966.666664</c:v>
                </c:pt>
                <c:pt idx="102">
                  <c:v>33449059200</c:v>
                </c:pt>
                <c:pt idx="103">
                  <c:v>70052737700</c:v>
                </c:pt>
                <c:pt idx="104">
                  <c:v>65029808066.666664</c:v>
                </c:pt>
                <c:pt idx="105">
                  <c:v>68920349200</c:v>
                </c:pt>
                <c:pt idx="106">
                  <c:v>110296505450</c:v>
                </c:pt>
                <c:pt idx="107">
                  <c:v>100499107833.33333</c:v>
                </c:pt>
                <c:pt idx="108">
                  <c:v>85210016133.333328</c:v>
                </c:pt>
                <c:pt idx="109">
                  <c:v>176399100700</c:v>
                </c:pt>
                <c:pt idx="110">
                  <c:v>162625419975</c:v>
                </c:pt>
                <c:pt idx="111">
                  <c:v>259748324266.66666</c:v>
                </c:pt>
                <c:pt idx="112">
                  <c:v>234449307225</c:v>
                </c:pt>
                <c:pt idx="113">
                  <c:v>383327681900</c:v>
                </c:pt>
                <c:pt idx="114">
                  <c:v>351953982466.66669</c:v>
                </c:pt>
                <c:pt idx="115">
                  <c:v>703136337633.33337</c:v>
                </c:pt>
                <c:pt idx="116">
                  <c:v>576494966633.33337</c:v>
                </c:pt>
                <c:pt idx="117">
                  <c:v>1002511543666.6666</c:v>
                </c:pt>
                <c:pt idx="118">
                  <c:v>1361700111800</c:v>
                </c:pt>
                <c:pt idx="119">
                  <c:v>1867896663300</c:v>
                </c:pt>
                <c:pt idx="120">
                  <c:v>39534741033.333336</c:v>
                </c:pt>
                <c:pt idx="121">
                  <c:v>12294701600</c:v>
                </c:pt>
                <c:pt idx="122">
                  <c:v>23327100800</c:v>
                </c:pt>
                <c:pt idx="123">
                  <c:v>17969679566.666668</c:v>
                </c:pt>
                <c:pt idx="124">
                  <c:v>37694101366.666664</c:v>
                </c:pt>
                <c:pt idx="125">
                  <c:v>60313237600</c:v>
                </c:pt>
                <c:pt idx="126">
                  <c:v>29456054200</c:v>
                </c:pt>
                <c:pt idx="127">
                  <c:v>59211001966.666664</c:v>
                </c:pt>
                <c:pt idx="128">
                  <c:v>56461494333.333336</c:v>
                </c:pt>
                <c:pt idx="129">
                  <c:v>96430737266.666672</c:v>
                </c:pt>
                <c:pt idx="130">
                  <c:v>73426870333.333328</c:v>
                </c:pt>
                <c:pt idx="131">
                  <c:v>87696722666.666672</c:v>
                </c:pt>
                <c:pt idx="132">
                  <c:v>72055594075</c:v>
                </c:pt>
                <c:pt idx="133">
                  <c:v>140069335825</c:v>
                </c:pt>
                <c:pt idx="134">
                  <c:v>127967169466.66667</c:v>
                </c:pt>
                <c:pt idx="135">
                  <c:v>149930824633.33334</c:v>
                </c:pt>
                <c:pt idx="136">
                  <c:v>225831018650</c:v>
                </c:pt>
                <c:pt idx="137">
                  <c:v>181945153866.66666</c:v>
                </c:pt>
                <c:pt idx="138">
                  <c:v>350954259200</c:v>
                </c:pt>
                <c:pt idx="139">
                  <c:v>220006440266.66666</c:v>
                </c:pt>
                <c:pt idx="140">
                  <c:v>354820503500</c:v>
                </c:pt>
                <c:pt idx="141">
                  <c:v>580662635700</c:v>
                </c:pt>
                <c:pt idx="142">
                  <c:v>553163380550</c:v>
                </c:pt>
                <c:pt idx="143">
                  <c:v>865684457666.66663</c:v>
                </c:pt>
                <c:pt idx="144">
                  <c:v>817706240000</c:v>
                </c:pt>
                <c:pt idx="145">
                  <c:v>1427724628833.3333</c:v>
                </c:pt>
                <c:pt idx="146">
                  <c:v>1315303362833.3333</c:v>
                </c:pt>
                <c:pt idx="147">
                  <c:v>2346588257700</c:v>
                </c:pt>
                <c:pt idx="148">
                  <c:v>3470995281000</c:v>
                </c:pt>
                <c:pt idx="149">
                  <c:v>5046620688500</c:v>
                </c:pt>
              </c:numCache>
            </c:numRef>
          </c:val>
          <c:smooth val="0"/>
          <c:extLst>
            <c:ext xmlns:c16="http://schemas.microsoft.com/office/drawing/2014/chart" uri="{C3380CC4-5D6E-409C-BE32-E72D297353CC}">
              <c16:uniqueId val="{00000002-72FC-47A2-BBA0-8A5E6D0DCF63}"/>
            </c:ext>
          </c:extLst>
        </c:ser>
        <c:dLbls>
          <c:showLegendKey val="0"/>
          <c:showVal val="0"/>
          <c:showCatName val="0"/>
          <c:showSerName val="0"/>
          <c:showPercent val="0"/>
          <c:showBubbleSize val="0"/>
        </c:dLbls>
        <c:marker val="1"/>
        <c:smooth val="0"/>
        <c:axId val="864008895"/>
        <c:axId val="864008063"/>
      </c:lineChart>
      <c:lineChart>
        <c:grouping val="standard"/>
        <c:varyColors val="0"/>
        <c:ser>
          <c:idx val="2"/>
          <c:order val="0"/>
          <c:tx>
            <c:strRef>
              <c:f>avg!$J$1</c:f>
              <c:strCache>
                <c:ptCount val="1"/>
                <c:pt idx="0">
                  <c:v>speedup</c:v>
                </c:pt>
              </c:strCache>
            </c:strRef>
          </c:tx>
          <c:spPr>
            <a:ln w="28575" cap="rnd">
              <a:solidFill>
                <a:schemeClr val="accent3"/>
              </a:solidFill>
              <a:round/>
            </a:ln>
            <a:effectLst/>
          </c:spPr>
          <c:marker>
            <c:symbol val="none"/>
          </c:marker>
          <c:val>
            <c:numRef>
              <c:f>avg!$J$2:$J$151</c:f>
              <c:numCache>
                <c:formatCode>General</c:formatCode>
                <c:ptCount val="150"/>
                <c:pt idx="0">
                  <c:v>2.9780568099189595</c:v>
                </c:pt>
                <c:pt idx="1">
                  <c:v>2.6687412861979403</c:v>
                </c:pt>
                <c:pt idx="2">
                  <c:v>3.6515358704509162</c:v>
                </c:pt>
                <c:pt idx="3">
                  <c:v>3.1495344619378298</c:v>
                </c:pt>
                <c:pt idx="4">
                  <c:v>4.4545006391934905</c:v>
                </c:pt>
                <c:pt idx="5">
                  <c:v>2.7936753665761738</c:v>
                </c:pt>
                <c:pt idx="6">
                  <c:v>3.5922599307602634</c:v>
                </c:pt>
                <c:pt idx="7">
                  <c:v>2.3290064429559703</c:v>
                </c:pt>
                <c:pt idx="8">
                  <c:v>2.0959509929394664</c:v>
                </c:pt>
                <c:pt idx="9">
                  <c:v>3.3066695629444465</c:v>
                </c:pt>
                <c:pt idx="10">
                  <c:v>2.8746031086712134</c:v>
                </c:pt>
                <c:pt idx="11">
                  <c:v>2.8761545297761768</c:v>
                </c:pt>
                <c:pt idx="12">
                  <c:v>4.0857967163594902</c:v>
                </c:pt>
                <c:pt idx="13">
                  <c:v>4.5495882813221726</c:v>
                </c:pt>
                <c:pt idx="14">
                  <c:v>2.7748561838337999</c:v>
                </c:pt>
                <c:pt idx="15">
                  <c:v>2.8169114353232234</c:v>
                </c:pt>
                <c:pt idx="16">
                  <c:v>4.2594993383834971</c:v>
                </c:pt>
                <c:pt idx="17">
                  <c:v>4.3020249641930901</c:v>
                </c:pt>
                <c:pt idx="18">
                  <c:v>4.9120029823176763</c:v>
                </c:pt>
                <c:pt idx="19">
                  <c:v>3.5713177966566136</c:v>
                </c:pt>
                <c:pt idx="20">
                  <c:v>4.1776124340477345</c:v>
                </c:pt>
                <c:pt idx="21">
                  <c:v>4.8976802000004103</c:v>
                </c:pt>
                <c:pt idx="22">
                  <c:v>4.8579312874144849</c:v>
                </c:pt>
                <c:pt idx="23">
                  <c:v>5.0353270531508523</c:v>
                </c:pt>
                <c:pt idx="24">
                  <c:v>5.7044761655169465</c:v>
                </c:pt>
                <c:pt idx="25">
                  <c:v>5.9399470467510769</c:v>
                </c:pt>
                <c:pt idx="26">
                  <c:v>5.8088667679617565</c:v>
                </c:pt>
                <c:pt idx="27">
                  <c:v>5.9743487365518329</c:v>
                </c:pt>
                <c:pt idx="28">
                  <c:v>6.4395326398205066</c:v>
                </c:pt>
                <c:pt idx="29">
                  <c:v>6.7700990085421537</c:v>
                </c:pt>
                <c:pt idx="30">
                  <c:v>3.2515835334393137</c:v>
                </c:pt>
                <c:pt idx="31">
                  <c:v>3.8171601312070664</c:v>
                </c:pt>
                <c:pt idx="32">
                  <c:v>3.1520794343779368</c:v>
                </c:pt>
                <c:pt idx="33">
                  <c:v>4.0204891616167231</c:v>
                </c:pt>
                <c:pt idx="34">
                  <c:v>4.2730808206378867</c:v>
                </c:pt>
                <c:pt idx="35">
                  <c:v>2.8978737792101206</c:v>
                </c:pt>
                <c:pt idx="36">
                  <c:v>3.4584129579020697</c:v>
                </c:pt>
                <c:pt idx="37">
                  <c:v>4.1242997672935706</c:v>
                </c:pt>
                <c:pt idx="38">
                  <c:v>3.715892597070654</c:v>
                </c:pt>
                <c:pt idx="39">
                  <c:v>2.1617919049981036</c:v>
                </c:pt>
                <c:pt idx="40">
                  <c:v>2.4480271114193664</c:v>
                </c:pt>
                <c:pt idx="41">
                  <c:v>2.8161037763727497</c:v>
                </c:pt>
                <c:pt idx="42">
                  <c:v>4.9210224287740525</c:v>
                </c:pt>
                <c:pt idx="43">
                  <c:v>4.8386322146919882</c:v>
                </c:pt>
                <c:pt idx="44">
                  <c:v>3.2710339842387803</c:v>
                </c:pt>
                <c:pt idx="45">
                  <c:v>3.5660304753777239</c:v>
                </c:pt>
                <c:pt idx="46">
                  <c:v>4.5533310453531968</c:v>
                </c:pt>
                <c:pt idx="47">
                  <c:v>5.3109174901104232</c:v>
                </c:pt>
                <c:pt idx="48">
                  <c:v>5.3943418711001394</c:v>
                </c:pt>
                <c:pt idx="49">
                  <c:v>4.1417687094090496</c:v>
                </c:pt>
                <c:pt idx="50">
                  <c:v>4.6124004487472323</c:v>
                </c:pt>
                <c:pt idx="51">
                  <c:v>5.0867787710914465</c:v>
                </c:pt>
                <c:pt idx="52">
                  <c:v>5.4363200857504488</c:v>
                </c:pt>
                <c:pt idx="53">
                  <c:v>5.5082278559814304</c:v>
                </c:pt>
                <c:pt idx="54">
                  <c:v>6.5082397287288964</c:v>
                </c:pt>
                <c:pt idx="55">
                  <c:v>6.0162439056041697</c:v>
                </c:pt>
                <c:pt idx="56">
                  <c:v>6.2268992122098235</c:v>
                </c:pt>
                <c:pt idx="57">
                  <c:v>5.6291897235529502</c:v>
                </c:pt>
                <c:pt idx="58">
                  <c:v>6.5094226532531394</c:v>
                </c:pt>
                <c:pt idx="59">
                  <c:v>7.2300917990918068</c:v>
                </c:pt>
                <c:pt idx="60">
                  <c:v>4.0585967614881406</c:v>
                </c:pt>
                <c:pt idx="61">
                  <c:v>4.1856925743871995</c:v>
                </c:pt>
                <c:pt idx="62">
                  <c:v>4.6034867774288566</c:v>
                </c:pt>
                <c:pt idx="63">
                  <c:v>2.725960738054217</c:v>
                </c:pt>
                <c:pt idx="64">
                  <c:v>2.2539289463690366</c:v>
                </c:pt>
                <c:pt idx="65">
                  <c:v>3.6049524751503932</c:v>
                </c:pt>
                <c:pt idx="66">
                  <c:v>3.5548217770201336</c:v>
                </c:pt>
                <c:pt idx="67">
                  <c:v>4.1572124845127334</c:v>
                </c:pt>
                <c:pt idx="68">
                  <c:v>4.4430565652888268</c:v>
                </c:pt>
                <c:pt idx="69">
                  <c:v>3.0346323968884437</c:v>
                </c:pt>
                <c:pt idx="70">
                  <c:v>4.1188103121306296</c:v>
                </c:pt>
                <c:pt idx="71">
                  <c:v>5.2422738257783905</c:v>
                </c:pt>
                <c:pt idx="72">
                  <c:v>5.344714275657628</c:v>
                </c:pt>
                <c:pt idx="73">
                  <c:v>3.0490113305576334</c:v>
                </c:pt>
                <c:pt idx="74">
                  <c:v>3.6149831106822501</c:v>
                </c:pt>
                <c:pt idx="75">
                  <c:v>3.7687489084481438</c:v>
                </c:pt>
                <c:pt idx="76">
                  <c:v>4.9236135454632075</c:v>
                </c:pt>
                <c:pt idx="77">
                  <c:v>5.8390696247220868</c:v>
                </c:pt>
                <c:pt idx="78">
                  <c:v>5.7444953727694497</c:v>
                </c:pt>
                <c:pt idx="79">
                  <c:v>4.6184654149963658</c:v>
                </c:pt>
                <c:pt idx="80">
                  <c:v>4.675444934542635</c:v>
                </c:pt>
                <c:pt idx="81">
                  <c:v>5.2893330452795837</c:v>
                </c:pt>
                <c:pt idx="82">
                  <c:v>5.6334720178487352</c:v>
                </c:pt>
                <c:pt idx="83">
                  <c:v>5.4048455909008828</c:v>
                </c:pt>
                <c:pt idx="84">
                  <c:v>6.3912625943255135</c:v>
                </c:pt>
                <c:pt idx="85">
                  <c:v>6.1173022109484165</c:v>
                </c:pt>
                <c:pt idx="86">
                  <c:v>6.5636224806490091</c:v>
                </c:pt>
                <c:pt idx="87">
                  <c:v>5.9025976084385148</c:v>
                </c:pt>
                <c:pt idx="88">
                  <c:v>6.0730996108167767</c:v>
                </c:pt>
                <c:pt idx="89">
                  <c:v>7.2981417981398762</c:v>
                </c:pt>
                <c:pt idx="90">
                  <c:v>4.1174906320641966</c:v>
                </c:pt>
                <c:pt idx="91">
                  <c:v>3.8541781376045634</c:v>
                </c:pt>
                <c:pt idx="92">
                  <c:v>3.6218139212510834</c:v>
                </c:pt>
                <c:pt idx="93">
                  <c:v>4.4666617872441732</c:v>
                </c:pt>
                <c:pt idx="94">
                  <c:v>3.3447685541599732</c:v>
                </c:pt>
                <c:pt idx="95">
                  <c:v>4.6226746803537493</c:v>
                </c:pt>
                <c:pt idx="96">
                  <c:v>4.867358607661223</c:v>
                </c:pt>
                <c:pt idx="97">
                  <c:v>2.3908844813943131</c:v>
                </c:pt>
                <c:pt idx="98">
                  <c:v>2.6011173160528371</c:v>
                </c:pt>
                <c:pt idx="99">
                  <c:v>3.8594088366634334</c:v>
                </c:pt>
                <c:pt idx="100">
                  <c:v>3.1504230084357467</c:v>
                </c:pt>
                <c:pt idx="101">
                  <c:v>4.4683869152423901</c:v>
                </c:pt>
                <c:pt idx="102">
                  <c:v>5.3798132953875077</c:v>
                </c:pt>
                <c:pt idx="103">
                  <c:v>5.5401513116918926</c:v>
                </c:pt>
                <c:pt idx="104">
                  <c:v>3.7593603707862502</c:v>
                </c:pt>
                <c:pt idx="105">
                  <c:v>3.8848106444615165</c:v>
                </c:pt>
                <c:pt idx="106">
                  <c:v>5.0157249297903554</c:v>
                </c:pt>
                <c:pt idx="107">
                  <c:v>4.4602025719371428</c:v>
                </c:pt>
                <c:pt idx="108">
                  <c:v>5.8422690544754303</c:v>
                </c:pt>
                <c:pt idx="109">
                  <c:v>5.8242143863435301</c:v>
                </c:pt>
                <c:pt idx="110">
                  <c:v>4.9775596609271506</c:v>
                </c:pt>
                <c:pt idx="111">
                  <c:v>5.4743135477469194</c:v>
                </c:pt>
                <c:pt idx="112">
                  <c:v>5.6537143232386073</c:v>
                </c:pt>
                <c:pt idx="113">
                  <c:v>5.5987852944629237</c:v>
                </c:pt>
                <c:pt idx="114">
                  <c:v>6.0874819875761332</c:v>
                </c:pt>
                <c:pt idx="115">
                  <c:v>5.9900752325980564</c:v>
                </c:pt>
                <c:pt idx="116">
                  <c:v>6.4333075286369903</c:v>
                </c:pt>
                <c:pt idx="117">
                  <c:v>5.8068910571359664</c:v>
                </c:pt>
                <c:pt idx="118">
                  <c:v>6.3526091374460307</c:v>
                </c:pt>
                <c:pt idx="119">
                  <c:v>7.0042105469551501</c:v>
                </c:pt>
                <c:pt idx="120">
                  <c:v>3.3792893661812435</c:v>
                </c:pt>
                <c:pt idx="121">
                  <c:v>4.1681881943147934</c:v>
                </c:pt>
                <c:pt idx="122">
                  <c:v>3.9433112685873764</c:v>
                </c:pt>
                <c:pt idx="123">
                  <c:v>4.5376694054768594</c:v>
                </c:pt>
                <c:pt idx="124">
                  <c:v>4.5453459807978502</c:v>
                </c:pt>
                <c:pt idx="125">
                  <c:v>3.9463781713669532</c:v>
                </c:pt>
                <c:pt idx="126">
                  <c:v>5.1097270391814638</c:v>
                </c:pt>
                <c:pt idx="127">
                  <c:v>5.0158979793416867</c:v>
                </c:pt>
                <c:pt idx="128">
                  <c:v>2.6646269005726797</c:v>
                </c:pt>
                <c:pt idx="129">
                  <c:v>4.3569656788640811</c:v>
                </c:pt>
                <c:pt idx="130">
                  <c:v>2.8941921804762436</c:v>
                </c:pt>
                <c:pt idx="131">
                  <c:v>3.2705885689591803</c:v>
                </c:pt>
                <c:pt idx="132">
                  <c:v>5.7549016145784844</c:v>
                </c:pt>
                <c:pt idx="133">
                  <c:v>5.5754165933322648</c:v>
                </c:pt>
                <c:pt idx="134">
                  <c:v>3.8296557971814269</c:v>
                </c:pt>
                <c:pt idx="135">
                  <c:v>4.0861076576944235</c:v>
                </c:pt>
                <c:pt idx="136">
                  <c:v>4.9521187250969376</c:v>
                </c:pt>
                <c:pt idx="137">
                  <c:v>6.1077222099495536</c:v>
                </c:pt>
                <c:pt idx="138">
                  <c:v>5.9024614585469406</c:v>
                </c:pt>
                <c:pt idx="139">
                  <c:v>4.7898935595821905</c:v>
                </c:pt>
                <c:pt idx="140">
                  <c:v>5.0167781681650219</c:v>
                </c:pt>
                <c:pt idx="141">
                  <c:v>5.2704878049794637</c:v>
                </c:pt>
                <c:pt idx="142">
                  <c:v>6.0352671493572227</c:v>
                </c:pt>
                <c:pt idx="143">
                  <c:v>5.720871442665552</c:v>
                </c:pt>
                <c:pt idx="144">
                  <c:v>6.2709193655924524</c:v>
                </c:pt>
                <c:pt idx="145">
                  <c:v>6.0951310815381534</c:v>
                </c:pt>
                <c:pt idx="146">
                  <c:v>6.6701156873613137</c:v>
                </c:pt>
                <c:pt idx="147">
                  <c:v>5.4350675371406867</c:v>
                </c:pt>
                <c:pt idx="148">
                  <c:v>6.2605874813272564</c:v>
                </c:pt>
                <c:pt idx="149">
                  <c:v>7.3198830280974434</c:v>
                </c:pt>
              </c:numCache>
            </c:numRef>
          </c:val>
          <c:smooth val="0"/>
          <c:extLst>
            <c:ext xmlns:c16="http://schemas.microsoft.com/office/drawing/2014/chart" uri="{C3380CC4-5D6E-409C-BE32-E72D297353CC}">
              <c16:uniqueId val="{00000002-B2F0-4D88-BED5-9F08E3D5E7F6}"/>
            </c:ext>
          </c:extLst>
        </c:ser>
        <c:dLbls>
          <c:showLegendKey val="0"/>
          <c:showVal val="0"/>
          <c:showCatName val="0"/>
          <c:showSerName val="0"/>
          <c:showPercent val="0"/>
          <c:showBubbleSize val="0"/>
        </c:dLbls>
        <c:marker val="1"/>
        <c:smooth val="0"/>
        <c:axId val="1120090768"/>
        <c:axId val="1120091184"/>
      </c:lineChart>
      <c:catAx>
        <c:axId val="8640088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008063"/>
        <c:crosses val="autoZero"/>
        <c:auto val="1"/>
        <c:lblAlgn val="ctr"/>
        <c:lblOffset val="100"/>
        <c:noMultiLvlLbl val="0"/>
      </c:catAx>
      <c:valAx>
        <c:axId val="864008063"/>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008895"/>
        <c:crosses val="autoZero"/>
        <c:crossBetween val="between"/>
      </c:valAx>
      <c:valAx>
        <c:axId val="11200911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090768"/>
        <c:crosses val="max"/>
        <c:crossBetween val="between"/>
      </c:valAx>
      <c:catAx>
        <c:axId val="1120090768"/>
        <c:scaling>
          <c:orientation val="minMax"/>
        </c:scaling>
        <c:delete val="1"/>
        <c:axPos val="b"/>
        <c:majorTickMark val="out"/>
        <c:minorTickMark val="none"/>
        <c:tickLblPos val="nextTo"/>
        <c:crossAx val="1120091184"/>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P2P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avg!$Q$1</c:f>
              <c:strCache>
                <c:ptCount val="1"/>
                <c:pt idx="0">
                  <c:v>gpu_P2P_time</c:v>
                </c:pt>
              </c:strCache>
            </c:strRef>
          </c:tx>
          <c:spPr>
            <a:ln w="28575" cap="rnd">
              <a:solidFill>
                <a:schemeClr val="accent1"/>
              </a:solidFill>
              <a:round/>
            </a:ln>
            <a:effectLst/>
          </c:spPr>
          <c:marker>
            <c:symbol val="none"/>
          </c:marker>
          <c:val>
            <c:numRef>
              <c:f>avg!$Q$2:$Q$151</c:f>
              <c:numCache>
                <c:formatCode>General</c:formatCode>
                <c:ptCount val="150"/>
                <c:pt idx="0">
                  <c:v>21510600</c:v>
                </c:pt>
                <c:pt idx="1">
                  <c:v>24878100</c:v>
                </c:pt>
                <c:pt idx="2">
                  <c:v>63934233.333333336</c:v>
                </c:pt>
                <c:pt idx="3">
                  <c:v>74700366.666666672</c:v>
                </c:pt>
                <c:pt idx="4">
                  <c:v>105379733.33333333</c:v>
                </c:pt>
                <c:pt idx="5">
                  <c:v>106681000</c:v>
                </c:pt>
                <c:pt idx="6">
                  <c:v>122362333.33333333</c:v>
                </c:pt>
                <c:pt idx="7">
                  <c:v>141506733.33333334</c:v>
                </c:pt>
                <c:pt idx="8">
                  <c:v>141661500</c:v>
                </c:pt>
                <c:pt idx="9">
                  <c:v>142520966.66666666</c:v>
                </c:pt>
                <c:pt idx="10">
                  <c:v>254868200</c:v>
                </c:pt>
                <c:pt idx="11">
                  <c:v>280894633.33333331</c:v>
                </c:pt>
                <c:pt idx="12">
                  <c:v>294861725</c:v>
                </c:pt>
                <c:pt idx="13">
                  <c:v>297423950</c:v>
                </c:pt>
                <c:pt idx="14">
                  <c:v>480763566.66666669</c:v>
                </c:pt>
                <c:pt idx="15">
                  <c:v>521278800</c:v>
                </c:pt>
                <c:pt idx="16">
                  <c:v>639937325</c:v>
                </c:pt>
                <c:pt idx="17">
                  <c:v>728455600</c:v>
                </c:pt>
                <c:pt idx="18">
                  <c:v>754561266.66666663</c:v>
                </c:pt>
                <c:pt idx="19">
                  <c:v>766552033.33333337</c:v>
                </c:pt>
                <c:pt idx="20">
                  <c:v>1201495000</c:v>
                </c:pt>
                <c:pt idx="21">
                  <c:v>1626988433.3333333</c:v>
                </c:pt>
                <c:pt idx="22">
                  <c:v>1836655700</c:v>
                </c:pt>
                <c:pt idx="23">
                  <c:v>2609786900</c:v>
                </c:pt>
                <c:pt idx="24">
                  <c:v>2721915300</c:v>
                </c:pt>
                <c:pt idx="25">
                  <c:v>2814680833.3333335</c:v>
                </c:pt>
                <c:pt idx="26">
                  <c:v>4105572533.3333335</c:v>
                </c:pt>
                <c:pt idx="27">
                  <c:v>5400770700</c:v>
                </c:pt>
                <c:pt idx="28">
                  <c:v>7550291533.333333</c:v>
                </c:pt>
                <c:pt idx="29">
                  <c:v>8558152000</c:v>
                </c:pt>
                <c:pt idx="30">
                  <c:v>73148500</c:v>
                </c:pt>
                <c:pt idx="31">
                  <c:v>73440600</c:v>
                </c:pt>
                <c:pt idx="32">
                  <c:v>88380766.666666672</c:v>
                </c:pt>
                <c:pt idx="33">
                  <c:v>130410733.33333333</c:v>
                </c:pt>
                <c:pt idx="34">
                  <c:v>143516433.33333334</c:v>
                </c:pt>
                <c:pt idx="35">
                  <c:v>250563800</c:v>
                </c:pt>
                <c:pt idx="36">
                  <c:v>265224266.66666666</c:v>
                </c:pt>
                <c:pt idx="37">
                  <c:v>271506433.33333331</c:v>
                </c:pt>
                <c:pt idx="38">
                  <c:v>416763733.33333331</c:v>
                </c:pt>
                <c:pt idx="39">
                  <c:v>418873900</c:v>
                </c:pt>
                <c:pt idx="40">
                  <c:v>560728700</c:v>
                </c:pt>
                <c:pt idx="41">
                  <c:v>615154100</c:v>
                </c:pt>
                <c:pt idx="42">
                  <c:v>697038250</c:v>
                </c:pt>
                <c:pt idx="43">
                  <c:v>716592125</c:v>
                </c:pt>
                <c:pt idx="44">
                  <c:v>1048529166.6666666</c:v>
                </c:pt>
                <c:pt idx="45">
                  <c:v>1151281866.6666667</c:v>
                </c:pt>
                <c:pt idx="46">
                  <c:v>1158748600</c:v>
                </c:pt>
                <c:pt idx="47">
                  <c:v>1754710300</c:v>
                </c:pt>
                <c:pt idx="48">
                  <c:v>1823536866.6666667</c:v>
                </c:pt>
                <c:pt idx="49">
                  <c:v>1942440933.3333333</c:v>
                </c:pt>
                <c:pt idx="50">
                  <c:v>2560827200</c:v>
                </c:pt>
                <c:pt idx="51">
                  <c:v>3012599500</c:v>
                </c:pt>
                <c:pt idx="52">
                  <c:v>4911170550</c:v>
                </c:pt>
                <c:pt idx="53">
                  <c:v>6631995800</c:v>
                </c:pt>
                <c:pt idx="54">
                  <c:v>7680564066.666667</c:v>
                </c:pt>
                <c:pt idx="55">
                  <c:v>8028121266.666667</c:v>
                </c:pt>
                <c:pt idx="56">
                  <c:v>10482707000</c:v>
                </c:pt>
                <c:pt idx="57">
                  <c:v>11140942200</c:v>
                </c:pt>
                <c:pt idx="58">
                  <c:v>22035307166.666668</c:v>
                </c:pt>
                <c:pt idx="59">
                  <c:v>30519962166.666668</c:v>
                </c:pt>
                <c:pt idx="60">
                  <c:v>215978900</c:v>
                </c:pt>
                <c:pt idx="61">
                  <c:v>228235400</c:v>
                </c:pt>
                <c:pt idx="62">
                  <c:v>281783333.33333331</c:v>
                </c:pt>
                <c:pt idx="63">
                  <c:v>283127133.33333331</c:v>
                </c:pt>
                <c:pt idx="64">
                  <c:v>284147133.33333331</c:v>
                </c:pt>
                <c:pt idx="65">
                  <c:v>291166500</c:v>
                </c:pt>
                <c:pt idx="66">
                  <c:v>514571366.66666669</c:v>
                </c:pt>
                <c:pt idx="67">
                  <c:v>583736533.33333337</c:v>
                </c:pt>
                <c:pt idx="68">
                  <c:v>599452400</c:v>
                </c:pt>
                <c:pt idx="69">
                  <c:v>1031914633.3333334</c:v>
                </c:pt>
                <c:pt idx="70">
                  <c:v>1033618700</c:v>
                </c:pt>
                <c:pt idx="71">
                  <c:v>1461606950</c:v>
                </c:pt>
                <c:pt idx="72">
                  <c:v>1506250900</c:v>
                </c:pt>
                <c:pt idx="73">
                  <c:v>1657503166.6666667</c:v>
                </c:pt>
                <c:pt idx="74">
                  <c:v>1665699033.3333333</c:v>
                </c:pt>
                <c:pt idx="75">
                  <c:v>2565450533.3333335</c:v>
                </c:pt>
                <c:pt idx="76">
                  <c:v>2855936850</c:v>
                </c:pt>
                <c:pt idx="77">
                  <c:v>4104184333.3333335</c:v>
                </c:pt>
                <c:pt idx="78">
                  <c:v>4259869000</c:v>
                </c:pt>
                <c:pt idx="79">
                  <c:v>4616309733.333333</c:v>
                </c:pt>
                <c:pt idx="80">
                  <c:v>4665342850</c:v>
                </c:pt>
                <c:pt idx="81">
                  <c:v>7158117633.333333</c:v>
                </c:pt>
                <c:pt idx="82">
                  <c:v>10339694275</c:v>
                </c:pt>
                <c:pt idx="83">
                  <c:v>12310755133.333334</c:v>
                </c:pt>
                <c:pt idx="84">
                  <c:v>18446574266.666668</c:v>
                </c:pt>
                <c:pt idx="85">
                  <c:v>19100117666.666668</c:v>
                </c:pt>
                <c:pt idx="86">
                  <c:v>26608961300</c:v>
                </c:pt>
                <c:pt idx="87">
                  <c:v>31596949866.666668</c:v>
                </c:pt>
                <c:pt idx="88">
                  <c:v>45223023033.333336</c:v>
                </c:pt>
                <c:pt idx="89">
                  <c:v>89291813666.666672</c:v>
                </c:pt>
                <c:pt idx="90">
                  <c:v>153893066.66666666</c:v>
                </c:pt>
                <c:pt idx="91">
                  <c:v>154122700</c:v>
                </c:pt>
                <c:pt idx="92">
                  <c:v>475518100</c:v>
                </c:pt>
                <c:pt idx="93">
                  <c:v>491023766.66666669</c:v>
                </c:pt>
                <c:pt idx="94">
                  <c:v>836374366.66666663</c:v>
                </c:pt>
                <c:pt idx="95">
                  <c:v>866331166.66666663</c:v>
                </c:pt>
                <c:pt idx="96">
                  <c:v>884679500</c:v>
                </c:pt>
                <c:pt idx="97">
                  <c:v>1114073533.3333333</c:v>
                </c:pt>
                <c:pt idx="98">
                  <c:v>1118014566.6666667</c:v>
                </c:pt>
                <c:pt idx="99">
                  <c:v>1155721433.3333333</c:v>
                </c:pt>
                <c:pt idx="100">
                  <c:v>2097676066.6666667</c:v>
                </c:pt>
                <c:pt idx="101">
                  <c:v>2387494566.6666665</c:v>
                </c:pt>
                <c:pt idx="102">
                  <c:v>2542484600</c:v>
                </c:pt>
                <c:pt idx="103">
                  <c:v>2621231925</c:v>
                </c:pt>
                <c:pt idx="104">
                  <c:v>4087994600</c:v>
                </c:pt>
                <c:pt idx="105">
                  <c:v>4196826066.6666665</c:v>
                </c:pt>
                <c:pt idx="106">
                  <c:v>6000746075</c:v>
                </c:pt>
                <c:pt idx="107">
                  <c:v>6682773133.333333</c:v>
                </c:pt>
                <c:pt idx="108">
                  <c:v>6956906533.333333</c:v>
                </c:pt>
                <c:pt idx="109">
                  <c:v>7169448433.333333</c:v>
                </c:pt>
                <c:pt idx="110">
                  <c:v>11794355700</c:v>
                </c:pt>
                <c:pt idx="111">
                  <c:v>16904541166.666666</c:v>
                </c:pt>
                <c:pt idx="112">
                  <c:v>18725637700</c:v>
                </c:pt>
                <c:pt idx="113">
                  <c:v>28921027466.666668</c:v>
                </c:pt>
                <c:pt idx="114">
                  <c:v>31031498700</c:v>
                </c:pt>
                <c:pt idx="115">
                  <c:v>32073396200</c:v>
                </c:pt>
                <c:pt idx="116">
                  <c:v>50201464933.333336</c:v>
                </c:pt>
                <c:pt idx="117">
                  <c:v>75805477333.333328</c:v>
                </c:pt>
                <c:pt idx="118">
                  <c:v>128328325133.33333</c:v>
                </c:pt>
                <c:pt idx="119">
                  <c:v>183188197300</c:v>
                </c:pt>
                <c:pt idx="120">
                  <c:v>579258033.33333337</c:v>
                </c:pt>
                <c:pt idx="121">
                  <c:v>580767266.66666663</c:v>
                </c:pt>
                <c:pt idx="122">
                  <c:v>581945833.33333337</c:v>
                </c:pt>
                <c:pt idx="123">
                  <c:v>1002250566.6666666</c:v>
                </c:pt>
                <c:pt idx="124">
                  <c:v>1038498300</c:v>
                </c:pt>
                <c:pt idx="125">
                  <c:v>2021448500</c:v>
                </c:pt>
                <c:pt idx="126">
                  <c:v>2114514733.3333333</c:v>
                </c:pt>
                <c:pt idx="127">
                  <c:v>2181256933.3333335</c:v>
                </c:pt>
                <c:pt idx="128">
                  <c:v>3329445533.3333335</c:v>
                </c:pt>
                <c:pt idx="129">
                  <c:v>3495429733.3333335</c:v>
                </c:pt>
                <c:pt idx="130">
                  <c:v>4433330166.666667</c:v>
                </c:pt>
                <c:pt idx="131">
                  <c:v>4864827100</c:v>
                </c:pt>
                <c:pt idx="132">
                  <c:v>6059649225</c:v>
                </c:pt>
                <c:pt idx="133">
                  <c:v>6252293425</c:v>
                </c:pt>
                <c:pt idx="134">
                  <c:v>8339956033.333333</c:v>
                </c:pt>
                <c:pt idx="135">
                  <c:v>9768140233.333334</c:v>
                </c:pt>
                <c:pt idx="136">
                  <c:v>10441417000</c:v>
                </c:pt>
                <c:pt idx="137">
                  <c:v>16097179566.666666</c:v>
                </c:pt>
                <c:pt idx="138">
                  <c:v>16691973033.333334</c:v>
                </c:pt>
                <c:pt idx="139">
                  <c:v>16889866700</c:v>
                </c:pt>
                <c:pt idx="140">
                  <c:v>24288079950</c:v>
                </c:pt>
                <c:pt idx="141">
                  <c:v>28975195800</c:v>
                </c:pt>
                <c:pt idx="142">
                  <c:v>48647780700</c:v>
                </c:pt>
                <c:pt idx="143">
                  <c:v>68747838933.333328</c:v>
                </c:pt>
                <c:pt idx="144">
                  <c:v>83259863066.666672</c:v>
                </c:pt>
                <c:pt idx="145">
                  <c:v>85609540400</c:v>
                </c:pt>
                <c:pt idx="146">
                  <c:v>116562780533.33333</c:v>
                </c:pt>
                <c:pt idx="147">
                  <c:v>127619457666.66667</c:v>
                </c:pt>
                <c:pt idx="148">
                  <c:v>307475463700</c:v>
                </c:pt>
                <c:pt idx="149">
                  <c:v>519111515200</c:v>
                </c:pt>
              </c:numCache>
            </c:numRef>
          </c:val>
          <c:smooth val="0"/>
          <c:extLst>
            <c:ext xmlns:c16="http://schemas.microsoft.com/office/drawing/2014/chart" uri="{C3380CC4-5D6E-409C-BE32-E72D297353CC}">
              <c16:uniqueId val="{00000000-2861-4471-A3DF-608C3D9F5F6B}"/>
            </c:ext>
          </c:extLst>
        </c:ser>
        <c:ser>
          <c:idx val="1"/>
          <c:order val="1"/>
          <c:tx>
            <c:strRef>
              <c:f>avg!$V$1</c:f>
              <c:strCache>
                <c:ptCount val="1"/>
                <c:pt idx="0">
                  <c:v>cpu_P2P_time</c:v>
                </c:pt>
              </c:strCache>
            </c:strRef>
          </c:tx>
          <c:spPr>
            <a:ln w="28575" cap="rnd">
              <a:solidFill>
                <a:schemeClr val="accent2"/>
              </a:solidFill>
              <a:round/>
            </a:ln>
            <a:effectLst/>
          </c:spPr>
          <c:marker>
            <c:symbol val="none"/>
          </c:marker>
          <c:val>
            <c:numRef>
              <c:f>avg!$V$2:$V$151</c:f>
              <c:numCache>
                <c:formatCode>General</c:formatCode>
                <c:ptCount val="150"/>
                <c:pt idx="0">
                  <c:v>129092800</c:v>
                </c:pt>
                <c:pt idx="1">
                  <c:v>123157366.66666667</c:v>
                </c:pt>
                <c:pt idx="2">
                  <c:v>397075566.66666669</c:v>
                </c:pt>
                <c:pt idx="3">
                  <c:v>410796900</c:v>
                </c:pt>
                <c:pt idx="4">
                  <c:v>708847233.33333337</c:v>
                </c:pt>
                <c:pt idx="5">
                  <c:v>747176266.66666663</c:v>
                </c:pt>
                <c:pt idx="6">
                  <c:v>718308866.66666663</c:v>
                </c:pt>
                <c:pt idx="7">
                  <c:v>1105500733.3333333</c:v>
                </c:pt>
                <c:pt idx="8">
                  <c:v>1054714133.3333334</c:v>
                </c:pt>
                <c:pt idx="9">
                  <c:v>1029280300</c:v>
                </c:pt>
                <c:pt idx="10">
                  <c:v>1909187500</c:v>
                </c:pt>
                <c:pt idx="11">
                  <c:v>2065882300</c:v>
                </c:pt>
                <c:pt idx="12">
                  <c:v>1984992950</c:v>
                </c:pt>
                <c:pt idx="13">
                  <c:v>1975752475</c:v>
                </c:pt>
                <c:pt idx="14">
                  <c:v>3630843300</c:v>
                </c:pt>
                <c:pt idx="15">
                  <c:v>4131593266.6666665</c:v>
                </c:pt>
                <c:pt idx="16">
                  <c:v>4638523425</c:v>
                </c:pt>
                <c:pt idx="17">
                  <c:v>5086831133.333333</c:v>
                </c:pt>
                <c:pt idx="18">
                  <c:v>5096835533.333333</c:v>
                </c:pt>
                <c:pt idx="19">
                  <c:v>6127775466.666667</c:v>
                </c:pt>
                <c:pt idx="20">
                  <c:v>9149021175</c:v>
                </c:pt>
                <c:pt idx="21">
                  <c:v>11822253333.333334</c:v>
                </c:pt>
                <c:pt idx="22">
                  <c:v>14868157975</c:v>
                </c:pt>
                <c:pt idx="23">
                  <c:v>19874594900</c:v>
                </c:pt>
                <c:pt idx="24">
                  <c:v>19071434500</c:v>
                </c:pt>
                <c:pt idx="25">
                  <c:v>18954127200</c:v>
                </c:pt>
                <c:pt idx="26">
                  <c:v>33000440766.666668</c:v>
                </c:pt>
                <c:pt idx="27">
                  <c:v>39145319400</c:v>
                </c:pt>
                <c:pt idx="28">
                  <c:v>57333202800</c:v>
                </c:pt>
                <c:pt idx="29">
                  <c:v>66574729033.333336</c:v>
                </c:pt>
                <c:pt idx="30">
                  <c:v>509443666.66666669</c:v>
                </c:pt>
                <c:pt idx="31">
                  <c:v>494883966.66666669</c:v>
                </c:pt>
                <c:pt idx="32">
                  <c:v>496889933.33333331</c:v>
                </c:pt>
                <c:pt idx="33">
                  <c:v>881094833.33333337</c:v>
                </c:pt>
                <c:pt idx="34">
                  <c:v>885087433.33333337</c:v>
                </c:pt>
                <c:pt idx="35">
                  <c:v>1804999266.6666667</c:v>
                </c:pt>
                <c:pt idx="36">
                  <c:v>1801108333.3333333</c:v>
                </c:pt>
                <c:pt idx="37">
                  <c:v>1816913533.3333333</c:v>
                </c:pt>
                <c:pt idx="38">
                  <c:v>3033757500</c:v>
                </c:pt>
                <c:pt idx="39">
                  <c:v>3159952266.6666665</c:v>
                </c:pt>
                <c:pt idx="40">
                  <c:v>4362530800</c:v>
                </c:pt>
                <c:pt idx="41">
                  <c:v>4662921866.666667</c:v>
                </c:pt>
                <c:pt idx="42">
                  <c:v>5099242175</c:v>
                </c:pt>
                <c:pt idx="43">
                  <c:v>4869478325</c:v>
                </c:pt>
                <c:pt idx="44">
                  <c:v>8218626666.666667</c:v>
                </c:pt>
                <c:pt idx="45">
                  <c:v>8807314133.333334</c:v>
                </c:pt>
                <c:pt idx="46">
                  <c:v>8431093675</c:v>
                </c:pt>
                <c:pt idx="47">
                  <c:v>12715089433.333334</c:v>
                </c:pt>
                <c:pt idx="48">
                  <c:v>12422067766.666666</c:v>
                </c:pt>
                <c:pt idx="49">
                  <c:v>15366668700</c:v>
                </c:pt>
                <c:pt idx="50">
                  <c:v>19790182450</c:v>
                </c:pt>
                <c:pt idx="51">
                  <c:v>21916840166.666668</c:v>
                </c:pt>
                <c:pt idx="52">
                  <c:v>38870463800</c:v>
                </c:pt>
                <c:pt idx="53">
                  <c:v>50964868800</c:v>
                </c:pt>
                <c:pt idx="54">
                  <c:v>55789068466.666664</c:v>
                </c:pt>
                <c:pt idx="55">
                  <c:v>54199412100</c:v>
                </c:pt>
                <c:pt idx="56">
                  <c:v>82968689000</c:v>
                </c:pt>
                <c:pt idx="57">
                  <c:v>80681361133.333328</c:v>
                </c:pt>
                <c:pt idx="58">
                  <c:v>168005504800</c:v>
                </c:pt>
                <c:pt idx="59">
                  <c:v>239602925300</c:v>
                </c:pt>
                <c:pt idx="60">
                  <c:v>1469534466.6666667</c:v>
                </c:pt>
                <c:pt idx="61">
                  <c:v>1467883700</c:v>
                </c:pt>
                <c:pt idx="62">
                  <c:v>1939739100</c:v>
                </c:pt>
                <c:pt idx="63">
                  <c:v>2020833633.3333333</c:v>
                </c:pt>
                <c:pt idx="64">
                  <c:v>2128731333.3333333</c:v>
                </c:pt>
                <c:pt idx="65">
                  <c:v>1954929466.6666667</c:v>
                </c:pt>
                <c:pt idx="66">
                  <c:v>3737194366.6666665</c:v>
                </c:pt>
                <c:pt idx="67">
                  <c:v>4098792833.3333335</c:v>
                </c:pt>
                <c:pt idx="68">
                  <c:v>4112852933.3333335</c:v>
                </c:pt>
                <c:pt idx="69">
                  <c:v>7902263500</c:v>
                </c:pt>
                <c:pt idx="70">
                  <c:v>7611828866.666667</c:v>
                </c:pt>
                <c:pt idx="71">
                  <c:v>10397969025</c:v>
                </c:pt>
                <c:pt idx="72">
                  <c:v>10376920950</c:v>
                </c:pt>
                <c:pt idx="73">
                  <c:v>13112048600</c:v>
                </c:pt>
                <c:pt idx="74">
                  <c:v>12859529400</c:v>
                </c:pt>
                <c:pt idx="75">
                  <c:v>20419513333.333332</c:v>
                </c:pt>
                <c:pt idx="76">
                  <c:v>21054362025</c:v>
                </c:pt>
                <c:pt idx="77">
                  <c:v>29149445533.333332</c:v>
                </c:pt>
                <c:pt idx="78">
                  <c:v>29107592633.333332</c:v>
                </c:pt>
                <c:pt idx="79">
                  <c:v>36829367633.333336</c:v>
                </c:pt>
                <c:pt idx="80">
                  <c:v>35887455250</c:v>
                </c:pt>
                <c:pt idx="81">
                  <c:v>52709633966.666664</c:v>
                </c:pt>
                <c:pt idx="82">
                  <c:v>82377539200</c:v>
                </c:pt>
                <c:pt idx="83">
                  <c:v>94926396300</c:v>
                </c:pt>
                <c:pt idx="84">
                  <c:v>130187479233.33333</c:v>
                </c:pt>
                <c:pt idx="85">
                  <c:v>129976566066.66667</c:v>
                </c:pt>
                <c:pt idx="86">
                  <c:v>212939641866.66666</c:v>
                </c:pt>
                <c:pt idx="87">
                  <c:v>230566940266.66666</c:v>
                </c:pt>
                <c:pt idx="88">
                  <c:v>346785610800</c:v>
                </c:pt>
                <c:pt idx="89">
                  <c:v>710557296400</c:v>
                </c:pt>
                <c:pt idx="90">
                  <c:v>1027408300</c:v>
                </c:pt>
                <c:pt idx="91">
                  <c:v>1017498433.3333334</c:v>
                </c:pt>
                <c:pt idx="92">
                  <c:v>3311677866.6666665</c:v>
                </c:pt>
                <c:pt idx="93">
                  <c:v>3318343633.3333335</c:v>
                </c:pt>
                <c:pt idx="94">
                  <c:v>6048892133.333333</c:v>
                </c:pt>
                <c:pt idx="95">
                  <c:v>6156886633.333333</c:v>
                </c:pt>
                <c:pt idx="96">
                  <c:v>6178168066.666667</c:v>
                </c:pt>
                <c:pt idx="97">
                  <c:v>8467844100</c:v>
                </c:pt>
                <c:pt idx="98">
                  <c:v>8889022833.333334</c:v>
                </c:pt>
                <c:pt idx="99">
                  <c:v>8437616166.666667</c:v>
                </c:pt>
                <c:pt idx="100">
                  <c:v>16129497866.666666</c:v>
                </c:pt>
                <c:pt idx="101">
                  <c:v>17492215166.666668</c:v>
                </c:pt>
                <c:pt idx="102">
                  <c:v>18096516275</c:v>
                </c:pt>
                <c:pt idx="103">
                  <c:v>18140169225</c:v>
                </c:pt>
                <c:pt idx="104">
                  <c:v>32750084633.333332</c:v>
                </c:pt>
                <c:pt idx="105">
                  <c:v>32379071900</c:v>
                </c:pt>
                <c:pt idx="106">
                  <c:v>44060106450</c:v>
                </c:pt>
                <c:pt idx="107">
                  <c:v>53939214366.666664</c:v>
                </c:pt>
                <c:pt idx="108">
                  <c:v>49602540800</c:v>
                </c:pt>
                <c:pt idx="109">
                  <c:v>49448242333.333336</c:v>
                </c:pt>
                <c:pt idx="110">
                  <c:v>91401730900</c:v>
                </c:pt>
                <c:pt idx="111">
                  <c:v>124180769500</c:v>
                </c:pt>
                <c:pt idx="112">
                  <c:v>151378663725</c:v>
                </c:pt>
                <c:pt idx="113">
                  <c:v>223551719500</c:v>
                </c:pt>
                <c:pt idx="114">
                  <c:v>218939465566.66666</c:v>
                </c:pt>
                <c:pt idx="115">
                  <c:v>219128026633.33334</c:v>
                </c:pt>
                <c:pt idx="116">
                  <c:v>404262661133.33331</c:v>
                </c:pt>
                <c:pt idx="117">
                  <c:v>554288438666.66663</c:v>
                </c:pt>
                <c:pt idx="118">
                  <c:v>986033862500</c:v>
                </c:pt>
                <c:pt idx="119">
                  <c:v>1465618440466.6667</c:v>
                </c:pt>
                <c:pt idx="120">
                  <c:v>4102717133.3333335</c:v>
                </c:pt>
                <c:pt idx="121">
                  <c:v>4024293600</c:v>
                </c:pt>
                <c:pt idx="122">
                  <c:v>3986572433.3333335</c:v>
                </c:pt>
                <c:pt idx="123">
                  <c:v>7011200366.666667</c:v>
                </c:pt>
                <c:pt idx="124">
                  <c:v>7070638133.333333</c:v>
                </c:pt>
                <c:pt idx="125">
                  <c:v>14736853200</c:v>
                </c:pt>
                <c:pt idx="126">
                  <c:v>15110984533.333334</c:v>
                </c:pt>
                <c:pt idx="127">
                  <c:v>15140661733.333334</c:v>
                </c:pt>
                <c:pt idx="128">
                  <c:v>25492592500</c:v>
                </c:pt>
                <c:pt idx="129">
                  <c:v>25508537433.333332</c:v>
                </c:pt>
                <c:pt idx="130">
                  <c:v>35870692466.666664</c:v>
                </c:pt>
                <c:pt idx="131">
                  <c:v>37269485500</c:v>
                </c:pt>
                <c:pt idx="132">
                  <c:v>43275642475</c:v>
                </c:pt>
                <c:pt idx="133">
                  <c:v>43270535800</c:v>
                </c:pt>
                <c:pt idx="134">
                  <c:v>68001032933.333336</c:v>
                </c:pt>
                <c:pt idx="135">
                  <c:v>75966586100</c:v>
                </c:pt>
                <c:pt idx="136">
                  <c:v>76629582525</c:v>
                </c:pt>
                <c:pt idx="137">
                  <c:v>115588396233.33333</c:v>
                </c:pt>
                <c:pt idx="138">
                  <c:v>115467404666.66667</c:v>
                </c:pt>
                <c:pt idx="139">
                  <c:v>138152958133.33334</c:v>
                </c:pt>
                <c:pt idx="140">
                  <c:v>188944752875</c:v>
                </c:pt>
                <c:pt idx="141">
                  <c:v>213298248500</c:v>
                </c:pt>
                <c:pt idx="142">
                  <c:v>397063547000</c:v>
                </c:pt>
                <c:pt idx="143">
                  <c:v>530765447166.66669</c:v>
                </c:pt>
                <c:pt idx="144">
                  <c:v>586778147166.66663</c:v>
                </c:pt>
                <c:pt idx="145">
                  <c:v>586516914300</c:v>
                </c:pt>
                <c:pt idx="146">
                  <c:v>951532439166.66663</c:v>
                </c:pt>
                <c:pt idx="147">
                  <c:v>936263118000</c:v>
                </c:pt>
                <c:pt idx="148">
                  <c:v>2365011090066.6665</c:v>
                </c:pt>
                <c:pt idx="149">
                  <c:v>4216013898300</c:v>
                </c:pt>
              </c:numCache>
            </c:numRef>
          </c:val>
          <c:smooth val="0"/>
          <c:extLst>
            <c:ext xmlns:c16="http://schemas.microsoft.com/office/drawing/2014/chart" uri="{C3380CC4-5D6E-409C-BE32-E72D297353CC}">
              <c16:uniqueId val="{00000001-2861-4471-A3DF-608C3D9F5F6B}"/>
            </c:ext>
          </c:extLst>
        </c:ser>
        <c:dLbls>
          <c:showLegendKey val="0"/>
          <c:showVal val="0"/>
          <c:showCatName val="0"/>
          <c:showSerName val="0"/>
          <c:showPercent val="0"/>
          <c:showBubbleSize val="0"/>
        </c:dLbls>
        <c:marker val="1"/>
        <c:smooth val="0"/>
        <c:axId val="1392084288"/>
        <c:axId val="1392098432"/>
      </c:lineChart>
      <c:lineChart>
        <c:grouping val="standard"/>
        <c:varyColors val="0"/>
        <c:ser>
          <c:idx val="2"/>
          <c:order val="2"/>
          <c:tx>
            <c:strRef>
              <c:f>X!$M$1</c:f>
              <c:strCache>
                <c:ptCount val="1"/>
                <c:pt idx="0">
                  <c:v>X P2P</c:v>
                </c:pt>
              </c:strCache>
            </c:strRef>
          </c:tx>
          <c:spPr>
            <a:ln w="6350" cap="rnd">
              <a:solidFill>
                <a:schemeClr val="accent3"/>
              </a:solidFill>
              <a:round/>
            </a:ln>
            <a:effectLst/>
          </c:spPr>
          <c:marker>
            <c:symbol val="none"/>
          </c:marker>
          <c:val>
            <c:numRef>
              <c:f>X!$M$2:$M$151</c:f>
              <c:numCache>
                <c:formatCode>General</c:formatCode>
                <c:ptCount val="150"/>
                <c:pt idx="0">
                  <c:v>6.6018726205376197</c:v>
                </c:pt>
                <c:pt idx="1">
                  <c:v>6.0013574702704711</c:v>
                </c:pt>
                <c:pt idx="2">
                  <c:v>6.9645128289256331</c:v>
                </c:pt>
                <c:pt idx="3">
                  <c:v>7.0827108080388586</c:v>
                </c:pt>
                <c:pt idx="4">
                  <c:v>4.9504329778667451</c:v>
                </c:pt>
                <c:pt idx="5">
                  <c:v>6.2106878578872982</c:v>
                </c:pt>
                <c:pt idx="6">
                  <c:v>7.4916516255545549</c:v>
                </c:pt>
                <c:pt idx="7">
                  <c:v>6.7580102198719096</c:v>
                </c:pt>
                <c:pt idx="8">
                  <c:v>6.7385610502455959</c:v>
                </c:pt>
                <c:pt idx="9">
                  <c:v>6.8504183808630525</c:v>
                </c:pt>
                <c:pt idx="10">
                  <c:v>6.6761181790299418</c:v>
                </c:pt>
                <c:pt idx="11">
                  <c:v>6.808521625248046</c:v>
                </c:pt>
                <c:pt idx="12">
                  <c:v>6.7563061015938874</c:v>
                </c:pt>
                <c:pt idx="13">
                  <c:v>6.7265992322369392</c:v>
                </c:pt>
                <c:pt idx="14">
                  <c:v>6.9835099227083557</c:v>
                </c:pt>
                <c:pt idx="15">
                  <c:v>6.7141290865077776</c:v>
                </c:pt>
                <c:pt idx="16">
                  <c:v>7.1375484558526949</c:v>
                </c:pt>
                <c:pt idx="17">
                  <c:v>6.8040649649880924</c:v>
                </c:pt>
                <c:pt idx="18">
                  <c:v>7.2902441986525996</c:v>
                </c:pt>
                <c:pt idx="19">
                  <c:v>7.2037511670347705</c:v>
                </c:pt>
                <c:pt idx="20">
                  <c:v>6.7908881640795062</c:v>
                </c:pt>
                <c:pt idx="21">
                  <c:v>6.9412555219690759</c:v>
                </c:pt>
                <c:pt idx="22">
                  <c:v>7.26273284671041</c:v>
                </c:pt>
                <c:pt idx="23">
                  <c:v>6.9204747019857846</c:v>
                </c:pt>
                <c:pt idx="24">
                  <c:v>7.8123542766633944</c:v>
                </c:pt>
                <c:pt idx="25">
                  <c:v>7.2976827970756322</c:v>
                </c:pt>
                <c:pt idx="26">
                  <c:v>7.9507218406247953</c:v>
                </c:pt>
                <c:pt idx="27">
                  <c:v>7.2793222090981686</c:v>
                </c:pt>
                <c:pt idx="28">
                  <c:v>6.8610167101396771</c:v>
                </c:pt>
                <c:pt idx="29">
                  <c:v>7.221957050062108</c:v>
                </c:pt>
                <c:pt idx="30">
                  <c:v>6.7319451176648988</c:v>
                </c:pt>
                <c:pt idx="31">
                  <c:v>6.8970776194484849</c:v>
                </c:pt>
                <c:pt idx="32">
                  <c:v>7.3007352146536588</c:v>
                </c:pt>
                <c:pt idx="33">
                  <c:v>6.9207461740329306</c:v>
                </c:pt>
                <c:pt idx="34">
                  <c:v>6.8892380080901532</c:v>
                </c:pt>
                <c:pt idx="35">
                  <c:v>6.8320805588194409</c:v>
                </c:pt>
                <c:pt idx="36">
                  <c:v>6.754700722777625</c:v>
                </c:pt>
                <c:pt idx="37">
                  <c:v>7.0038363594891937</c:v>
                </c:pt>
                <c:pt idx="38">
                  <c:v>6.7953277117021065</c:v>
                </c:pt>
                <c:pt idx="39">
                  <c:v>7.2322782409519881</c:v>
                </c:pt>
                <c:pt idx="40">
                  <c:v>6.929270692367993</c:v>
                </c:pt>
                <c:pt idx="41">
                  <c:v>6.9175408105489966</c:v>
                </c:pt>
                <c:pt idx="42">
                  <c:v>7.3642522785884843</c:v>
                </c:pt>
                <c:pt idx="43">
                  <c:v>7.3390022182812924</c:v>
                </c:pt>
                <c:pt idx="44">
                  <c:v>7.6007946034441893</c:v>
                </c:pt>
                <c:pt idx="45">
                  <c:v>7.4453124761020701</c:v>
                </c:pt>
                <c:pt idx="46">
                  <c:v>5.6221500680955092</c:v>
                </c:pt>
                <c:pt idx="47">
                  <c:v>6.1671504285339678</c:v>
                </c:pt>
                <c:pt idx="48">
                  <c:v>7.6578655295097242</c:v>
                </c:pt>
                <c:pt idx="49">
                  <c:v>6.812073829564838</c:v>
                </c:pt>
                <c:pt idx="50">
                  <c:v>7.2760335373867981</c:v>
                </c:pt>
                <c:pt idx="51">
                  <c:v>6.964357122613559</c:v>
                </c:pt>
                <c:pt idx="52">
                  <c:v>7.4908815615286644</c:v>
                </c:pt>
                <c:pt idx="53">
                  <c:v>7.3614083567297239</c:v>
                </c:pt>
                <c:pt idx="54">
                  <c:v>7.326598942207716</c:v>
                </c:pt>
                <c:pt idx="55">
                  <c:v>7.3546520824712571</c:v>
                </c:pt>
                <c:pt idx="56">
                  <c:v>5.4992621633717995</c:v>
                </c:pt>
                <c:pt idx="57">
                  <c:v>7.689222431896936</c:v>
                </c:pt>
                <c:pt idx="58">
                  <c:v>6.832978345891231</c:v>
                </c:pt>
                <c:pt idx="59">
                  <c:v>7.7201998336194029</c:v>
                </c:pt>
                <c:pt idx="60">
                  <c:v>6.995456625167952</c:v>
                </c:pt>
                <c:pt idx="61">
                  <c:v>7.3363665315476849</c:v>
                </c:pt>
                <c:pt idx="62">
                  <c:v>7.3424380734190624</c:v>
                </c:pt>
                <c:pt idx="63">
                  <c:v>7.2750593521198779</c:v>
                </c:pt>
                <c:pt idx="64">
                  <c:v>6.8837964156858114</c:v>
                </c:pt>
                <c:pt idx="65">
                  <c:v>6.8510695368713836</c:v>
                </c:pt>
                <c:pt idx="66">
                  <c:v>6.4314462173703113</c:v>
                </c:pt>
                <c:pt idx="67">
                  <c:v>5.87034299770899</c:v>
                </c:pt>
                <c:pt idx="68">
                  <c:v>7.3721385068440854</c:v>
                </c:pt>
                <c:pt idx="69">
                  <c:v>7.1068511329481971</c:v>
                </c:pt>
                <c:pt idx="70">
                  <c:v>6.7340236148740367</c:v>
                </c:pt>
                <c:pt idx="71">
                  <c:v>7.2484026853723531</c:v>
                </c:pt>
                <c:pt idx="72">
                  <c:v>7.6610092679347224</c:v>
                </c:pt>
                <c:pt idx="73">
                  <c:v>7.5800874393370163</c:v>
                </c:pt>
                <c:pt idx="74">
                  <c:v>7.5439225663538991</c:v>
                </c:pt>
                <c:pt idx="75">
                  <c:v>7.6567080748960743</c:v>
                </c:pt>
                <c:pt idx="76">
                  <c:v>7.3636166191531665</c:v>
                </c:pt>
                <c:pt idx="77">
                  <c:v>6.8050138923227923</c:v>
                </c:pt>
                <c:pt idx="78">
                  <c:v>7.7151331472064344</c:v>
                </c:pt>
                <c:pt idx="79">
                  <c:v>7.7801097036766622</c:v>
                </c:pt>
                <c:pt idx="80">
                  <c:v>7.3460005968613151</c:v>
                </c:pt>
                <c:pt idx="81">
                  <c:v>7.5522430394926623</c:v>
                </c:pt>
                <c:pt idx="82">
                  <c:v>8.0911394184830421</c:v>
                </c:pt>
                <c:pt idx="83">
                  <c:v>7.6923511098439423</c:v>
                </c:pt>
                <c:pt idx="84">
                  <c:v>6.7511949931598361</c:v>
                </c:pt>
                <c:pt idx="85">
                  <c:v>8.0112837314739433</c:v>
                </c:pt>
                <c:pt idx="86">
                  <c:v>7.7769753796907501</c:v>
                </c:pt>
                <c:pt idx="87">
                  <c:v>7.9258800984553108</c:v>
                </c:pt>
                <c:pt idx="88">
                  <c:v>7.1463131919219549</c:v>
                </c:pt>
                <c:pt idx="89">
                  <c:v>7.6500068213819405</c:v>
                </c:pt>
                <c:pt idx="90">
                  <c:v>6.6919723080840443</c:v>
                </c:pt>
                <c:pt idx="91">
                  <c:v>7.241879518352885</c:v>
                </c:pt>
                <c:pt idx="92">
                  <c:v>7.0216486364624773</c:v>
                </c:pt>
                <c:pt idx="93">
                  <c:v>8.1536440553817311</c:v>
                </c:pt>
                <c:pt idx="94">
                  <c:v>7.7793202782585533</c:v>
                </c:pt>
                <c:pt idx="95">
                  <c:v>7.8382432534462962</c:v>
                </c:pt>
                <c:pt idx="96">
                  <c:v>8.0713819383783356</c:v>
                </c:pt>
                <c:pt idx="97">
                  <c:v>7.2663413526008886</c:v>
                </c:pt>
                <c:pt idx="98">
                  <c:v>7.1176502996320998</c:v>
                </c:pt>
                <c:pt idx="99">
                  <c:v>7.7108508188073399</c:v>
                </c:pt>
                <c:pt idx="100">
                  <c:v>7.9939458773857535</c:v>
                </c:pt>
                <c:pt idx="101">
                  <c:v>7.3119840170564281</c:v>
                </c:pt>
                <c:pt idx="102">
                  <c:v>7.728042895670586</c:v>
                </c:pt>
                <c:pt idx="103">
                  <c:v>6.6428829117493731</c:v>
                </c:pt>
                <c:pt idx="104">
                  <c:v>7.749616276198962</c:v>
                </c:pt>
                <c:pt idx="105">
                  <c:v>7.1299708516039866</c:v>
                </c:pt>
                <c:pt idx="106">
                  <c:v>7.7297295110852353</c:v>
                </c:pt>
                <c:pt idx="107">
                  <c:v>7.9107231067130188</c:v>
                </c:pt>
                <c:pt idx="108">
                  <c:v>7.3155844388740503</c:v>
                </c:pt>
                <c:pt idx="109">
                  <c:v>7.1140664903105453</c:v>
                </c:pt>
                <c:pt idx="110">
                  <c:v>7.1416085103506957</c:v>
                </c:pt>
                <c:pt idx="111">
                  <c:v>7.2971265023876306</c:v>
                </c:pt>
                <c:pt idx="112">
                  <c:v>7.9594258661467583</c:v>
                </c:pt>
                <c:pt idx="113">
                  <c:v>7.6146976683215497</c:v>
                </c:pt>
                <c:pt idx="114">
                  <c:v>7.7204673688923453</c:v>
                </c:pt>
                <c:pt idx="115">
                  <c:v>7.0553945100520288</c:v>
                </c:pt>
                <c:pt idx="116">
                  <c:v>6.9830352506499134</c:v>
                </c:pt>
                <c:pt idx="117">
                  <c:v>8.1796357891523996</c:v>
                </c:pt>
                <c:pt idx="118">
                  <c:v>7.9110095119494668</c:v>
                </c:pt>
                <c:pt idx="119">
                  <c:v>7.1806614167794161</c:v>
                </c:pt>
                <c:pt idx="120">
                  <c:v>8.0840324986635839</c:v>
                </c:pt>
                <c:pt idx="121">
                  <c:v>7.6683420863834906</c:v>
                </c:pt>
                <c:pt idx="122">
                  <c:v>7.6154090971948705</c:v>
                </c:pt>
                <c:pt idx="123">
                  <c:v>7.9780971730290897</c:v>
                </c:pt>
                <c:pt idx="124">
                  <c:v>7.2462613534173324</c:v>
                </c:pt>
                <c:pt idx="125">
                  <c:v>7.6846955783657158</c:v>
                </c:pt>
                <c:pt idx="126">
                  <c:v>7.1023723999401254</c:v>
                </c:pt>
                <c:pt idx="127">
                  <c:v>7.6917067189926369</c:v>
                </c:pt>
                <c:pt idx="128">
                  <c:v>8.0952341666432091</c:v>
                </c:pt>
                <c:pt idx="129">
                  <c:v>8.052806061938373</c:v>
                </c:pt>
                <c:pt idx="130">
                  <c:v>7.9671155654164636</c:v>
                </c:pt>
                <c:pt idx="131">
                  <c:v>7.047551191584712</c:v>
                </c:pt>
                <c:pt idx="132">
                  <c:v>8.1620074191791439</c:v>
                </c:pt>
                <c:pt idx="133">
                  <c:v>8.1632613327592853</c:v>
                </c:pt>
                <c:pt idx="134">
                  <c:v>7.6836806018897956</c:v>
                </c:pt>
                <c:pt idx="135">
                  <c:v>7.2480987574606717</c:v>
                </c:pt>
                <c:pt idx="136">
                  <c:v>7.006623056933476</c:v>
                </c:pt>
                <c:pt idx="137">
                  <c:v>7.9147045300636121</c:v>
                </c:pt>
                <c:pt idx="138">
                  <c:v>7.0575423572595115</c:v>
                </c:pt>
                <c:pt idx="139">
                  <c:v>7.2636681345825798</c:v>
                </c:pt>
                <c:pt idx="140">
                  <c:v>8.0006160990081803</c:v>
                </c:pt>
                <c:pt idx="141">
                  <c:v>7.9148152285473587</c:v>
                </c:pt>
                <c:pt idx="142">
                  <c:v>8.0379631583012028</c:v>
                </c:pt>
                <c:pt idx="143">
                  <c:v>8.0025537060954974</c:v>
                </c:pt>
                <c:pt idx="144">
                  <c:v>7.6243777102479386</c:v>
                </c:pt>
                <c:pt idx="145">
                  <c:v>8.1215957936815961</c:v>
                </c:pt>
                <c:pt idx="146">
                  <c:v>7.9576981049188449</c:v>
                </c:pt>
                <c:pt idx="147">
                  <c:v>7.5935084820080192</c:v>
                </c:pt>
                <c:pt idx="148">
                  <c:v>7.8506953577317944</c:v>
                </c:pt>
                <c:pt idx="149">
                  <c:v>7.7791010294434288</c:v>
                </c:pt>
              </c:numCache>
            </c:numRef>
          </c:val>
          <c:smooth val="0"/>
          <c:extLst>
            <c:ext xmlns:c16="http://schemas.microsoft.com/office/drawing/2014/chart" uri="{C3380CC4-5D6E-409C-BE32-E72D297353CC}">
              <c16:uniqueId val="{00000005-2861-4471-A3DF-608C3D9F5F6B}"/>
            </c:ext>
          </c:extLst>
        </c:ser>
        <c:dLbls>
          <c:showLegendKey val="0"/>
          <c:showVal val="0"/>
          <c:showCatName val="0"/>
          <c:showSerName val="0"/>
          <c:showPercent val="0"/>
          <c:showBubbleSize val="0"/>
        </c:dLbls>
        <c:marker val="1"/>
        <c:smooth val="0"/>
        <c:axId val="1359969360"/>
        <c:axId val="1359966032"/>
      </c:lineChart>
      <c:catAx>
        <c:axId val="139208428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098432"/>
        <c:crosses val="autoZero"/>
        <c:auto val="1"/>
        <c:lblAlgn val="ctr"/>
        <c:lblOffset val="100"/>
        <c:noMultiLvlLbl val="0"/>
      </c:catAx>
      <c:valAx>
        <c:axId val="1392098432"/>
        <c:scaling>
          <c:logBase val="10"/>
          <c:orientation val="minMax"/>
          <c:min val="100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084288"/>
        <c:crosses val="autoZero"/>
        <c:crossBetween val="between"/>
      </c:valAx>
      <c:valAx>
        <c:axId val="135996603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969360"/>
        <c:crosses val="max"/>
        <c:crossBetween val="between"/>
      </c:valAx>
      <c:catAx>
        <c:axId val="1359969360"/>
        <c:scaling>
          <c:orientation val="minMax"/>
        </c:scaling>
        <c:delete val="1"/>
        <c:axPos val="b"/>
        <c:majorTickMark val="out"/>
        <c:minorTickMark val="none"/>
        <c:tickLblPos val="nextTo"/>
        <c:crossAx val="1359966032"/>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M2L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avg!$U$1</c:f>
              <c:strCache>
                <c:ptCount val="1"/>
                <c:pt idx="0">
                  <c:v>cpu_M2L_time</c:v>
                </c:pt>
              </c:strCache>
            </c:strRef>
          </c:tx>
          <c:spPr>
            <a:ln w="28575" cap="rnd">
              <a:solidFill>
                <a:schemeClr val="accent3"/>
              </a:solidFill>
              <a:round/>
            </a:ln>
            <a:effectLst/>
          </c:spPr>
          <c:marker>
            <c:symbol val="none"/>
          </c:marker>
          <c:val>
            <c:numRef>
              <c:f>avg!$U$2:$U$151</c:f>
              <c:numCache>
                <c:formatCode>General</c:formatCode>
                <c:ptCount val="150"/>
                <c:pt idx="0">
                  <c:v>740865866.66666663</c:v>
                </c:pt>
                <c:pt idx="1">
                  <c:v>206740066.66666666</c:v>
                </c:pt>
                <c:pt idx="2">
                  <c:v>1201428500</c:v>
                </c:pt>
                <c:pt idx="3">
                  <c:v>332308266.66666669</c:v>
                </c:pt>
                <c:pt idx="4">
                  <c:v>2029296600</c:v>
                </c:pt>
                <c:pt idx="5">
                  <c:v>550488166.66666663</c:v>
                </c:pt>
                <c:pt idx="6">
                  <c:v>553976466.66666663</c:v>
                </c:pt>
                <c:pt idx="7">
                  <c:v>1521014100</c:v>
                </c:pt>
                <c:pt idx="8">
                  <c:v>669008100</c:v>
                </c:pt>
                <c:pt idx="9">
                  <c:v>1489700700</c:v>
                </c:pt>
                <c:pt idx="10">
                  <c:v>1771625466.6666667</c:v>
                </c:pt>
                <c:pt idx="11">
                  <c:v>2232373400</c:v>
                </c:pt>
                <c:pt idx="12">
                  <c:v>4350505000</c:v>
                </c:pt>
                <c:pt idx="13">
                  <c:v>1176931900</c:v>
                </c:pt>
                <c:pt idx="14">
                  <c:v>2526287500</c:v>
                </c:pt>
                <c:pt idx="15">
                  <c:v>2276276266.6666665</c:v>
                </c:pt>
                <c:pt idx="16">
                  <c:v>5166336900</c:v>
                </c:pt>
                <c:pt idx="17">
                  <c:v>2734121300</c:v>
                </c:pt>
                <c:pt idx="18">
                  <c:v>10327518200</c:v>
                </c:pt>
                <c:pt idx="19">
                  <c:v>3155311666.6666665</c:v>
                </c:pt>
                <c:pt idx="20">
                  <c:v>4705732400</c:v>
                </c:pt>
                <c:pt idx="21">
                  <c:v>8946639600</c:v>
                </c:pt>
                <c:pt idx="22">
                  <c:v>4823283700</c:v>
                </c:pt>
                <c:pt idx="23">
                  <c:v>8670943966.666666</c:v>
                </c:pt>
                <c:pt idx="24">
                  <c:v>6829211266.666667</c:v>
                </c:pt>
                <c:pt idx="25">
                  <c:v>25151748933.333332</c:v>
                </c:pt>
                <c:pt idx="26">
                  <c:v>7187252900</c:v>
                </c:pt>
                <c:pt idx="27">
                  <c:v>13659145800</c:v>
                </c:pt>
                <c:pt idx="28">
                  <c:v>3957610600</c:v>
                </c:pt>
                <c:pt idx="29">
                  <c:v>744533666.66666663</c:v>
                </c:pt>
                <c:pt idx="30">
                  <c:v>2161283200</c:v>
                </c:pt>
                <c:pt idx="31">
                  <c:v>736092433.33333337</c:v>
                </c:pt>
                <c:pt idx="32">
                  <c:v>198146500</c:v>
                </c:pt>
                <c:pt idx="33">
                  <c:v>2109855100</c:v>
                </c:pt>
                <c:pt idx="34">
                  <c:v>570702333.33333337</c:v>
                </c:pt>
                <c:pt idx="35">
                  <c:v>3419541066.6666665</c:v>
                </c:pt>
                <c:pt idx="36">
                  <c:v>3535021766.6666665</c:v>
                </c:pt>
                <c:pt idx="37">
                  <c:v>957828766.66666663</c:v>
                </c:pt>
                <c:pt idx="38">
                  <c:v>5927491333.333333</c:v>
                </c:pt>
                <c:pt idx="39">
                  <c:v>1152187866.6666667</c:v>
                </c:pt>
                <c:pt idx="40">
                  <c:v>1472484566.6666667</c:v>
                </c:pt>
                <c:pt idx="41">
                  <c:v>3341576333.3333335</c:v>
                </c:pt>
                <c:pt idx="42">
                  <c:v>2397195875</c:v>
                </c:pt>
                <c:pt idx="43">
                  <c:v>8535276675</c:v>
                </c:pt>
                <c:pt idx="44">
                  <c:v>4110714300</c:v>
                </c:pt>
                <c:pt idx="45">
                  <c:v>5438969533.333333</c:v>
                </c:pt>
                <c:pt idx="46">
                  <c:v>12690125175</c:v>
                </c:pt>
                <c:pt idx="47">
                  <c:v>5599651900</c:v>
                </c:pt>
                <c:pt idx="48">
                  <c:v>20203018200</c:v>
                </c:pt>
                <c:pt idx="49">
                  <c:v>5496137966.666667</c:v>
                </c:pt>
                <c:pt idx="50">
                  <c:v>12725520350</c:v>
                </c:pt>
                <c:pt idx="51">
                  <c:v>29397943866.666668</c:v>
                </c:pt>
                <c:pt idx="52">
                  <c:v>10038004625</c:v>
                </c:pt>
                <c:pt idx="53">
                  <c:v>21828530600</c:v>
                </c:pt>
                <c:pt idx="54">
                  <c:v>14579237933.333334</c:v>
                </c:pt>
                <c:pt idx="55">
                  <c:v>51854986100</c:v>
                </c:pt>
                <c:pt idx="56">
                  <c:v>19122945566.666668</c:v>
                </c:pt>
                <c:pt idx="57">
                  <c:v>71923053800</c:v>
                </c:pt>
                <c:pt idx="58">
                  <c:v>33196888933.333332</c:v>
                </c:pt>
                <c:pt idx="59">
                  <c:v>8412804333.333333</c:v>
                </c:pt>
                <c:pt idx="60">
                  <c:v>1256866266.6666667</c:v>
                </c:pt>
                <c:pt idx="61">
                  <c:v>359722866.66666669</c:v>
                </c:pt>
                <c:pt idx="62">
                  <c:v>1113804900</c:v>
                </c:pt>
                <c:pt idx="63">
                  <c:v>2155839166.6666665</c:v>
                </c:pt>
                <c:pt idx="64">
                  <c:v>5355107366.666667</c:v>
                </c:pt>
                <c:pt idx="65">
                  <c:v>4178915533.3333335</c:v>
                </c:pt>
                <c:pt idx="66">
                  <c:v>6194560033.333333</c:v>
                </c:pt>
                <c:pt idx="67">
                  <c:v>1937237366.6666667</c:v>
                </c:pt>
                <c:pt idx="68">
                  <c:v>7233045500</c:v>
                </c:pt>
                <c:pt idx="69">
                  <c:v>8517871533.333333</c:v>
                </c:pt>
                <c:pt idx="70">
                  <c:v>10296537633.333334</c:v>
                </c:pt>
                <c:pt idx="71">
                  <c:v>5279333075</c:v>
                </c:pt>
                <c:pt idx="72">
                  <c:v>19621475175</c:v>
                </c:pt>
                <c:pt idx="73">
                  <c:v>2483419866.6666665</c:v>
                </c:pt>
                <c:pt idx="74">
                  <c:v>14821607533.333334</c:v>
                </c:pt>
                <c:pt idx="75">
                  <c:v>6957224400</c:v>
                </c:pt>
                <c:pt idx="76">
                  <c:v>24712058775</c:v>
                </c:pt>
                <c:pt idx="77">
                  <c:v>12103971366.666666</c:v>
                </c:pt>
                <c:pt idx="78">
                  <c:v>44053934066.666664</c:v>
                </c:pt>
                <c:pt idx="79">
                  <c:v>12121570933.333334</c:v>
                </c:pt>
                <c:pt idx="80">
                  <c:v>31891960350</c:v>
                </c:pt>
                <c:pt idx="81">
                  <c:v>59331459100</c:v>
                </c:pt>
                <c:pt idx="82">
                  <c:v>28200945800</c:v>
                </c:pt>
                <c:pt idx="83">
                  <c:v>72766770233.333328</c:v>
                </c:pt>
                <c:pt idx="84">
                  <c:v>41094953100</c:v>
                </c:pt>
                <c:pt idx="85">
                  <c:v>151803164233.33334</c:v>
                </c:pt>
                <c:pt idx="86">
                  <c:v>48268617800</c:v>
                </c:pt>
                <c:pt idx="87">
                  <c:v>148336678300</c:v>
                </c:pt>
                <c:pt idx="88">
                  <c:v>177780761066.66666</c:v>
                </c:pt>
                <c:pt idx="89">
                  <c:v>71929015566.666672</c:v>
                </c:pt>
                <c:pt idx="90">
                  <c:v>1598450000</c:v>
                </c:pt>
                <c:pt idx="91">
                  <c:v>5859549766.666667</c:v>
                </c:pt>
                <c:pt idx="92">
                  <c:v>2650898066.6666665</c:v>
                </c:pt>
                <c:pt idx="93">
                  <c:v>9969534500</c:v>
                </c:pt>
                <c:pt idx="94">
                  <c:v>3646289766.6666665</c:v>
                </c:pt>
                <c:pt idx="95">
                  <c:v>4931815933.333333</c:v>
                </c:pt>
                <c:pt idx="96">
                  <c:v>18175099066.666668</c:v>
                </c:pt>
                <c:pt idx="97">
                  <c:v>5361996300</c:v>
                </c:pt>
                <c:pt idx="98">
                  <c:v>11892563233.333334</c:v>
                </c:pt>
                <c:pt idx="99">
                  <c:v>12137900966.666666</c:v>
                </c:pt>
                <c:pt idx="100">
                  <c:v>15462302700</c:v>
                </c:pt>
                <c:pt idx="101">
                  <c:v>20754270100</c:v>
                </c:pt>
                <c:pt idx="102">
                  <c:v>12181854600</c:v>
                </c:pt>
                <c:pt idx="103">
                  <c:v>45293936375</c:v>
                </c:pt>
                <c:pt idx="104">
                  <c:v>19563350233.333332</c:v>
                </c:pt>
                <c:pt idx="105">
                  <c:v>25605923800</c:v>
                </c:pt>
                <c:pt idx="106">
                  <c:v>57253105950</c:v>
                </c:pt>
                <c:pt idx="107">
                  <c:v>33603191233.333332</c:v>
                </c:pt>
                <c:pt idx="108">
                  <c:v>32427332466.666668</c:v>
                </c:pt>
                <c:pt idx="109">
                  <c:v>120194981200</c:v>
                </c:pt>
                <c:pt idx="110">
                  <c:v>60228201200</c:v>
                </c:pt>
                <c:pt idx="111">
                  <c:v>126629074100</c:v>
                </c:pt>
                <c:pt idx="112">
                  <c:v>70361940875</c:v>
                </c:pt>
                <c:pt idx="113">
                  <c:v>148773189100</c:v>
                </c:pt>
                <c:pt idx="114">
                  <c:v>129273141566.66667</c:v>
                </c:pt>
                <c:pt idx="115">
                  <c:v>476745840466.66669</c:v>
                </c:pt>
                <c:pt idx="116">
                  <c:v>159528872400</c:v>
                </c:pt>
                <c:pt idx="117">
                  <c:v>439010203700</c:v>
                </c:pt>
                <c:pt idx="118">
                  <c:v>364676241433.33331</c:v>
                </c:pt>
                <c:pt idx="119">
                  <c:v>389460330633.33331</c:v>
                </c:pt>
                <c:pt idx="120">
                  <c:v>17276960166.666668</c:v>
                </c:pt>
                <c:pt idx="121">
                  <c:v>1592744766.6666667</c:v>
                </c:pt>
                <c:pt idx="122">
                  <c:v>5870570500</c:v>
                </c:pt>
                <c:pt idx="123">
                  <c:v>4621143033.333333</c:v>
                </c:pt>
                <c:pt idx="124">
                  <c:v>16980788400</c:v>
                </c:pt>
                <c:pt idx="125">
                  <c:v>27823360066.666668</c:v>
                </c:pt>
                <c:pt idx="126">
                  <c:v>8243763633.333333</c:v>
                </c:pt>
                <c:pt idx="127">
                  <c:v>30805087800</c:v>
                </c:pt>
                <c:pt idx="128">
                  <c:v>9015305266.666666</c:v>
                </c:pt>
                <c:pt idx="129">
                  <c:v>53100265300</c:v>
                </c:pt>
                <c:pt idx="130">
                  <c:v>11979200633.333334</c:v>
                </c:pt>
                <c:pt idx="131">
                  <c:v>28538750333.333332</c:v>
                </c:pt>
                <c:pt idx="132">
                  <c:v>22614854975</c:v>
                </c:pt>
                <c:pt idx="133">
                  <c:v>83713967900</c:v>
                </c:pt>
                <c:pt idx="134">
                  <c:v>34390154633.333336</c:v>
                </c:pt>
                <c:pt idx="135">
                  <c:v>52067817566.666664</c:v>
                </c:pt>
                <c:pt idx="136">
                  <c:v>131471360125</c:v>
                </c:pt>
                <c:pt idx="137">
                  <c:v>59853449300</c:v>
                </c:pt>
                <c:pt idx="138">
                  <c:v>221886420933.33334</c:v>
                </c:pt>
                <c:pt idx="139">
                  <c:v>56120095733.333336</c:v>
                </c:pt>
                <c:pt idx="140">
                  <c:v>144082119000</c:v>
                </c:pt>
                <c:pt idx="141">
                  <c:v>349673386800</c:v>
                </c:pt>
                <c:pt idx="142">
                  <c:v>130392740525</c:v>
                </c:pt>
                <c:pt idx="143">
                  <c:v>313113544333.33331</c:v>
                </c:pt>
                <c:pt idx="144">
                  <c:v>223717877966.66666</c:v>
                </c:pt>
                <c:pt idx="145">
                  <c:v>826723190833.33337</c:v>
                </c:pt>
                <c:pt idx="146">
                  <c:v>338050043833.33331</c:v>
                </c:pt>
                <c:pt idx="147">
                  <c:v>1392310989966.6667</c:v>
                </c:pt>
                <c:pt idx="148">
                  <c:v>1083733622633.3334</c:v>
                </c:pt>
                <c:pt idx="149">
                  <c:v>804596223266.66663</c:v>
                </c:pt>
              </c:numCache>
            </c:numRef>
          </c:val>
          <c:smooth val="0"/>
          <c:extLst>
            <c:ext xmlns:c16="http://schemas.microsoft.com/office/drawing/2014/chart" uri="{C3380CC4-5D6E-409C-BE32-E72D297353CC}">
              <c16:uniqueId val="{00000002-09D7-45DC-B243-CDF3DF585D9E}"/>
            </c:ext>
          </c:extLst>
        </c:ser>
        <c:ser>
          <c:idx val="3"/>
          <c:order val="1"/>
          <c:tx>
            <c:strRef>
              <c:f>avg!$N$1</c:f>
              <c:strCache>
                <c:ptCount val="1"/>
                <c:pt idx="0">
                  <c:v>gpu_M2L_time</c:v>
                </c:pt>
              </c:strCache>
            </c:strRef>
          </c:tx>
          <c:spPr>
            <a:ln w="28575" cap="rnd">
              <a:solidFill>
                <a:schemeClr val="accent4"/>
              </a:solidFill>
              <a:round/>
            </a:ln>
            <a:effectLst/>
          </c:spPr>
          <c:marker>
            <c:symbol val="none"/>
          </c:marker>
          <c:val>
            <c:numRef>
              <c:f>avg!$N$2:$N$151</c:f>
              <c:numCache>
                <c:formatCode>General</c:formatCode>
                <c:ptCount val="150"/>
                <c:pt idx="0">
                  <c:v>474322433.33333331</c:v>
                </c:pt>
                <c:pt idx="1">
                  <c:v>240528933.33333334</c:v>
                </c:pt>
                <c:pt idx="2">
                  <c:v>558552466.66666663</c:v>
                </c:pt>
                <c:pt idx="3">
                  <c:v>236004333.33333334</c:v>
                </c:pt>
                <c:pt idx="4">
                  <c:v>673148000</c:v>
                </c:pt>
                <c:pt idx="5">
                  <c:v>667698800</c:v>
                </c:pt>
                <c:pt idx="6">
                  <c:v>323015900</c:v>
                </c:pt>
                <c:pt idx="7">
                  <c:v>1570752266.6666667</c:v>
                </c:pt>
                <c:pt idx="8">
                  <c:v>1225265666.6666667</c:v>
                </c:pt>
                <c:pt idx="9">
                  <c:v>897939700</c:v>
                </c:pt>
                <c:pt idx="10">
                  <c:v>1462128900</c:v>
                </c:pt>
                <c:pt idx="11">
                  <c:v>979568000</c:v>
                </c:pt>
                <c:pt idx="12">
                  <c:v>1101083200</c:v>
                </c:pt>
                <c:pt idx="13">
                  <c:v>438000325</c:v>
                </c:pt>
                <c:pt idx="14">
                  <c:v>1593546800</c:v>
                </c:pt>
                <c:pt idx="15">
                  <c:v>1681951500</c:v>
                </c:pt>
                <c:pt idx="16">
                  <c:v>1578013425</c:v>
                </c:pt>
                <c:pt idx="17">
                  <c:v>739442033.33333337</c:v>
                </c:pt>
                <c:pt idx="18">
                  <c:v>2077070600</c:v>
                </c:pt>
                <c:pt idx="19">
                  <c:v>1858537166.6666667</c:v>
                </c:pt>
                <c:pt idx="20">
                  <c:v>2048025550</c:v>
                </c:pt>
                <c:pt idx="21">
                  <c:v>2375282133.3333335</c:v>
                </c:pt>
                <c:pt idx="22">
                  <c:v>2159589225</c:v>
                </c:pt>
                <c:pt idx="23">
                  <c:v>2871007733.3333335</c:v>
                </c:pt>
                <c:pt idx="24">
                  <c:v>1515066800</c:v>
                </c:pt>
                <c:pt idx="25">
                  <c:v>4652560033.333333</c:v>
                </c:pt>
                <c:pt idx="26">
                  <c:v>2610561633.3333335</c:v>
                </c:pt>
                <c:pt idx="27">
                  <c:v>3391132100</c:v>
                </c:pt>
                <c:pt idx="28">
                  <c:v>1935226733.3333333</c:v>
                </c:pt>
                <c:pt idx="29">
                  <c:v>1450237966.6666667</c:v>
                </c:pt>
                <c:pt idx="30">
                  <c:v>1356594666.6666667</c:v>
                </c:pt>
                <c:pt idx="31">
                  <c:v>601589000</c:v>
                </c:pt>
                <c:pt idx="32">
                  <c:v>290110600</c:v>
                </c:pt>
                <c:pt idx="33">
                  <c:v>910042266.66666663</c:v>
                </c:pt>
                <c:pt idx="34">
                  <c:v>363584200</c:v>
                </c:pt>
                <c:pt idx="35">
                  <c:v>1575239200</c:v>
                </c:pt>
                <c:pt idx="36">
                  <c:v>1097937233.3333333</c:v>
                </c:pt>
                <c:pt idx="37">
                  <c:v>508114366.66666669</c:v>
                </c:pt>
                <c:pt idx="38">
                  <c:v>2106340966.6666667</c:v>
                </c:pt>
                <c:pt idx="39">
                  <c:v>2145544100</c:v>
                </c:pt>
                <c:pt idx="40">
                  <c:v>2566186133.3333335</c:v>
                </c:pt>
                <c:pt idx="41">
                  <c:v>2615816966.6666665</c:v>
                </c:pt>
                <c:pt idx="42">
                  <c:v>695730850</c:v>
                </c:pt>
                <c:pt idx="43">
                  <c:v>1992273250</c:v>
                </c:pt>
                <c:pt idx="44">
                  <c:v>3061122300</c:v>
                </c:pt>
                <c:pt idx="45">
                  <c:v>3054454466.6666665</c:v>
                </c:pt>
                <c:pt idx="46">
                  <c:v>3514279400</c:v>
                </c:pt>
                <c:pt idx="47">
                  <c:v>1327664366.6666667</c:v>
                </c:pt>
                <c:pt idx="48">
                  <c:v>4009454000</c:v>
                </c:pt>
                <c:pt idx="49">
                  <c:v>3326065033.3333335</c:v>
                </c:pt>
                <c:pt idx="50">
                  <c:v>4589626525</c:v>
                </c:pt>
                <c:pt idx="51">
                  <c:v>7000093700</c:v>
                </c:pt>
                <c:pt idx="52">
                  <c:v>4176883250</c:v>
                </c:pt>
                <c:pt idx="53">
                  <c:v>6502718166.666667</c:v>
                </c:pt>
                <c:pt idx="54">
                  <c:v>3073560633.3333335</c:v>
                </c:pt>
                <c:pt idx="55">
                  <c:v>9510948700</c:v>
                </c:pt>
                <c:pt idx="56">
                  <c:v>5863389866.666667</c:v>
                </c:pt>
                <c:pt idx="57">
                  <c:v>16042167133.333334</c:v>
                </c:pt>
                <c:pt idx="58">
                  <c:v>8990716500</c:v>
                </c:pt>
                <c:pt idx="59">
                  <c:v>3907585333.3333335</c:v>
                </c:pt>
                <c:pt idx="60">
                  <c:v>1082667133.3333333</c:v>
                </c:pt>
                <c:pt idx="61">
                  <c:v>487634900</c:v>
                </c:pt>
                <c:pt idx="62">
                  <c:v>607933333.33333337</c:v>
                </c:pt>
                <c:pt idx="63">
                  <c:v>2028832833.3333333</c:v>
                </c:pt>
                <c:pt idx="64">
                  <c:v>4767761866.666667</c:v>
                </c:pt>
                <c:pt idx="65">
                  <c:v>1558739700</c:v>
                </c:pt>
                <c:pt idx="66">
                  <c:v>2864887066.6666665</c:v>
                </c:pt>
                <c:pt idx="67">
                  <c:v>730096700</c:v>
                </c:pt>
                <c:pt idx="68">
                  <c:v>2074540833.3333333</c:v>
                </c:pt>
                <c:pt idx="69">
                  <c:v>5417811966.666667</c:v>
                </c:pt>
                <c:pt idx="70">
                  <c:v>3709092633.3333335</c:v>
                </c:pt>
                <c:pt idx="71">
                  <c:v>1386345900</c:v>
                </c:pt>
                <c:pt idx="72">
                  <c:v>4190242075</c:v>
                </c:pt>
                <c:pt idx="73">
                  <c:v>4798474266.666667</c:v>
                </c:pt>
                <c:pt idx="74">
                  <c:v>6755294366.666667</c:v>
                </c:pt>
                <c:pt idx="75">
                  <c:v>5641075600</c:v>
                </c:pt>
                <c:pt idx="76">
                  <c:v>6742280250</c:v>
                </c:pt>
                <c:pt idx="77">
                  <c:v>2549321733.3333335</c:v>
                </c:pt>
                <c:pt idx="78">
                  <c:v>8348509966.666667</c:v>
                </c:pt>
                <c:pt idx="79">
                  <c:v>6588873533.333333</c:v>
                </c:pt>
                <c:pt idx="80">
                  <c:v>10327720650</c:v>
                </c:pt>
                <c:pt idx="81">
                  <c:v>14128351733.333334</c:v>
                </c:pt>
                <c:pt idx="82">
                  <c:v>9617116300</c:v>
                </c:pt>
                <c:pt idx="83">
                  <c:v>18958928533.333332</c:v>
                </c:pt>
                <c:pt idx="84">
                  <c:v>8053441800</c:v>
                </c:pt>
                <c:pt idx="85">
                  <c:v>26868481033.333332</c:v>
                </c:pt>
                <c:pt idx="86">
                  <c:v>13362133400</c:v>
                </c:pt>
                <c:pt idx="87">
                  <c:v>32835774500</c:v>
                </c:pt>
                <c:pt idx="88">
                  <c:v>41532626733.333336</c:v>
                </c:pt>
                <c:pt idx="89">
                  <c:v>17886259766.666668</c:v>
                </c:pt>
                <c:pt idx="90">
                  <c:v>952435866.66666663</c:v>
                </c:pt>
                <c:pt idx="91">
                  <c:v>2557872466.6666665</c:v>
                </c:pt>
                <c:pt idx="92">
                  <c:v>1116789666.6666667</c:v>
                </c:pt>
                <c:pt idx="93">
                  <c:v>3245372966.6666665</c:v>
                </c:pt>
                <c:pt idx="94">
                  <c:v>3780796600</c:v>
                </c:pt>
                <c:pt idx="95">
                  <c:v>1546169500</c:v>
                </c:pt>
                <c:pt idx="96">
                  <c:v>4664516300</c:v>
                </c:pt>
                <c:pt idx="97">
                  <c:v>8193971300</c:v>
                </c:pt>
                <c:pt idx="98">
                  <c:v>10701842966.666666</c:v>
                </c:pt>
                <c:pt idx="99">
                  <c:v>5530569166.666667</c:v>
                </c:pt>
                <c:pt idx="100">
                  <c:v>10307386100</c:v>
                </c:pt>
                <c:pt idx="101">
                  <c:v>7275791866.666667</c:v>
                </c:pt>
                <c:pt idx="102">
                  <c:v>2913345825</c:v>
                </c:pt>
                <c:pt idx="103">
                  <c:v>9243294925</c:v>
                </c:pt>
                <c:pt idx="104">
                  <c:v>12111903100</c:v>
                </c:pt>
                <c:pt idx="105">
                  <c:v>12445046200</c:v>
                </c:pt>
                <c:pt idx="106">
                  <c:v>14982301625</c:v>
                </c:pt>
                <c:pt idx="107">
                  <c:v>14747040633.333334</c:v>
                </c:pt>
                <c:pt idx="108">
                  <c:v>6715580666.666667</c:v>
                </c:pt>
                <c:pt idx="109">
                  <c:v>22121921133.333332</c:v>
                </c:pt>
                <c:pt idx="110">
                  <c:v>19755987225</c:v>
                </c:pt>
                <c:pt idx="111">
                  <c:v>29522217600</c:v>
                </c:pt>
                <c:pt idx="112">
                  <c:v>21631386350</c:v>
                </c:pt>
                <c:pt idx="113">
                  <c:v>38411821133.333336</c:v>
                </c:pt>
                <c:pt idx="114">
                  <c:v>25268524600</c:v>
                </c:pt>
                <c:pt idx="115">
                  <c:v>83930464300</c:v>
                </c:pt>
                <c:pt idx="116">
                  <c:v>38291548200</c:v>
                </c:pt>
                <c:pt idx="117">
                  <c:v>95193653633.333328</c:v>
                </c:pt>
                <c:pt idx="118">
                  <c:v>84773311266.666672</c:v>
                </c:pt>
                <c:pt idx="119">
                  <c:v>82331742733.333328</c:v>
                </c:pt>
                <c:pt idx="120">
                  <c:v>9456627933.333334</c:v>
                </c:pt>
                <c:pt idx="121">
                  <c:v>1372797466.6666667</c:v>
                </c:pt>
                <c:pt idx="122">
                  <c:v>3975116566.6666665</c:v>
                </c:pt>
                <c:pt idx="123">
                  <c:v>1936760000</c:v>
                </c:pt>
                <c:pt idx="124">
                  <c:v>5876248833.333333</c:v>
                </c:pt>
                <c:pt idx="125">
                  <c:v>11584175033.333334</c:v>
                </c:pt>
                <c:pt idx="126">
                  <c:v>2631713366.6666665</c:v>
                </c:pt>
                <c:pt idx="127">
                  <c:v>8196524666.666667</c:v>
                </c:pt>
                <c:pt idx="128">
                  <c:v>15860162033.333334</c:v>
                </c:pt>
                <c:pt idx="129">
                  <c:v>16949486433.333334</c:v>
                </c:pt>
                <c:pt idx="130">
                  <c:v>18951976866.666668</c:v>
                </c:pt>
                <c:pt idx="131">
                  <c:v>19948609633.333332</c:v>
                </c:pt>
                <c:pt idx="132">
                  <c:v>5039122700</c:v>
                </c:pt>
                <c:pt idx="133">
                  <c:v>17319595600</c:v>
                </c:pt>
                <c:pt idx="134">
                  <c:v>23087740633.333332</c:v>
                </c:pt>
                <c:pt idx="135">
                  <c:v>24917842500</c:v>
                </c:pt>
                <c:pt idx="136">
                  <c:v>33444150150</c:v>
                </c:pt>
                <c:pt idx="137">
                  <c:v>12315007133.333334</c:v>
                </c:pt>
                <c:pt idx="138">
                  <c:v>41032336233.333336</c:v>
                </c:pt>
                <c:pt idx="139">
                  <c:v>27040338933.333332</c:v>
                </c:pt>
                <c:pt idx="140">
                  <c:v>44384773900</c:v>
                </c:pt>
                <c:pt idx="141">
                  <c:v>79361435366.666672</c:v>
                </c:pt>
                <c:pt idx="142">
                  <c:v>40997593350</c:v>
                </c:pt>
                <c:pt idx="143">
                  <c:v>80130911033.333328</c:v>
                </c:pt>
                <c:pt idx="144">
                  <c:v>44006246566.666664</c:v>
                </c:pt>
                <c:pt idx="145">
                  <c:v>145014105533.33334</c:v>
                </c:pt>
                <c:pt idx="146">
                  <c:v>78583528400</c:v>
                </c:pt>
                <c:pt idx="147">
                  <c:v>301611589933.33331</c:v>
                </c:pt>
                <c:pt idx="148">
                  <c:v>244555937466.66666</c:v>
                </c:pt>
                <c:pt idx="149">
                  <c:v>168182474666.66666</c:v>
                </c:pt>
              </c:numCache>
            </c:numRef>
          </c:val>
          <c:smooth val="0"/>
          <c:extLst>
            <c:ext xmlns:c16="http://schemas.microsoft.com/office/drawing/2014/chart" uri="{C3380CC4-5D6E-409C-BE32-E72D297353CC}">
              <c16:uniqueId val="{00000003-09D7-45DC-B243-CDF3DF585D9E}"/>
            </c:ext>
          </c:extLst>
        </c:ser>
        <c:dLbls>
          <c:showLegendKey val="0"/>
          <c:showVal val="0"/>
          <c:showCatName val="0"/>
          <c:showSerName val="0"/>
          <c:showPercent val="0"/>
          <c:showBubbleSize val="0"/>
        </c:dLbls>
        <c:marker val="1"/>
        <c:smooth val="0"/>
        <c:axId val="1392084288"/>
        <c:axId val="1392098432"/>
      </c:lineChart>
      <c:lineChart>
        <c:grouping val="standard"/>
        <c:varyColors val="0"/>
        <c:ser>
          <c:idx val="0"/>
          <c:order val="2"/>
          <c:tx>
            <c:strRef>
              <c:f>X!$L$1</c:f>
              <c:strCache>
                <c:ptCount val="1"/>
                <c:pt idx="0">
                  <c:v>X M2L</c:v>
                </c:pt>
              </c:strCache>
            </c:strRef>
          </c:tx>
          <c:spPr>
            <a:ln w="9525" cap="rnd">
              <a:solidFill>
                <a:schemeClr val="accent1"/>
              </a:solidFill>
              <a:round/>
            </a:ln>
            <a:effectLst/>
          </c:spPr>
          <c:marker>
            <c:symbol val="none"/>
          </c:marker>
          <c:val>
            <c:numRef>
              <c:f>X!$L$2:$L$151</c:f>
              <c:numCache>
                <c:formatCode>General</c:formatCode>
                <c:ptCount val="150"/>
                <c:pt idx="0">
                  <c:v>2.2907904295567305</c:v>
                </c:pt>
                <c:pt idx="1">
                  <c:v>1.5619456610141358</c:v>
                </c:pt>
                <c:pt idx="2">
                  <c:v>1.5931679912250871</c:v>
                </c:pt>
                <c:pt idx="3">
                  <c:v>1.8269683748228818</c:v>
                </c:pt>
                <c:pt idx="4">
                  <c:v>0.85952265202190503</c:v>
                </c:pt>
                <c:pt idx="5">
                  <c:v>2.1509680320094073</c:v>
                </c:pt>
                <c:pt idx="6">
                  <c:v>1.1231910310173769</c:v>
                </c:pt>
                <c:pt idx="7">
                  <c:v>3.0719225809783404</c:v>
                </c:pt>
                <c:pt idx="8">
                  <c:v>1.2235802737971162</c:v>
                </c:pt>
                <c:pt idx="9">
                  <c:v>1.4768297738052916</c:v>
                </c:pt>
                <c:pt idx="10">
                  <c:v>1.6782757306213725</c:v>
                </c:pt>
                <c:pt idx="11">
                  <c:v>2.8897326988053291</c:v>
                </c:pt>
                <c:pt idx="12">
                  <c:v>2.3184144047814925</c:v>
                </c:pt>
                <c:pt idx="13">
                  <c:v>3.0146366029461573</c:v>
                </c:pt>
                <c:pt idx="14">
                  <c:v>3.8964595464414322</c:v>
                </c:pt>
                <c:pt idx="15">
                  <c:v>2.6809579131995762</c:v>
                </c:pt>
                <c:pt idx="16">
                  <c:v>1.0626006890497057</c:v>
                </c:pt>
                <c:pt idx="17">
                  <c:v>1.1608981449330658</c:v>
                </c:pt>
                <c:pt idx="18">
                  <c:v>2.4018421671465822</c:v>
                </c:pt>
                <c:pt idx="19">
                  <c:v>2.1708074981035685</c:v>
                </c:pt>
                <c:pt idx="20">
                  <c:v>3.2196938580308037</c:v>
                </c:pt>
                <c:pt idx="21">
                  <c:v>3.7583108759834554</c:v>
                </c:pt>
                <c:pt idx="22">
                  <c:v>2.1622353304630555</c:v>
                </c:pt>
                <c:pt idx="23">
                  <c:v>4.9001937883097462</c:v>
                </c:pt>
                <c:pt idx="24">
                  <c:v>0.96833481146443456</c:v>
                </c:pt>
                <c:pt idx="25">
                  <c:v>3.1328539368350143</c:v>
                </c:pt>
                <c:pt idx="26">
                  <c:v>1.1112631039696095</c:v>
                </c:pt>
                <c:pt idx="27">
                  <c:v>2.8141176699960999</c:v>
                </c:pt>
                <c:pt idx="28">
                  <c:v>3.4865765878312831</c:v>
                </c:pt>
                <c:pt idx="29">
                  <c:v>1.6590208674368669</c:v>
                </c:pt>
                <c:pt idx="30">
                  <c:v>3.9511137759617077</c:v>
                </c:pt>
                <c:pt idx="31">
                  <c:v>5.4332976089897587</c:v>
                </c:pt>
                <c:pt idx="32">
                  <c:v>2.1946929151203993</c:v>
                </c:pt>
                <c:pt idx="33">
                  <c:v>4.8334828268161178</c:v>
                </c:pt>
                <c:pt idx="34">
                  <c:v>4.6826590979233584</c:v>
                </c:pt>
                <c:pt idx="35">
                  <c:v>5.6802478628331228</c:v>
                </c:pt>
                <c:pt idx="36">
                  <c:v>4.9721555925927605</c:v>
                </c:pt>
                <c:pt idx="37">
                  <c:v>0.82445582748788315</c:v>
                </c:pt>
                <c:pt idx="38">
                  <c:v>4.2841897691493873</c:v>
                </c:pt>
                <c:pt idx="39">
                  <c:v>0.96442367903808057</c:v>
                </c:pt>
                <c:pt idx="40">
                  <c:v>1.1602183172249443</c:v>
                </c:pt>
                <c:pt idx="41">
                  <c:v>5.4075990134112821</c:v>
                </c:pt>
                <c:pt idx="42">
                  <c:v>2.7760260126153584</c:v>
                </c:pt>
                <c:pt idx="43">
                  <c:v>3.9310719374042757</c:v>
                </c:pt>
                <c:pt idx="44">
                  <c:v>0.65438309504452374</c:v>
                </c:pt>
                <c:pt idx="45">
                  <c:v>0.54601064748678996</c:v>
                </c:pt>
                <c:pt idx="46">
                  <c:v>0.68300330977220414</c:v>
                </c:pt>
                <c:pt idx="47">
                  <c:v>1.5696565839036278</c:v>
                </c:pt>
                <c:pt idx="48">
                  <c:v>1.5721977037482886</c:v>
                </c:pt>
                <c:pt idx="49">
                  <c:v>5.0388452392769691</c:v>
                </c:pt>
                <c:pt idx="50">
                  <c:v>3.6110177167472797</c:v>
                </c:pt>
                <c:pt idx="51">
                  <c:v>2.3736771084020893</c:v>
                </c:pt>
                <c:pt idx="52">
                  <c:v>1.2116752952948722</c:v>
                </c:pt>
                <c:pt idx="53">
                  <c:v>4.406086976431749</c:v>
                </c:pt>
                <c:pt idx="54">
                  <c:v>2.8525101432716444</c:v>
                </c:pt>
                <c:pt idx="55">
                  <c:v>2.2789366332914103</c:v>
                </c:pt>
                <c:pt idx="56">
                  <c:v>1.4080600214967804</c:v>
                </c:pt>
                <c:pt idx="57">
                  <c:v>1.5001187061383099</c:v>
                </c:pt>
                <c:pt idx="58">
                  <c:v>5.2768618882365903</c:v>
                </c:pt>
                <c:pt idx="59">
                  <c:v>2.194072786297677</c:v>
                </c:pt>
                <c:pt idx="60">
                  <c:v>2.386017386425439</c:v>
                </c:pt>
                <c:pt idx="61">
                  <c:v>4.6162383556759741</c:v>
                </c:pt>
                <c:pt idx="62">
                  <c:v>3.8213825474228496</c:v>
                </c:pt>
                <c:pt idx="63">
                  <c:v>4.1996500513509796</c:v>
                </c:pt>
                <c:pt idx="64">
                  <c:v>1.8321168439521875</c:v>
                </c:pt>
                <c:pt idx="65">
                  <c:v>5.7009846579600527</c:v>
                </c:pt>
                <c:pt idx="66">
                  <c:v>0.73768892806209463</c:v>
                </c:pt>
                <c:pt idx="67">
                  <c:v>1.715012996780241</c:v>
                </c:pt>
                <c:pt idx="68">
                  <c:v>3.6652375544608962</c:v>
                </c:pt>
                <c:pt idx="69">
                  <c:v>3.1896994044529614</c:v>
                </c:pt>
                <c:pt idx="70">
                  <c:v>5.4060020189171691</c:v>
                </c:pt>
                <c:pt idx="71">
                  <c:v>3.2739499031828578</c:v>
                </c:pt>
                <c:pt idx="72">
                  <c:v>1.4306135042938639</c:v>
                </c:pt>
                <c:pt idx="73">
                  <c:v>1.2774503628942746</c:v>
                </c:pt>
                <c:pt idx="74">
                  <c:v>0.53701430171799625</c:v>
                </c:pt>
                <c:pt idx="75">
                  <c:v>0.56842453738613652</c:v>
                </c:pt>
                <c:pt idx="76">
                  <c:v>4.1994607877731394</c:v>
                </c:pt>
                <c:pt idx="77">
                  <c:v>5.6498602970895409</c:v>
                </c:pt>
                <c:pt idx="78">
                  <c:v>2.0575193847010387</c:v>
                </c:pt>
                <c:pt idx="79">
                  <c:v>0.57380271350542722</c:v>
                </c:pt>
                <c:pt idx="80">
                  <c:v>4.2892805620401635</c:v>
                </c:pt>
                <c:pt idx="81">
                  <c:v>1.5853236942899951</c:v>
                </c:pt>
                <c:pt idx="82">
                  <c:v>0.63208185180949261</c:v>
                </c:pt>
                <c:pt idx="83">
                  <c:v>3.0879960284363421</c:v>
                </c:pt>
                <c:pt idx="84">
                  <c:v>5.452136031392957</c:v>
                </c:pt>
                <c:pt idx="85">
                  <c:v>1.6152168715198301</c:v>
                </c:pt>
                <c:pt idx="86">
                  <c:v>2.0895796883966447</c:v>
                </c:pt>
                <c:pt idx="87">
                  <c:v>1.353354283204163</c:v>
                </c:pt>
                <c:pt idx="88">
                  <c:v>3.1324701761783809</c:v>
                </c:pt>
                <c:pt idx="89">
                  <c:v>1.7806680677970275</c:v>
                </c:pt>
                <c:pt idx="90">
                  <c:v>1.8850653110838365</c:v>
                </c:pt>
                <c:pt idx="91">
                  <c:v>4.4833751700887197</c:v>
                </c:pt>
                <c:pt idx="92">
                  <c:v>2.6533983329422894</c:v>
                </c:pt>
                <c:pt idx="93">
                  <c:v>1.4895417953405949</c:v>
                </c:pt>
                <c:pt idx="94">
                  <c:v>3.2462059922761033</c:v>
                </c:pt>
                <c:pt idx="95">
                  <c:v>1.3428781659589359</c:v>
                </c:pt>
                <c:pt idx="96">
                  <c:v>2.2786396314239941</c:v>
                </c:pt>
                <c:pt idx="97">
                  <c:v>3.7665587066260646</c:v>
                </c:pt>
                <c:pt idx="98">
                  <c:v>4.1813966936108589</c:v>
                </c:pt>
                <c:pt idx="99">
                  <c:v>3.8381267224777909</c:v>
                </c:pt>
                <c:pt idx="100">
                  <c:v>1.6977393421331453</c:v>
                </c:pt>
                <c:pt idx="101">
                  <c:v>4.611759155615335</c:v>
                </c:pt>
                <c:pt idx="102">
                  <c:v>2.7726701248311265</c:v>
                </c:pt>
                <c:pt idx="103">
                  <c:v>2.6870571385991551</c:v>
                </c:pt>
                <c:pt idx="104">
                  <c:v>3.0486049881518893</c:v>
                </c:pt>
                <c:pt idx="105">
                  <c:v>4.8286714248884506</c:v>
                </c:pt>
                <c:pt idx="106">
                  <c:v>3.873109493652628</c:v>
                </c:pt>
                <c:pt idx="107">
                  <c:v>0.51754364588721902</c:v>
                </c:pt>
                <c:pt idx="108">
                  <c:v>3.445579386051373</c:v>
                </c:pt>
                <c:pt idx="109">
                  <c:v>3.8080922481178758</c:v>
                </c:pt>
                <c:pt idx="110">
                  <c:v>4.4878555894263101</c:v>
                </c:pt>
                <c:pt idx="111">
                  <c:v>4.5175324949317091</c:v>
                </c:pt>
                <c:pt idx="112">
                  <c:v>1.2333152209482887</c:v>
                </c:pt>
                <c:pt idx="113">
                  <c:v>2.2976922333805847</c:v>
                </c:pt>
                <c:pt idx="114">
                  <c:v>3.9075250773460257</c:v>
                </c:pt>
                <c:pt idx="115">
                  <c:v>5.1159750564410347</c:v>
                </c:pt>
                <c:pt idx="116">
                  <c:v>3.6975464968833931</c:v>
                </c:pt>
                <c:pt idx="117">
                  <c:v>2.0754213130129306</c:v>
                </c:pt>
                <c:pt idx="118">
                  <c:v>1.6524445287705389</c:v>
                </c:pt>
                <c:pt idx="119">
                  <c:v>4.8602041924923611</c:v>
                </c:pt>
                <c:pt idx="120">
                  <c:v>3.2527707534103563</c:v>
                </c:pt>
                <c:pt idx="121">
                  <c:v>4.2805084833216922</c:v>
                </c:pt>
                <c:pt idx="122">
                  <c:v>3.0201743680430346</c:v>
                </c:pt>
                <c:pt idx="123">
                  <c:v>1.8397030800500114</c:v>
                </c:pt>
                <c:pt idx="124">
                  <c:v>4.2176713035229714</c:v>
                </c:pt>
                <c:pt idx="125">
                  <c:v>3.3568317187563794</c:v>
                </c:pt>
                <c:pt idx="126">
                  <c:v>4.7479183221178873</c:v>
                </c:pt>
                <c:pt idx="127">
                  <c:v>4.4314345170255693</c:v>
                </c:pt>
                <c:pt idx="128">
                  <c:v>2.2334264517364408</c:v>
                </c:pt>
                <c:pt idx="129">
                  <c:v>4.1661640727287175</c:v>
                </c:pt>
                <c:pt idx="130">
                  <c:v>2.9323702573920207</c:v>
                </c:pt>
                <c:pt idx="131">
                  <c:v>5.0837754960025574</c:v>
                </c:pt>
                <c:pt idx="132">
                  <c:v>3.1804974358330229</c:v>
                </c:pt>
                <c:pt idx="133">
                  <c:v>4.3017926366530181</c:v>
                </c:pt>
                <c:pt idx="134">
                  <c:v>4.3017812562044631</c:v>
                </c:pt>
                <c:pt idx="135">
                  <c:v>4.0279014197058265</c:v>
                </c:pt>
                <c:pt idx="136">
                  <c:v>4.5075314610990533</c:v>
                </c:pt>
                <c:pt idx="137">
                  <c:v>2.403228441924969</c:v>
                </c:pt>
                <c:pt idx="138">
                  <c:v>5.1027814095583333</c:v>
                </c:pt>
                <c:pt idx="139">
                  <c:v>4.7434359274448017</c:v>
                </c:pt>
                <c:pt idx="140">
                  <c:v>4.7303788029213436</c:v>
                </c:pt>
                <c:pt idx="141">
                  <c:v>3.2614146426422175</c:v>
                </c:pt>
                <c:pt idx="142">
                  <c:v>2.7531443074273838</c:v>
                </c:pt>
                <c:pt idx="143">
                  <c:v>3.61234365464425</c:v>
                </c:pt>
                <c:pt idx="144">
                  <c:v>3.6923518757746763</c:v>
                </c:pt>
                <c:pt idx="145">
                  <c:v>4.7840669776167566</c:v>
                </c:pt>
                <c:pt idx="146">
                  <c:v>4.021467679940308</c:v>
                </c:pt>
                <c:pt idx="147">
                  <c:v>2.0450371689436149</c:v>
                </c:pt>
                <c:pt idx="148">
                  <c:v>2.1529419361795123</c:v>
                </c:pt>
                <c:pt idx="149">
                  <c:v>0.51338723973552935</c:v>
                </c:pt>
              </c:numCache>
            </c:numRef>
          </c:val>
          <c:smooth val="0"/>
          <c:extLst>
            <c:ext xmlns:c16="http://schemas.microsoft.com/office/drawing/2014/chart" uri="{C3380CC4-5D6E-409C-BE32-E72D297353CC}">
              <c16:uniqueId val="{00000005-09D7-45DC-B243-CDF3DF585D9E}"/>
            </c:ext>
          </c:extLst>
        </c:ser>
        <c:dLbls>
          <c:showLegendKey val="0"/>
          <c:showVal val="0"/>
          <c:showCatName val="0"/>
          <c:showSerName val="0"/>
          <c:showPercent val="0"/>
          <c:showBubbleSize val="0"/>
        </c:dLbls>
        <c:marker val="1"/>
        <c:smooth val="0"/>
        <c:axId val="1251577264"/>
        <c:axId val="1251575600"/>
      </c:lineChart>
      <c:catAx>
        <c:axId val="139208428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098432"/>
        <c:crosses val="autoZero"/>
        <c:auto val="1"/>
        <c:lblAlgn val="ctr"/>
        <c:lblOffset val="100"/>
        <c:noMultiLvlLbl val="0"/>
      </c:catAx>
      <c:valAx>
        <c:axId val="1392098432"/>
        <c:scaling>
          <c:logBase val="10"/>
          <c:orientation val="minMax"/>
          <c:min val="1000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084288"/>
        <c:crosses val="autoZero"/>
        <c:crossBetween val="between"/>
      </c:valAx>
      <c:valAx>
        <c:axId val="12515756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577264"/>
        <c:crosses val="max"/>
        <c:crossBetween val="between"/>
      </c:valAx>
      <c:catAx>
        <c:axId val="1251577264"/>
        <c:scaling>
          <c:orientation val="minMax"/>
        </c:scaling>
        <c:delete val="1"/>
        <c:axPos val="b"/>
        <c:majorTickMark val="out"/>
        <c:minorTickMark val="none"/>
        <c:tickLblPos val="nextTo"/>
        <c:crossAx val="1251575600"/>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GPU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X!$Q$1</c:f>
              <c:strCache>
                <c:ptCount val="1"/>
                <c:pt idx="0">
                  <c:v>share GPU collect</c:v>
                </c:pt>
              </c:strCache>
            </c:strRef>
          </c:tx>
          <c:spPr>
            <a:solidFill>
              <a:schemeClr val="accent1"/>
            </a:solidFill>
            <a:ln>
              <a:noFill/>
            </a:ln>
            <a:effectLst/>
          </c:spPr>
          <c:invertIfNegative val="0"/>
          <c:val>
            <c:numRef>
              <c:f>X!$Q$2:$Q$151</c:f>
              <c:numCache>
                <c:formatCode>General</c:formatCode>
                <c:ptCount val="150"/>
                <c:pt idx="0">
                  <c:v>1.5041794580326526E-3</c:v>
                </c:pt>
                <c:pt idx="1">
                  <c:v>1.4124152650162726E-3</c:v>
                </c:pt>
                <c:pt idx="2">
                  <c:v>5.1608406031905865E-4</c:v>
                </c:pt>
                <c:pt idx="3">
                  <c:v>4.5443593604199901E-4</c:v>
                </c:pt>
                <c:pt idx="4">
                  <c:v>2.4801532282144718E-3</c:v>
                </c:pt>
                <c:pt idx="5">
                  <c:v>2.2951452707258252E-3</c:v>
                </c:pt>
                <c:pt idx="6">
                  <c:v>1.32595827681285E-4</c:v>
                </c:pt>
                <c:pt idx="7">
                  <c:v>2.9334183828527895E-3</c:v>
                </c:pt>
                <c:pt idx="8">
                  <c:v>1.7285446407875049E-3</c:v>
                </c:pt>
                <c:pt idx="9">
                  <c:v>1.7446457166620775E-3</c:v>
                </c:pt>
                <c:pt idx="10">
                  <c:v>5.2825565831634193E-3</c:v>
                </c:pt>
                <c:pt idx="11">
                  <c:v>2.9302247656317207E-3</c:v>
                </c:pt>
                <c:pt idx="12">
                  <c:v>2.5989025196576348E-3</c:v>
                </c:pt>
                <c:pt idx="13">
                  <c:v>3.3584199772015884E-3</c:v>
                </c:pt>
                <c:pt idx="14">
                  <c:v>4.5423990309660586E-3</c:v>
                </c:pt>
                <c:pt idx="15">
                  <c:v>2.2769199732303414E-3</c:v>
                </c:pt>
                <c:pt idx="16">
                  <c:v>4.3068396421323753E-4</c:v>
                </c:pt>
                <c:pt idx="17">
                  <c:v>2.1866274622345631E-3</c:v>
                </c:pt>
                <c:pt idx="18">
                  <c:v>8.0226582620144486E-4</c:v>
                </c:pt>
                <c:pt idx="19">
                  <c:v>6.477756756393386E-4</c:v>
                </c:pt>
                <c:pt idx="20">
                  <c:v>2.6981436744926732E-3</c:v>
                </c:pt>
                <c:pt idx="21">
                  <c:v>4.156580487722797E-3</c:v>
                </c:pt>
                <c:pt idx="22">
                  <c:v>7.3437909951326271E-4</c:v>
                </c:pt>
                <c:pt idx="23">
                  <c:v>5.3220834892806794E-3</c:v>
                </c:pt>
                <c:pt idx="24">
                  <c:v>5.5581070141633504E-5</c:v>
                </c:pt>
                <c:pt idx="25">
                  <c:v>1.0684873101376524E-3</c:v>
                </c:pt>
                <c:pt idx="26">
                  <c:v>6.1172947815346394E-5</c:v>
                </c:pt>
                <c:pt idx="27">
                  <c:v>8.5071894232527573E-4</c:v>
                </c:pt>
                <c:pt idx="28">
                  <c:v>3.8652071713648028E-3</c:v>
                </c:pt>
                <c:pt idx="29">
                  <c:v>8.5301772325452145E-4</c:v>
                </c:pt>
                <c:pt idx="30">
                  <c:v>3.4661921591561682E-3</c:v>
                </c:pt>
                <c:pt idx="31">
                  <c:v>7.1337027319447049E-3</c:v>
                </c:pt>
                <c:pt idx="32">
                  <c:v>8.2136868706397153E-4</c:v>
                </c:pt>
                <c:pt idx="33">
                  <c:v>5.6569104946301565E-3</c:v>
                </c:pt>
                <c:pt idx="34">
                  <c:v>5.8721875762977197E-3</c:v>
                </c:pt>
                <c:pt idx="35">
                  <c:v>6.7180587596617353E-3</c:v>
                </c:pt>
                <c:pt idx="36">
                  <c:v>4.9803254367522844E-3</c:v>
                </c:pt>
                <c:pt idx="37">
                  <c:v>5.6334070659031269E-4</c:v>
                </c:pt>
                <c:pt idx="38">
                  <c:v>5.6602559974293755E-3</c:v>
                </c:pt>
                <c:pt idx="39">
                  <c:v>5.6864002612405087E-4</c:v>
                </c:pt>
                <c:pt idx="40">
                  <c:v>3.5236587060152908E-3</c:v>
                </c:pt>
                <c:pt idx="41">
                  <c:v>6.4604592076674293E-3</c:v>
                </c:pt>
                <c:pt idx="42">
                  <c:v>1.1156089213401486E-3</c:v>
                </c:pt>
                <c:pt idx="43">
                  <c:v>1.437695868486007E-3</c:v>
                </c:pt>
                <c:pt idx="44">
                  <c:v>1.354452380555818E-4</c:v>
                </c:pt>
                <c:pt idx="45">
                  <c:v>1.3908950727718674E-4</c:v>
                </c:pt>
                <c:pt idx="46">
                  <c:v>2.9891919498915946E-3</c:v>
                </c:pt>
                <c:pt idx="47">
                  <c:v>1.3573801907199571E-2</c:v>
                </c:pt>
                <c:pt idx="48">
                  <c:v>2.4146067945152112E-4</c:v>
                </c:pt>
                <c:pt idx="49">
                  <c:v>6.6276727504035009E-3</c:v>
                </c:pt>
                <c:pt idx="50">
                  <c:v>1.2143365625948532E-3</c:v>
                </c:pt>
                <c:pt idx="51">
                  <c:v>5.9203600746560977E-3</c:v>
                </c:pt>
                <c:pt idx="52">
                  <c:v>2.1821140841393689E-4</c:v>
                </c:pt>
                <c:pt idx="53">
                  <c:v>1.6283369022564579E-3</c:v>
                </c:pt>
                <c:pt idx="54">
                  <c:v>1.7888803711982571E-3</c:v>
                </c:pt>
                <c:pt idx="55">
                  <c:v>7.471057858299549E-4</c:v>
                </c:pt>
                <c:pt idx="56">
                  <c:v>4.8080755850265517E-3</c:v>
                </c:pt>
                <c:pt idx="57">
                  <c:v>2.3112097687139473E-4</c:v>
                </c:pt>
                <c:pt idx="58">
                  <c:v>6.8027817841097233E-3</c:v>
                </c:pt>
                <c:pt idx="59">
                  <c:v>2.8719232175398356E-4</c:v>
                </c:pt>
                <c:pt idx="60">
                  <c:v>9.933658998626865E-3</c:v>
                </c:pt>
                <c:pt idx="61">
                  <c:v>1.9484772183451706E-3</c:v>
                </c:pt>
                <c:pt idx="62">
                  <c:v>1.5779679525483037E-3</c:v>
                </c:pt>
                <c:pt idx="63">
                  <c:v>1.7282081148398383E-3</c:v>
                </c:pt>
                <c:pt idx="64">
                  <c:v>1.0406129838234288E-2</c:v>
                </c:pt>
                <c:pt idx="65">
                  <c:v>8.949285509973438E-3</c:v>
                </c:pt>
                <c:pt idx="66">
                  <c:v>3.8084364929069883E-3</c:v>
                </c:pt>
                <c:pt idx="67">
                  <c:v>5.6831375918104908E-3</c:v>
                </c:pt>
                <c:pt idx="68">
                  <c:v>1.4257036878576996E-3</c:v>
                </c:pt>
                <c:pt idx="69">
                  <c:v>8.7783542738564292E-3</c:v>
                </c:pt>
                <c:pt idx="70">
                  <c:v>7.4633621224957404E-3</c:v>
                </c:pt>
                <c:pt idx="71">
                  <c:v>1.2100055872924197E-3</c:v>
                </c:pt>
                <c:pt idx="72">
                  <c:v>2.4149968659950766E-4</c:v>
                </c:pt>
                <c:pt idx="73">
                  <c:v>2.3449569607377068E-4</c:v>
                </c:pt>
                <c:pt idx="74">
                  <c:v>1.6028683787830386E-4</c:v>
                </c:pt>
                <c:pt idx="75">
                  <c:v>1.5592047943543283E-4</c:v>
                </c:pt>
                <c:pt idx="76">
                  <c:v>2.0058109389399577E-3</c:v>
                </c:pt>
                <c:pt idx="77">
                  <c:v>7.8781167124865898E-3</c:v>
                </c:pt>
                <c:pt idx="78">
                  <c:v>3.2576931684358105E-4</c:v>
                </c:pt>
                <c:pt idx="79">
                  <c:v>4.6139827152470412E-5</c:v>
                </c:pt>
                <c:pt idx="80">
                  <c:v>1.8431058332808231E-3</c:v>
                </c:pt>
                <c:pt idx="81">
                  <c:v>2.433114133138087E-4</c:v>
                </c:pt>
                <c:pt idx="82">
                  <c:v>5.6925478166363378E-5</c:v>
                </c:pt>
                <c:pt idx="83">
                  <c:v>4.1973206703609664E-4</c:v>
                </c:pt>
                <c:pt idx="84">
                  <c:v>7.8876956507859235E-3</c:v>
                </c:pt>
                <c:pt idx="85">
                  <c:v>9.6681175954378798E-5</c:v>
                </c:pt>
                <c:pt idx="86">
                  <c:v>3.3273265040781178E-4</c:v>
                </c:pt>
                <c:pt idx="87">
                  <c:v>7.5658796913446148E-5</c:v>
                </c:pt>
                <c:pt idx="88">
                  <c:v>8.444998616846576E-3</c:v>
                </c:pt>
                <c:pt idx="89">
                  <c:v>3.0096480592800681E-4</c:v>
                </c:pt>
                <c:pt idx="90">
                  <c:v>6.4338627230583617E-3</c:v>
                </c:pt>
                <c:pt idx="91">
                  <c:v>2.169939337490497E-3</c:v>
                </c:pt>
                <c:pt idx="92">
                  <c:v>6.362552700435847E-3</c:v>
                </c:pt>
                <c:pt idx="93">
                  <c:v>9.6472891896478392E-5</c:v>
                </c:pt>
                <c:pt idx="94">
                  <c:v>6.2353585576198649E-4</c:v>
                </c:pt>
                <c:pt idx="95">
                  <c:v>1.0929992843531246E-4</c:v>
                </c:pt>
                <c:pt idx="96">
                  <c:v>1.207640767426195E-4</c:v>
                </c:pt>
                <c:pt idx="97">
                  <c:v>1.5143220522070905E-3</c:v>
                </c:pt>
                <c:pt idx="98">
                  <c:v>1.104008551954761E-2</c:v>
                </c:pt>
                <c:pt idx="99">
                  <c:v>5.1288117385990593E-4</c:v>
                </c:pt>
                <c:pt idx="100">
                  <c:v>1.0530155588715948E-4</c:v>
                </c:pt>
                <c:pt idx="101">
                  <c:v>3.4684256954525361E-3</c:v>
                </c:pt>
                <c:pt idx="102">
                  <c:v>4.2881507127927679E-4</c:v>
                </c:pt>
                <c:pt idx="103">
                  <c:v>8.387569131728001E-3</c:v>
                </c:pt>
                <c:pt idx="104">
                  <c:v>5.6649064197724784E-4</c:v>
                </c:pt>
                <c:pt idx="105">
                  <c:v>1.2494028373035442E-2</c:v>
                </c:pt>
                <c:pt idx="106">
                  <c:v>5.4017658376398633E-4</c:v>
                </c:pt>
                <c:pt idx="107">
                  <c:v>5.8502703896872548E-5</c:v>
                </c:pt>
                <c:pt idx="108">
                  <c:v>1.0116946622067203E-2</c:v>
                </c:pt>
                <c:pt idx="109">
                  <c:v>1.1016900869973322E-2</c:v>
                </c:pt>
                <c:pt idx="110">
                  <c:v>3.4062557175808868E-2</c:v>
                </c:pt>
                <c:pt idx="111">
                  <c:v>2.1998691528102984E-3</c:v>
                </c:pt>
                <c:pt idx="112">
                  <c:v>1.0836686410038823E-4</c:v>
                </c:pt>
                <c:pt idx="113">
                  <c:v>3.8854976436362336E-4</c:v>
                </c:pt>
                <c:pt idx="114">
                  <c:v>6.0340110430400135E-4</c:v>
                </c:pt>
                <c:pt idx="115">
                  <c:v>1.3503341729547565E-2</c:v>
                </c:pt>
                <c:pt idx="116">
                  <c:v>8.6196171537202722E-3</c:v>
                </c:pt>
                <c:pt idx="117">
                  <c:v>1.2641544197694644E-4</c:v>
                </c:pt>
                <c:pt idx="118">
                  <c:v>1.3230006174476383E-4</c:v>
                </c:pt>
                <c:pt idx="119">
                  <c:v>1.3159648362322546E-2</c:v>
                </c:pt>
                <c:pt idx="120">
                  <c:v>1.9684723373744541E-4</c:v>
                </c:pt>
                <c:pt idx="121">
                  <c:v>6.5872598201650433E-4</c:v>
                </c:pt>
                <c:pt idx="122">
                  <c:v>4.6848153428977944E-4</c:v>
                </c:pt>
                <c:pt idx="123">
                  <c:v>1.2828975078866712E-4</c:v>
                </c:pt>
                <c:pt idx="124">
                  <c:v>1.1340338037115642E-2</c:v>
                </c:pt>
                <c:pt idx="125">
                  <c:v>4.8606105744241219E-4</c:v>
                </c:pt>
                <c:pt idx="126">
                  <c:v>1.7900989816730939E-2</c:v>
                </c:pt>
                <c:pt idx="127">
                  <c:v>6.9061089641137008E-4</c:v>
                </c:pt>
                <c:pt idx="128">
                  <c:v>1.3072624092874121E-4</c:v>
                </c:pt>
                <c:pt idx="129">
                  <c:v>2.474106704508115E-4</c:v>
                </c:pt>
                <c:pt idx="130">
                  <c:v>1.534258597156221E-4</c:v>
                </c:pt>
                <c:pt idx="131">
                  <c:v>1.6483792322600999E-2</c:v>
                </c:pt>
                <c:pt idx="132">
                  <c:v>1.6839453196992914E-4</c:v>
                </c:pt>
                <c:pt idx="133">
                  <c:v>1.8647091567628178E-4</c:v>
                </c:pt>
                <c:pt idx="134">
                  <c:v>6.8047450866368586E-4</c:v>
                </c:pt>
                <c:pt idx="135">
                  <c:v>2.6568381175056843E-3</c:v>
                </c:pt>
                <c:pt idx="136">
                  <c:v>1.1348877172356095E-2</c:v>
                </c:pt>
                <c:pt idx="137">
                  <c:v>1.444897597062167E-4</c:v>
                </c:pt>
                <c:pt idx="138">
                  <c:v>1.3876717496078684E-2</c:v>
                </c:pt>
                <c:pt idx="139">
                  <c:v>1.3482937692280844E-2</c:v>
                </c:pt>
                <c:pt idx="140">
                  <c:v>2.0462795747196386E-4</c:v>
                </c:pt>
                <c:pt idx="141">
                  <c:v>1.679037603830749E-4</c:v>
                </c:pt>
                <c:pt idx="142">
                  <c:v>3.9671604608013653E-4</c:v>
                </c:pt>
                <c:pt idx="143">
                  <c:v>2.8578074559255039E-4</c:v>
                </c:pt>
                <c:pt idx="144">
                  <c:v>6.5252715115526221E-4</c:v>
                </c:pt>
                <c:pt idx="145">
                  <c:v>2.047421426033622E-4</c:v>
                </c:pt>
                <c:pt idx="146">
                  <c:v>1.927590165327912E-4</c:v>
                </c:pt>
                <c:pt idx="147">
                  <c:v>6.3494317933011977E-4</c:v>
                </c:pt>
                <c:pt idx="148">
                  <c:v>2.8566018049453157E-4</c:v>
                </c:pt>
                <c:pt idx="149">
                  <c:v>1.6069333479488276E-4</c:v>
                </c:pt>
              </c:numCache>
            </c:numRef>
          </c:val>
          <c:extLst>
            <c:ext xmlns:c16="http://schemas.microsoft.com/office/drawing/2014/chart" uri="{C3380CC4-5D6E-409C-BE32-E72D297353CC}">
              <c16:uniqueId val="{00000000-022B-4ACC-ACF8-B9CEDB48CF0A}"/>
            </c:ext>
          </c:extLst>
        </c:ser>
        <c:ser>
          <c:idx val="1"/>
          <c:order val="1"/>
          <c:tx>
            <c:strRef>
              <c:f>X!$R$1</c:f>
              <c:strCache>
                <c:ptCount val="1"/>
                <c:pt idx="0">
                  <c:v>share GPU FF</c:v>
                </c:pt>
              </c:strCache>
            </c:strRef>
          </c:tx>
          <c:spPr>
            <a:solidFill>
              <a:schemeClr val="accent2"/>
            </a:solidFill>
            <a:ln>
              <a:noFill/>
            </a:ln>
            <a:effectLst/>
          </c:spPr>
          <c:invertIfNegative val="0"/>
          <c:val>
            <c:numRef>
              <c:f>X!$R$2:$R$151</c:f>
              <c:numCache>
                <c:formatCode>General</c:formatCode>
                <c:ptCount val="150"/>
                <c:pt idx="0">
                  <c:v>0.95331261778839282</c:v>
                </c:pt>
                <c:pt idx="1">
                  <c:v>0.95845119010914437</c:v>
                </c:pt>
                <c:pt idx="2">
                  <c:v>0.95236293482209466</c:v>
                </c:pt>
                <c:pt idx="3">
                  <c:v>0.94933589333867963</c:v>
                </c:pt>
                <c:pt idx="4">
                  <c:v>0.91237084014192327</c:v>
                </c:pt>
                <c:pt idx="5">
                  <c:v>0.90261102184402442</c:v>
                </c:pt>
                <c:pt idx="6">
                  <c:v>0.9509554397656157</c:v>
                </c:pt>
                <c:pt idx="7">
                  <c:v>0.88778652380340395</c:v>
                </c:pt>
                <c:pt idx="8">
                  <c:v>0.90333632829170241</c:v>
                </c:pt>
                <c:pt idx="9">
                  <c:v>0.8985259132385337</c:v>
                </c:pt>
                <c:pt idx="10">
                  <c:v>0.88243222557754586</c:v>
                </c:pt>
                <c:pt idx="11">
                  <c:v>0.87082425043698641</c:v>
                </c:pt>
                <c:pt idx="12">
                  <c:v>0.883854874930455</c:v>
                </c:pt>
                <c:pt idx="13">
                  <c:v>0.86984913678242226</c:v>
                </c:pt>
                <c:pt idx="14">
                  <c:v>0.85564371228789005</c:v>
                </c:pt>
                <c:pt idx="15">
                  <c:v>0.88742259717925931</c:v>
                </c:pt>
                <c:pt idx="16">
                  <c:v>0.91047714264101132</c:v>
                </c:pt>
                <c:pt idx="17">
                  <c:v>0.85510380576623424</c:v>
                </c:pt>
                <c:pt idx="18">
                  <c:v>0.86640022400986982</c:v>
                </c:pt>
                <c:pt idx="19">
                  <c:v>0.9001266639945279</c:v>
                </c:pt>
                <c:pt idx="20">
                  <c:v>0.86767664350842577</c:v>
                </c:pt>
                <c:pt idx="21">
                  <c:v>0.81039510288103711</c:v>
                </c:pt>
                <c:pt idx="22">
                  <c:v>0.87321243486706945</c:v>
                </c:pt>
                <c:pt idx="23">
                  <c:v>0.7870625923560769</c:v>
                </c:pt>
                <c:pt idx="24">
                  <c:v>0.9213135141115012</c:v>
                </c:pt>
                <c:pt idx="25">
                  <c:v>0.84064310883578364</c:v>
                </c:pt>
                <c:pt idx="26">
                  <c:v>0.91305504204757559</c:v>
                </c:pt>
                <c:pt idx="27">
                  <c:v>0.86304779527931574</c:v>
                </c:pt>
                <c:pt idx="28">
                  <c:v>0.81529354549872413</c:v>
                </c:pt>
                <c:pt idx="29">
                  <c:v>0.87058521764271612</c:v>
                </c:pt>
                <c:pt idx="30">
                  <c:v>0.82809429461806938</c:v>
                </c:pt>
                <c:pt idx="31">
                  <c:v>0.75601471454059666</c:v>
                </c:pt>
                <c:pt idx="32">
                  <c:v>0.84706599917152481</c:v>
                </c:pt>
                <c:pt idx="33">
                  <c:v>0.74514513397213678</c:v>
                </c:pt>
                <c:pt idx="34">
                  <c:v>0.75363180783110151</c:v>
                </c:pt>
                <c:pt idx="35">
                  <c:v>0.71998904645745199</c:v>
                </c:pt>
                <c:pt idx="36">
                  <c:v>0.76625376991044292</c:v>
                </c:pt>
                <c:pt idx="37">
                  <c:v>0.87293649520329941</c:v>
                </c:pt>
                <c:pt idx="38">
                  <c:v>0.76560835921222703</c:v>
                </c:pt>
                <c:pt idx="39">
                  <c:v>0.84795696457210978</c:v>
                </c:pt>
                <c:pt idx="40">
                  <c:v>0.79682741321829975</c:v>
                </c:pt>
                <c:pt idx="41">
                  <c:v>0.71267383460320066</c:v>
                </c:pt>
                <c:pt idx="42">
                  <c:v>0.8094293959564044</c:v>
                </c:pt>
                <c:pt idx="43">
                  <c:v>0.76942258669146935</c:v>
                </c:pt>
                <c:pt idx="44">
                  <c:v>0.89241336075380739</c:v>
                </c:pt>
                <c:pt idx="45">
                  <c:v>0.9025372268975359</c:v>
                </c:pt>
                <c:pt idx="46">
                  <c:v>0.79845547583375842</c:v>
                </c:pt>
                <c:pt idx="47">
                  <c:v>0.73780066063994876</c:v>
                </c:pt>
                <c:pt idx="48">
                  <c:v>0.85719926179670758</c:v>
                </c:pt>
                <c:pt idx="49">
                  <c:v>0.70763750998676112</c:v>
                </c:pt>
                <c:pt idx="50">
                  <c:v>0.77266729178981808</c:v>
                </c:pt>
                <c:pt idx="51">
                  <c:v>0.80338455120378038</c:v>
                </c:pt>
                <c:pt idx="52">
                  <c:v>0.85875247632887197</c:v>
                </c:pt>
                <c:pt idx="53">
                  <c:v>0.73521256484234043</c:v>
                </c:pt>
                <c:pt idx="54">
                  <c:v>0.7729718188499809</c:v>
                </c:pt>
                <c:pt idx="55">
                  <c:v>0.8513424774314311</c:v>
                </c:pt>
                <c:pt idx="56">
                  <c:v>0.7772126888774944</c:v>
                </c:pt>
                <c:pt idx="57">
                  <c:v>0.84413214697649297</c:v>
                </c:pt>
                <c:pt idx="58">
                  <c:v>0.67382415424354614</c:v>
                </c:pt>
                <c:pt idx="59">
                  <c:v>0.81889833672960033</c:v>
                </c:pt>
                <c:pt idx="60">
                  <c:v>0.7349260472090211</c:v>
                </c:pt>
                <c:pt idx="61">
                  <c:v>0.70242473368702174</c:v>
                </c:pt>
                <c:pt idx="62">
                  <c:v>0.72535129071410309</c:v>
                </c:pt>
                <c:pt idx="63">
                  <c:v>0.71340121902212739</c:v>
                </c:pt>
                <c:pt idx="64">
                  <c:v>0.71495036484675412</c:v>
                </c:pt>
                <c:pt idx="65">
                  <c:v>0.62552043765935506</c:v>
                </c:pt>
                <c:pt idx="66">
                  <c:v>0.72596802045722275</c:v>
                </c:pt>
                <c:pt idx="67">
                  <c:v>0.73882082627435874</c:v>
                </c:pt>
                <c:pt idx="68">
                  <c:v>0.71913578200298722</c:v>
                </c:pt>
                <c:pt idx="69">
                  <c:v>0.7166701104201153</c:v>
                </c:pt>
                <c:pt idx="70">
                  <c:v>0.62103815541390339</c:v>
                </c:pt>
                <c:pt idx="71">
                  <c:v>0.75136059254552479</c:v>
                </c:pt>
                <c:pt idx="72">
                  <c:v>0.81784986833546836</c:v>
                </c:pt>
                <c:pt idx="73">
                  <c:v>0.83853993170175545</c:v>
                </c:pt>
                <c:pt idx="74">
                  <c:v>0.87320256076310054</c:v>
                </c:pt>
                <c:pt idx="75">
                  <c:v>0.84234216723098454</c:v>
                </c:pt>
                <c:pt idx="76">
                  <c:v>0.67325754207426125</c:v>
                </c:pt>
                <c:pt idx="77">
                  <c:v>0.58272381135207141</c:v>
                </c:pt>
                <c:pt idx="78">
                  <c:v>0.76287997880648717</c:v>
                </c:pt>
                <c:pt idx="79">
                  <c:v>0.85103366417079118</c:v>
                </c:pt>
                <c:pt idx="80">
                  <c:v>0.64180330676356512</c:v>
                </c:pt>
                <c:pt idx="81">
                  <c:v>0.82391141088410291</c:v>
                </c:pt>
                <c:pt idx="82">
                  <c:v>0.82488007150293075</c:v>
                </c:pt>
                <c:pt idx="83">
                  <c:v>0.70225805876834024</c:v>
                </c:pt>
                <c:pt idx="84">
                  <c:v>0.5445018581396408</c:v>
                </c:pt>
                <c:pt idx="85">
                  <c:v>0.76331114513160969</c:v>
                </c:pt>
                <c:pt idx="86">
                  <c:v>0.73322640232104752</c:v>
                </c:pt>
                <c:pt idx="87">
                  <c:v>0.81812024587147003</c:v>
                </c:pt>
                <c:pt idx="88">
                  <c:v>0.62333191468626648</c:v>
                </c:pt>
                <c:pt idx="89">
                  <c:v>0.75960129912308372</c:v>
                </c:pt>
                <c:pt idx="90">
                  <c:v>0.67218846277352284</c:v>
                </c:pt>
                <c:pt idx="91">
                  <c:v>0.59249153748068362</c:v>
                </c:pt>
                <c:pt idx="92">
                  <c:v>0.67963242784801914</c:v>
                </c:pt>
                <c:pt idx="93">
                  <c:v>0.75005978779487192</c:v>
                </c:pt>
                <c:pt idx="94">
                  <c:v>0.65579986563847048</c:v>
                </c:pt>
                <c:pt idx="95">
                  <c:v>0.77688215312305353</c:v>
                </c:pt>
                <c:pt idx="96">
                  <c:v>0.70301256636212284</c:v>
                </c:pt>
                <c:pt idx="97">
                  <c:v>0.63514980748780137</c:v>
                </c:pt>
                <c:pt idx="98">
                  <c:v>0.57953491953745717</c:v>
                </c:pt>
                <c:pt idx="99">
                  <c:v>0.61573078000521475</c:v>
                </c:pt>
                <c:pt idx="100">
                  <c:v>0.75377625247822999</c:v>
                </c:pt>
                <c:pt idx="101">
                  <c:v>0.55740795136085586</c:v>
                </c:pt>
                <c:pt idx="102">
                  <c:v>0.66443239465733539</c:v>
                </c:pt>
                <c:pt idx="103">
                  <c:v>0.60605015948053653</c:v>
                </c:pt>
                <c:pt idx="104">
                  <c:v>0.63831136691651669</c:v>
                </c:pt>
                <c:pt idx="105">
                  <c:v>0.51023986495552709</c:v>
                </c:pt>
                <c:pt idx="106">
                  <c:v>0.57698786457761031</c:v>
                </c:pt>
                <c:pt idx="107">
                  <c:v>0.77126032947264178</c:v>
                </c:pt>
                <c:pt idx="108">
                  <c:v>0.59558082954453806</c:v>
                </c:pt>
                <c:pt idx="109">
                  <c:v>0.54875673191314966</c:v>
                </c:pt>
                <c:pt idx="110">
                  <c:v>0.48131008297533984</c:v>
                </c:pt>
                <c:pt idx="111">
                  <c:v>0.51144545532516428</c:v>
                </c:pt>
                <c:pt idx="112">
                  <c:v>0.7148219632304047</c:v>
                </c:pt>
                <c:pt idx="113">
                  <c:v>0.6695072543876095</c:v>
                </c:pt>
                <c:pt idx="114">
                  <c:v>0.54501988405955493</c:v>
                </c:pt>
                <c:pt idx="115">
                  <c:v>0.44965681170500527</c:v>
                </c:pt>
                <c:pt idx="116">
                  <c:v>0.60809551435651654</c:v>
                </c:pt>
                <c:pt idx="117">
                  <c:v>0.63197058110030668</c:v>
                </c:pt>
                <c:pt idx="118">
                  <c:v>0.66843716961029853</c:v>
                </c:pt>
                <c:pt idx="119">
                  <c:v>0.44620275890185102</c:v>
                </c:pt>
                <c:pt idx="120">
                  <c:v>0.54813467455325882</c:v>
                </c:pt>
                <c:pt idx="121">
                  <c:v>0.4812878254501381</c:v>
                </c:pt>
                <c:pt idx="122">
                  <c:v>0.56239178899326892</c:v>
                </c:pt>
                <c:pt idx="123">
                  <c:v>0.61536103256542973</c:v>
                </c:pt>
                <c:pt idx="124">
                  <c:v>0.49970824304584049</c:v>
                </c:pt>
                <c:pt idx="125">
                  <c:v>0.51645525121711278</c:v>
                </c:pt>
                <c:pt idx="126">
                  <c:v>0.42211338818457067</c:v>
                </c:pt>
                <c:pt idx="127">
                  <c:v>0.44469438974999981</c:v>
                </c:pt>
                <c:pt idx="128">
                  <c:v>0.58113157659675196</c:v>
                </c:pt>
                <c:pt idx="129">
                  <c:v>0.4394673276929808</c:v>
                </c:pt>
                <c:pt idx="130">
                  <c:v>0.50209281170169406</c:v>
                </c:pt>
                <c:pt idx="131">
                  <c:v>0.34494182419192693</c:v>
                </c:pt>
                <c:pt idx="132">
                  <c:v>0.46897377703976439</c:v>
                </c:pt>
                <c:pt idx="133">
                  <c:v>0.40864384278893051</c:v>
                </c:pt>
                <c:pt idx="134">
                  <c:v>0.40061506518297912</c:v>
                </c:pt>
                <c:pt idx="135">
                  <c:v>0.39973421182077723</c:v>
                </c:pt>
                <c:pt idx="136">
                  <c:v>0.39802913158672004</c:v>
                </c:pt>
                <c:pt idx="137">
                  <c:v>0.48737947984140295</c:v>
                </c:pt>
                <c:pt idx="138">
                  <c:v>0.30554181560523458</c:v>
                </c:pt>
                <c:pt idx="139">
                  <c:v>0.28604280113252994</c:v>
                </c:pt>
                <c:pt idx="140">
                  <c:v>0.31286261974593166</c:v>
                </c:pt>
                <c:pt idx="141">
                  <c:v>0.38112666838182108</c:v>
                </c:pt>
                <c:pt idx="142">
                  <c:v>0.43031323921694742</c:v>
                </c:pt>
                <c:pt idx="143">
                  <c:v>0.34726280022404127</c:v>
                </c:pt>
                <c:pt idx="144">
                  <c:v>0.29608645563230512</c:v>
                </c:pt>
                <c:pt idx="145">
                  <c:v>0.24682067456313658</c:v>
                </c:pt>
                <c:pt idx="146">
                  <c:v>0.1738913527552654</c:v>
                </c:pt>
                <c:pt idx="147">
                  <c:v>0.22437876647813665</c:v>
                </c:pt>
                <c:pt idx="148">
                  <c:v>0.12081991018093068</c:v>
                </c:pt>
                <c:pt idx="149">
                  <c:v>0.16097103768088489</c:v>
                </c:pt>
              </c:numCache>
            </c:numRef>
          </c:val>
          <c:extLst>
            <c:ext xmlns:c16="http://schemas.microsoft.com/office/drawing/2014/chart" uri="{C3380CC4-5D6E-409C-BE32-E72D297353CC}">
              <c16:uniqueId val="{00000001-022B-4ACC-ACF8-B9CEDB48CF0A}"/>
            </c:ext>
          </c:extLst>
        </c:ser>
        <c:ser>
          <c:idx val="2"/>
          <c:order val="2"/>
          <c:tx>
            <c:strRef>
              <c:f>X!$T$1</c:f>
              <c:strCache>
                <c:ptCount val="1"/>
                <c:pt idx="0">
                  <c:v>share GPU NF</c:v>
                </c:pt>
              </c:strCache>
            </c:strRef>
          </c:tx>
          <c:spPr>
            <a:solidFill>
              <a:schemeClr val="accent3"/>
            </a:solidFill>
            <a:ln>
              <a:noFill/>
            </a:ln>
            <a:effectLst/>
          </c:spPr>
          <c:invertIfNegative val="0"/>
          <c:val>
            <c:numRef>
              <c:f>X!$T$2:$T$151</c:f>
              <c:numCache>
                <c:formatCode>General</c:formatCode>
                <c:ptCount val="150"/>
                <c:pt idx="0">
                  <c:v>4.4006036209739585E-2</c:v>
                </c:pt>
                <c:pt idx="1">
                  <c:v>3.8844911097416078E-2</c:v>
                </c:pt>
                <c:pt idx="2">
                  <c:v>4.6337025759480378E-2</c:v>
                </c:pt>
                <c:pt idx="3">
                  <c:v>4.9511100229029437E-2</c:v>
                </c:pt>
                <c:pt idx="4">
                  <c:v>8.2783765688965713E-2</c:v>
                </c:pt>
                <c:pt idx="5">
                  <c:v>9.4014834234034728E-2</c:v>
                </c:pt>
                <c:pt idx="6">
                  <c:v>4.8550394305568206E-2</c:v>
                </c:pt>
                <c:pt idx="7">
                  <c:v>0.10835967045925057</c:v>
                </c:pt>
                <c:pt idx="8">
                  <c:v>9.3296439646902624E-2</c:v>
                </c:pt>
                <c:pt idx="9">
                  <c:v>9.8374073992495009E-2</c:v>
                </c:pt>
                <c:pt idx="10">
                  <c:v>0.10934619045411882</c:v>
                </c:pt>
                <c:pt idx="11">
                  <c:v>0.12522891595912883</c:v>
                </c:pt>
                <c:pt idx="12">
                  <c:v>0.11236689804626074</c:v>
                </c:pt>
                <c:pt idx="13">
                  <c:v>0.12592549337672609</c:v>
                </c:pt>
                <c:pt idx="14">
                  <c:v>0.13915509794594116</c:v>
                </c:pt>
                <c:pt idx="15">
                  <c:v>0.10948050037743534</c:v>
                </c:pt>
                <c:pt idx="16">
                  <c:v>8.8416626016577946E-2</c:v>
                </c:pt>
                <c:pt idx="17">
                  <c:v>0.14128543184611309</c:v>
                </c:pt>
                <c:pt idx="18">
                  <c:v>0.13226557287408591</c:v>
                </c:pt>
                <c:pt idx="19">
                  <c:v>9.8694165536469647E-2</c:v>
                </c:pt>
                <c:pt idx="20">
                  <c:v>0.1290191248812102</c:v>
                </c:pt>
                <c:pt idx="21">
                  <c:v>0.18477913239437041</c:v>
                </c:pt>
                <c:pt idx="22">
                  <c:v>0.12551442291622492</c:v>
                </c:pt>
                <c:pt idx="23">
                  <c:v>0.20727599016275008</c:v>
                </c:pt>
                <c:pt idx="24">
                  <c:v>7.8233710254443922E-2</c:v>
                </c:pt>
                <c:pt idx="25">
                  <c:v>0.15793106718321745</c:v>
                </c:pt>
                <c:pt idx="26">
                  <c:v>8.6557855311547138E-2</c:v>
                </c:pt>
                <c:pt idx="27">
                  <c:v>0.13569860904310882</c:v>
                </c:pt>
                <c:pt idx="28">
                  <c:v>0.18020109935307027</c:v>
                </c:pt>
                <c:pt idx="29">
                  <c:v>0.12785036334213223</c:v>
                </c:pt>
                <c:pt idx="30">
                  <c:v>0.16805153109388946</c:v>
                </c:pt>
                <c:pt idx="31">
                  <c:v>0.23671204174433699</c:v>
                </c:pt>
                <c:pt idx="32">
                  <c:v>0.15153460767331131</c:v>
                </c:pt>
                <c:pt idx="33">
                  <c:v>0.24886623702529675</c:v>
                </c:pt>
                <c:pt idx="34">
                  <c:v>0.24013139567619707</c:v>
                </c:pt>
                <c:pt idx="35">
                  <c:v>0.27323311472042572</c:v>
                </c:pt>
                <c:pt idx="36">
                  <c:v>0.2285530500394117</c:v>
                </c:pt>
                <c:pt idx="37">
                  <c:v>0.12566616697517491</c:v>
                </c:pt>
                <c:pt idx="38">
                  <c:v>0.22832040513775942</c:v>
                </c:pt>
                <c:pt idx="39">
                  <c:v>0.15073878536680924</c:v>
                </c:pt>
                <c:pt idx="40">
                  <c:v>0.19689475492939854</c:v>
                </c:pt>
                <c:pt idx="41">
                  <c:v>0.28073054651239043</c:v>
                </c:pt>
                <c:pt idx="42">
                  <c:v>0.18905061775293167</c:v>
                </c:pt>
                <c:pt idx="43">
                  <c:v>0.22896065459738871</c:v>
                </c:pt>
                <c:pt idx="44">
                  <c:v>0.10703105917987218</c:v>
                </c:pt>
                <c:pt idx="45">
                  <c:v>9.6855455850305694E-2</c:v>
                </c:pt>
                <c:pt idx="46">
                  <c:v>0.19582951886137137</c:v>
                </c:pt>
                <c:pt idx="47">
                  <c:v>0.24655704333100342</c:v>
                </c:pt>
                <c:pt idx="48">
                  <c:v>0.14225368251316001</c:v>
                </c:pt>
                <c:pt idx="49">
                  <c:v>0.28553193997329185</c:v>
                </c:pt>
                <c:pt idx="50">
                  <c:v>0.22585685491976029</c:v>
                </c:pt>
                <c:pt idx="51">
                  <c:v>0.18894005932929112</c:v>
                </c:pt>
                <c:pt idx="52">
                  <c:v>0.14063169811680279</c:v>
                </c:pt>
                <c:pt idx="53">
                  <c:v>0.26299826663635356</c:v>
                </c:pt>
                <c:pt idx="54">
                  <c:v>0.22485467519014485</c:v>
                </c:pt>
                <c:pt idx="55">
                  <c:v>0.14754834125846658</c:v>
                </c:pt>
                <c:pt idx="56">
                  <c:v>0.21603044038085567</c:v>
                </c:pt>
                <c:pt idx="57">
                  <c:v>0.15532698531186431</c:v>
                </c:pt>
                <c:pt idx="58">
                  <c:v>0.31921340739938248</c:v>
                </c:pt>
                <c:pt idx="59">
                  <c:v>0.18058283649324267</c:v>
                </c:pt>
                <c:pt idx="60">
                  <c:v>0.25308814925417256</c:v>
                </c:pt>
                <c:pt idx="61">
                  <c:v>0.29558517020772196</c:v>
                </c:pt>
                <c:pt idx="62">
                  <c:v>0.27287905285343411</c:v>
                </c:pt>
                <c:pt idx="63">
                  <c:v>0.28474903984298466</c:v>
                </c:pt>
                <c:pt idx="64">
                  <c:v>0.27260314966520777</c:v>
                </c:pt>
                <c:pt idx="65">
                  <c:v>0.36547452939209968</c:v>
                </c:pt>
                <c:pt idx="66">
                  <c:v>0.2677296562592707</c:v>
                </c:pt>
                <c:pt idx="67">
                  <c:v>0.25400337612956275</c:v>
                </c:pt>
                <c:pt idx="68">
                  <c:v>0.27921576246742386</c:v>
                </c:pt>
                <c:pt idx="69">
                  <c:v>0.27323576356634727</c:v>
                </c:pt>
                <c:pt idx="70">
                  <c:v>0.37140663851541089</c:v>
                </c:pt>
                <c:pt idx="71">
                  <c:v>0.24712850310119203</c:v>
                </c:pt>
                <c:pt idx="72">
                  <c:v>0.18143159103242881</c:v>
                </c:pt>
                <c:pt idx="73">
                  <c:v>0.16088667061357789</c:v>
                </c:pt>
                <c:pt idx="74">
                  <c:v>0.12626624793270974</c:v>
                </c:pt>
                <c:pt idx="75">
                  <c:v>0.15712763140506894</c:v>
                </c:pt>
                <c:pt idx="76">
                  <c:v>0.32463997770195085</c:v>
                </c:pt>
                <c:pt idx="77">
                  <c:v>0.40934689103030147</c:v>
                </c:pt>
                <c:pt idx="78">
                  <c:v>0.23656385795226725</c:v>
                </c:pt>
                <c:pt idx="79">
                  <c:v>0.14857537498523793</c:v>
                </c:pt>
                <c:pt idx="80">
                  <c:v>0.35626798452226743</c:v>
                </c:pt>
                <c:pt idx="81">
                  <c:v>0.17556823525433385</c:v>
                </c:pt>
                <c:pt idx="82">
                  <c:v>0.17474284368190515</c:v>
                </c:pt>
                <c:pt idx="83">
                  <c:v>0.29717672111522414</c:v>
                </c:pt>
                <c:pt idx="84">
                  <c:v>0.44753453706982738</c:v>
                </c:pt>
                <c:pt idx="85">
                  <c:v>0.23634986657951465</c:v>
                </c:pt>
                <c:pt idx="86">
                  <c:v>0.26621683239029181</c:v>
                </c:pt>
                <c:pt idx="87">
                  <c:v>0.18155283196786057</c:v>
                </c:pt>
                <c:pt idx="88">
                  <c:v>0.36680231945586261</c:v>
                </c:pt>
                <c:pt idx="89">
                  <c:v>0.23982234466345984</c:v>
                </c:pt>
                <c:pt idx="90">
                  <c:v>0.31982773453694086</c:v>
                </c:pt>
                <c:pt idx="91">
                  <c:v>0.40529110740496344</c:v>
                </c:pt>
                <c:pt idx="92">
                  <c:v>0.31286435357222786</c:v>
                </c:pt>
                <c:pt idx="93">
                  <c:v>0.2495904196628457</c:v>
                </c:pt>
                <c:pt idx="94">
                  <c:v>0.34340796500813869</c:v>
                </c:pt>
                <c:pt idx="95">
                  <c:v>0.2227341854347068</c:v>
                </c:pt>
                <c:pt idx="96">
                  <c:v>0.29658191226476066</c:v>
                </c:pt>
                <c:pt idx="97">
                  <c:v>0.36317042250004161</c:v>
                </c:pt>
                <c:pt idx="98">
                  <c:v>0.40873774869501545</c:v>
                </c:pt>
                <c:pt idx="99">
                  <c:v>0.38368552290052282</c:v>
                </c:pt>
                <c:pt idx="100">
                  <c:v>0.24589496886210113</c:v>
                </c:pt>
                <c:pt idx="101">
                  <c:v>0.43908488007474805</c:v>
                </c:pt>
                <c:pt idx="102">
                  <c:v>0.3349692439779795</c:v>
                </c:pt>
                <c:pt idx="103">
                  <c:v>0.38466735161429583</c:v>
                </c:pt>
                <c:pt idx="104">
                  <c:v>0.36099242139790644</c:v>
                </c:pt>
                <c:pt idx="105">
                  <c:v>0.47695361113272533</c:v>
                </c:pt>
                <c:pt idx="106">
                  <c:v>0.42241288496664536</c:v>
                </c:pt>
                <c:pt idx="107">
                  <c:v>0.22837592314561608</c:v>
                </c:pt>
                <c:pt idx="108">
                  <c:v>0.39356121752294165</c:v>
                </c:pt>
                <c:pt idx="109">
                  <c:v>0.43955008401438439</c:v>
                </c:pt>
                <c:pt idx="110">
                  <c:v>0.48396935902871935</c:v>
                </c:pt>
                <c:pt idx="111">
                  <c:v>0.48630098230055696</c:v>
                </c:pt>
                <c:pt idx="112">
                  <c:v>0.28481695451490818</c:v>
                </c:pt>
                <c:pt idx="113">
                  <c:v>0.32989937045726214</c:v>
                </c:pt>
                <c:pt idx="114">
                  <c:v>0.45432018131055896</c:v>
                </c:pt>
                <c:pt idx="115">
                  <c:v>0.53672607063089273</c:v>
                </c:pt>
                <c:pt idx="116">
                  <c:v>0.38282434766206108</c:v>
                </c:pt>
                <c:pt idx="117">
                  <c:v>0.36771759598129838</c:v>
                </c:pt>
                <c:pt idx="118">
                  <c:v>0.33110941687281825</c:v>
                </c:pt>
                <c:pt idx="119">
                  <c:v>0.54036578588059681</c:v>
                </c:pt>
                <c:pt idx="120">
                  <c:v>0.4515648473083631</c:v>
                </c:pt>
                <c:pt idx="121">
                  <c:v>0.51802740345126042</c:v>
                </c:pt>
                <c:pt idx="122">
                  <c:v>0.43702545166082057</c:v>
                </c:pt>
                <c:pt idx="123">
                  <c:v>0.38432890796874081</c:v>
                </c:pt>
                <c:pt idx="124">
                  <c:v>0.48857859000504811</c:v>
                </c:pt>
                <c:pt idx="125">
                  <c:v>0.48295851309466281</c:v>
                </c:pt>
                <c:pt idx="126">
                  <c:v>0.55968278320983789</c:v>
                </c:pt>
                <c:pt idx="127">
                  <c:v>0.55458288767451658</c:v>
                </c:pt>
                <c:pt idx="128">
                  <c:v>0.41856455967111933</c:v>
                </c:pt>
                <c:pt idx="129">
                  <c:v>0.56021503258510041</c:v>
                </c:pt>
                <c:pt idx="130">
                  <c:v>0.4976438058955136</c:v>
                </c:pt>
                <c:pt idx="131">
                  <c:v>0.63851218634516727</c:v>
                </c:pt>
                <c:pt idx="132">
                  <c:v>0.53076548493148412</c:v>
                </c:pt>
                <c:pt idx="133">
                  <c:v>0.59110036939495869</c:v>
                </c:pt>
                <c:pt idx="134">
                  <c:v>0.59867405347730485</c:v>
                </c:pt>
                <c:pt idx="135">
                  <c:v>0.59752450829450521</c:v>
                </c:pt>
                <c:pt idx="136">
                  <c:v>0.59045774111908844</c:v>
                </c:pt>
                <c:pt idx="137">
                  <c:v>0.51233807634796447</c:v>
                </c:pt>
                <c:pt idx="138">
                  <c:v>0.680500721283961</c:v>
                </c:pt>
                <c:pt idx="139">
                  <c:v>0.70035909643132255</c:v>
                </c:pt>
                <c:pt idx="140">
                  <c:v>0.68691657309410614</c:v>
                </c:pt>
                <c:pt idx="141">
                  <c:v>0.61863038321366837</c:v>
                </c:pt>
                <c:pt idx="142">
                  <c:v>0.56919325609617677</c:v>
                </c:pt>
                <c:pt idx="143">
                  <c:v>0.65239608783092995</c:v>
                </c:pt>
                <c:pt idx="144">
                  <c:v>0.70322068830362328</c:v>
                </c:pt>
                <c:pt idx="145">
                  <c:v>0.75294833821413032</c:v>
                </c:pt>
                <c:pt idx="146">
                  <c:v>0.8258929692157595</c:v>
                </c:pt>
                <c:pt idx="147">
                  <c:v>0.77490575457210265</c:v>
                </c:pt>
                <c:pt idx="148">
                  <c:v>0.878852895244984</c:v>
                </c:pt>
                <c:pt idx="149">
                  <c:v>0.83879842916368208</c:v>
                </c:pt>
              </c:numCache>
            </c:numRef>
          </c:val>
          <c:extLst>
            <c:ext xmlns:c16="http://schemas.microsoft.com/office/drawing/2014/chart" uri="{C3380CC4-5D6E-409C-BE32-E72D297353CC}">
              <c16:uniqueId val="{00000002-022B-4ACC-ACF8-B9CEDB48CF0A}"/>
            </c:ext>
          </c:extLst>
        </c:ser>
        <c:ser>
          <c:idx val="3"/>
          <c:order val="3"/>
          <c:tx>
            <c:strRef>
              <c:f>X!$U$1</c:f>
              <c:strCache>
                <c:ptCount val="1"/>
                <c:pt idx="0">
                  <c:v>share GPU update</c:v>
                </c:pt>
              </c:strCache>
            </c:strRef>
          </c:tx>
          <c:spPr>
            <a:solidFill>
              <a:schemeClr val="accent4"/>
            </a:solidFill>
            <a:ln>
              <a:noFill/>
            </a:ln>
            <a:effectLst/>
          </c:spPr>
          <c:invertIfNegative val="0"/>
          <c:val>
            <c:numRef>
              <c:f>X!$U$2:$U$151</c:f>
              <c:numCache>
                <c:formatCode>General</c:formatCode>
                <c:ptCount val="150"/>
                <c:pt idx="0">
                  <c:v>1.1771665438349728E-3</c:v>
                </c:pt>
                <c:pt idx="1">
                  <c:v>1.2914835284232921E-3</c:v>
                </c:pt>
                <c:pt idx="2">
                  <c:v>7.8395535810587506E-4</c:v>
                </c:pt>
                <c:pt idx="3">
                  <c:v>6.9857049624893694E-4</c:v>
                </c:pt>
                <c:pt idx="4">
                  <c:v>2.3652409408964842E-3</c:v>
                </c:pt>
                <c:pt idx="5">
                  <c:v>1.0789986512149236E-3</c:v>
                </c:pt>
                <c:pt idx="6">
                  <c:v>3.6157010113477506E-4</c:v>
                </c:pt>
                <c:pt idx="7">
                  <c:v>9.2038735449271399E-4</c:v>
                </c:pt>
                <c:pt idx="8">
                  <c:v>1.6386874206074193E-3</c:v>
                </c:pt>
                <c:pt idx="9">
                  <c:v>1.3553670523092085E-3</c:v>
                </c:pt>
                <c:pt idx="10">
                  <c:v>2.9390273851717945E-3</c:v>
                </c:pt>
                <c:pt idx="11">
                  <c:v>1.0166088382529219E-3</c:v>
                </c:pt>
                <c:pt idx="12">
                  <c:v>1.1793245036266218E-3</c:v>
                </c:pt>
                <c:pt idx="13">
                  <c:v>8.669498636500768E-4</c:v>
                </c:pt>
                <c:pt idx="14">
                  <c:v>6.5879073520265865E-4</c:v>
                </c:pt>
                <c:pt idx="15">
                  <c:v>8.1998247007502027E-4</c:v>
                </c:pt>
                <c:pt idx="16">
                  <c:v>6.7554737819757534E-4</c:v>
                </c:pt>
                <c:pt idx="17">
                  <c:v>1.4241349254180992E-3</c:v>
                </c:pt>
                <c:pt idx="18">
                  <c:v>5.3193728984284559E-4</c:v>
                </c:pt>
                <c:pt idx="19">
                  <c:v>5.3139479336301258E-4</c:v>
                </c:pt>
                <c:pt idx="20">
                  <c:v>6.0608793587136256E-4</c:v>
                </c:pt>
                <c:pt idx="21">
                  <c:v>6.691842368696635E-4</c:v>
                </c:pt>
                <c:pt idx="22">
                  <c:v>5.3876311719234875E-4</c:v>
                </c:pt>
                <c:pt idx="23">
                  <c:v>3.3933399189234326E-4</c:v>
                </c:pt>
                <c:pt idx="24">
                  <c:v>3.9719456391333787E-4</c:v>
                </c:pt>
                <c:pt idx="25">
                  <c:v>3.5733667086121275E-4</c:v>
                </c:pt>
                <c:pt idx="26">
                  <c:v>3.2592969306189556E-4</c:v>
                </c:pt>
                <c:pt idx="27">
                  <c:v>4.0287673525017204E-4</c:v>
                </c:pt>
                <c:pt idx="28">
                  <c:v>6.4014797684080191E-4</c:v>
                </c:pt>
                <c:pt idx="29">
                  <c:v>7.114012918970912E-4</c:v>
                </c:pt>
                <c:pt idx="30">
                  <c:v>3.8798212888487054E-4</c:v>
                </c:pt>
                <c:pt idx="31">
                  <c:v>1.3954098312158971E-4</c:v>
                </c:pt>
                <c:pt idx="32">
                  <c:v>5.7802446809994304E-4</c:v>
                </c:pt>
                <c:pt idx="33">
                  <c:v>3.3171850793637666E-4</c:v>
                </c:pt>
                <c:pt idx="34">
                  <c:v>3.6460891640379865E-4</c:v>
                </c:pt>
                <c:pt idx="35">
                  <c:v>5.9780062460524613E-5</c:v>
                </c:pt>
                <c:pt idx="36">
                  <c:v>2.1285461339304006E-4</c:v>
                </c:pt>
                <c:pt idx="37">
                  <c:v>8.3399711493540413E-4</c:v>
                </c:pt>
                <c:pt idx="38">
                  <c:v>4.1097965258419139E-4</c:v>
                </c:pt>
                <c:pt idx="39">
                  <c:v>7.356100349570064E-4</c:v>
                </c:pt>
                <c:pt idx="40">
                  <c:v>2.7541731462863346E-3</c:v>
                </c:pt>
                <c:pt idx="41">
                  <c:v>1.351596767414265E-4</c:v>
                </c:pt>
                <c:pt idx="42">
                  <c:v>4.0437736932386829E-4</c:v>
                </c:pt>
                <c:pt idx="43">
                  <c:v>1.7906284265601272E-4</c:v>
                </c:pt>
                <c:pt idx="44">
                  <c:v>4.2013482826490123E-4</c:v>
                </c:pt>
                <c:pt idx="45">
                  <c:v>4.6822774488117344E-4</c:v>
                </c:pt>
                <c:pt idx="46">
                  <c:v>2.725813354978731E-3</c:v>
                </c:pt>
                <c:pt idx="47">
                  <c:v>2.0684941218483397E-3</c:v>
                </c:pt>
                <c:pt idx="48">
                  <c:v>3.0559501068079927E-4</c:v>
                </c:pt>
                <c:pt idx="49">
                  <c:v>2.0287728954354481E-4</c:v>
                </c:pt>
                <c:pt idx="50">
                  <c:v>2.6151672782676277E-4</c:v>
                </c:pt>
                <c:pt idx="51">
                  <c:v>1.7550293922723001E-3</c:v>
                </c:pt>
                <c:pt idx="52">
                  <c:v>3.9761414591136949E-4</c:v>
                </c:pt>
                <c:pt idx="53">
                  <c:v>1.6083161904955145E-4</c:v>
                </c:pt>
                <c:pt idx="54">
                  <c:v>3.8462558867598078E-4</c:v>
                </c:pt>
                <c:pt idx="55">
                  <c:v>3.6207552427236722E-4</c:v>
                </c:pt>
                <c:pt idx="56">
                  <c:v>1.9487951566232284E-3</c:v>
                </c:pt>
                <c:pt idx="57">
                  <c:v>3.0974673477137424E-4</c:v>
                </c:pt>
                <c:pt idx="58">
                  <c:v>1.5965657296154514E-4</c:v>
                </c:pt>
                <c:pt idx="59">
                  <c:v>2.3163445540299525E-4</c:v>
                </c:pt>
                <c:pt idx="60">
                  <c:v>2.0521445381794338E-3</c:v>
                </c:pt>
                <c:pt idx="61">
                  <c:v>4.1618886911230452E-5</c:v>
                </c:pt>
                <c:pt idx="62">
                  <c:v>1.9168847991445832E-4</c:v>
                </c:pt>
                <c:pt idx="63">
                  <c:v>1.2153302004800495E-4</c:v>
                </c:pt>
                <c:pt idx="64">
                  <c:v>2.0403556498038715E-3</c:v>
                </c:pt>
                <c:pt idx="65">
                  <c:v>5.5747438571855644E-5</c:v>
                </c:pt>
                <c:pt idx="66">
                  <c:v>2.4938867905995718E-3</c:v>
                </c:pt>
                <c:pt idx="67">
                  <c:v>1.4926600042679059E-3</c:v>
                </c:pt>
                <c:pt idx="68">
                  <c:v>2.2275184173129684E-4</c:v>
                </c:pt>
                <c:pt idx="69">
                  <c:v>1.3157717396810034E-3</c:v>
                </c:pt>
                <c:pt idx="70">
                  <c:v>9.1843948189984762E-5</c:v>
                </c:pt>
                <c:pt idx="71">
                  <c:v>3.0089876599067152E-4</c:v>
                </c:pt>
                <c:pt idx="72">
                  <c:v>4.7704094550334633E-4</c:v>
                </c:pt>
                <c:pt idx="73">
                  <c:v>3.3890198859289766E-4</c:v>
                </c:pt>
                <c:pt idx="74">
                  <c:v>3.7090446631154902E-4</c:v>
                </c:pt>
                <c:pt idx="75">
                  <c:v>3.7428088451103679E-4</c:v>
                </c:pt>
                <c:pt idx="76">
                  <c:v>9.6669284847932478E-5</c:v>
                </c:pt>
                <c:pt idx="77">
                  <c:v>5.1180905140469007E-5</c:v>
                </c:pt>
                <c:pt idx="78">
                  <c:v>2.3039392440205299E-4</c:v>
                </c:pt>
                <c:pt idx="79">
                  <c:v>3.4482101681845276E-4</c:v>
                </c:pt>
                <c:pt idx="80">
                  <c:v>8.56028808866159E-5</c:v>
                </c:pt>
                <c:pt idx="81">
                  <c:v>2.7704244824939829E-4</c:v>
                </c:pt>
                <c:pt idx="82">
                  <c:v>3.201593369977442E-4</c:v>
                </c:pt>
                <c:pt idx="83">
                  <c:v>1.4548804939966458E-4</c:v>
                </c:pt>
                <c:pt idx="84">
                  <c:v>7.5909139745844218E-5</c:v>
                </c:pt>
                <c:pt idx="85">
                  <c:v>2.4230711292124309E-4</c:v>
                </c:pt>
                <c:pt idx="86">
                  <c:v>2.2403263825289494E-4</c:v>
                </c:pt>
                <c:pt idx="87">
                  <c:v>2.51263363755979E-4</c:v>
                </c:pt>
                <c:pt idx="88">
                  <c:v>1.4207672410243473E-3</c:v>
                </c:pt>
                <c:pt idx="89">
                  <c:v>2.7539140752839324E-4</c:v>
                </c:pt>
                <c:pt idx="90">
                  <c:v>1.5499399664779788E-3</c:v>
                </c:pt>
                <c:pt idx="91">
                  <c:v>4.7415776862358133E-5</c:v>
                </c:pt>
                <c:pt idx="92">
                  <c:v>1.140665879317132E-3</c:v>
                </c:pt>
                <c:pt idx="93">
                  <c:v>2.5331965038586296E-4</c:v>
                </c:pt>
                <c:pt idx="94">
                  <c:v>1.6863349762880059E-4</c:v>
                </c:pt>
                <c:pt idx="95">
                  <c:v>2.7436151380429207E-4</c:v>
                </c:pt>
                <c:pt idx="96">
                  <c:v>2.8475729637389847E-4</c:v>
                </c:pt>
                <c:pt idx="97">
                  <c:v>1.6544795994986742E-4</c:v>
                </c:pt>
                <c:pt idx="98">
                  <c:v>6.8724624797976029E-4</c:v>
                </c:pt>
                <c:pt idx="99">
                  <c:v>7.0815920402527311E-5</c:v>
                </c:pt>
                <c:pt idx="100">
                  <c:v>2.2347710378164425E-4</c:v>
                </c:pt>
                <c:pt idx="101">
                  <c:v>3.8742868943418782E-5</c:v>
                </c:pt>
                <c:pt idx="102">
                  <c:v>1.6954629340595789E-4</c:v>
                </c:pt>
                <c:pt idx="103">
                  <c:v>8.9491977343960369E-4</c:v>
                </c:pt>
                <c:pt idx="104">
                  <c:v>1.2972104359966667E-4</c:v>
                </c:pt>
                <c:pt idx="105">
                  <c:v>3.1249553871214996E-4</c:v>
                </c:pt>
                <c:pt idx="106">
                  <c:v>5.9073871980368745E-5</c:v>
                </c:pt>
                <c:pt idx="107">
                  <c:v>3.0524467784534017E-4</c:v>
                </c:pt>
                <c:pt idx="108">
                  <c:v>7.410063104529897E-4</c:v>
                </c:pt>
                <c:pt idx="109">
                  <c:v>6.7628320249267255E-4</c:v>
                </c:pt>
                <c:pt idx="110">
                  <c:v>6.5800082013195383E-4</c:v>
                </c:pt>
                <c:pt idx="111">
                  <c:v>5.3693221468474198E-5</c:v>
                </c:pt>
                <c:pt idx="112">
                  <c:v>2.5271539058673676E-4</c:v>
                </c:pt>
                <c:pt idx="113">
                  <c:v>2.0482539076471906E-4</c:v>
                </c:pt>
                <c:pt idx="114">
                  <c:v>5.6533525582095704E-5</c:v>
                </c:pt>
                <c:pt idx="115">
                  <c:v>1.1377593455442986E-4</c:v>
                </c:pt>
                <c:pt idx="116">
                  <c:v>4.6052082770214702E-4</c:v>
                </c:pt>
                <c:pt idx="117">
                  <c:v>1.8540747641798355E-4</c:v>
                </c:pt>
                <c:pt idx="118">
                  <c:v>3.2111345513844623E-4</c:v>
                </c:pt>
                <c:pt idx="119">
                  <c:v>2.7180685522963031E-4</c:v>
                </c:pt>
                <c:pt idx="120">
                  <c:v>1.0363090464059119E-4</c:v>
                </c:pt>
                <c:pt idx="121">
                  <c:v>2.6045116584951879E-5</c:v>
                </c:pt>
                <c:pt idx="122">
                  <c:v>1.14277811620711E-4</c:v>
                </c:pt>
                <c:pt idx="123">
                  <c:v>1.8176971504081741E-4</c:v>
                </c:pt>
                <c:pt idx="124">
                  <c:v>3.7282891199576332E-4</c:v>
                </c:pt>
                <c:pt idx="125">
                  <c:v>1.001746307820367E-4</c:v>
                </c:pt>
                <c:pt idx="126">
                  <c:v>3.0283878886048913E-4</c:v>
                </c:pt>
                <c:pt idx="127">
                  <c:v>3.2111679072185322E-5</c:v>
                </c:pt>
                <c:pt idx="128">
                  <c:v>1.7313749119997893E-4</c:v>
                </c:pt>
                <c:pt idx="129">
                  <c:v>7.0229051467915306E-5</c:v>
                </c:pt>
                <c:pt idx="130">
                  <c:v>1.0995654307669463E-4</c:v>
                </c:pt>
                <c:pt idx="131">
                  <c:v>6.2197140304791684E-5</c:v>
                </c:pt>
                <c:pt idx="132">
                  <c:v>9.2343496781554485E-5</c:v>
                </c:pt>
                <c:pt idx="133">
                  <c:v>6.9316900434566886E-5</c:v>
                </c:pt>
                <c:pt idx="134">
                  <c:v>3.0406831052317684E-5</c:v>
                </c:pt>
                <c:pt idx="135">
                  <c:v>8.4441767211849267E-5</c:v>
                </c:pt>
                <c:pt idx="136">
                  <c:v>1.6425012183541118E-4</c:v>
                </c:pt>
                <c:pt idx="137">
                  <c:v>1.3795405092632105E-4</c:v>
                </c:pt>
                <c:pt idx="138">
                  <c:v>8.0745614725757182E-5</c:v>
                </c:pt>
                <c:pt idx="139">
                  <c:v>1.1516474386671296E-4</c:v>
                </c:pt>
                <c:pt idx="140">
                  <c:v>1.6179202490187614E-5</c:v>
                </c:pt>
                <c:pt idx="141">
                  <c:v>7.5044644127444804E-5</c:v>
                </c:pt>
                <c:pt idx="142">
                  <c:v>9.6788640795647741E-5</c:v>
                </c:pt>
                <c:pt idx="143">
                  <c:v>5.533119943620578E-5</c:v>
                </c:pt>
                <c:pt idx="144">
                  <c:v>4.0328912916339364E-5</c:v>
                </c:pt>
                <c:pt idx="145">
                  <c:v>2.6245080129757485E-5</c:v>
                </c:pt>
                <c:pt idx="146">
                  <c:v>2.2919012442276076E-5</c:v>
                </c:pt>
                <c:pt idx="147">
                  <c:v>8.0535770430612279E-5</c:v>
                </c:pt>
                <c:pt idx="148">
                  <c:v>4.1534393590740965E-5</c:v>
                </c:pt>
                <c:pt idx="149">
                  <c:v>6.9839820638193975E-5</c:v>
                </c:pt>
              </c:numCache>
            </c:numRef>
          </c:val>
          <c:extLst>
            <c:ext xmlns:c16="http://schemas.microsoft.com/office/drawing/2014/chart" uri="{C3380CC4-5D6E-409C-BE32-E72D297353CC}">
              <c16:uniqueId val="{00000003-022B-4ACC-ACF8-B9CEDB48CF0A}"/>
            </c:ext>
          </c:extLst>
        </c:ser>
        <c:dLbls>
          <c:showLegendKey val="0"/>
          <c:showVal val="0"/>
          <c:showCatName val="0"/>
          <c:showSerName val="0"/>
          <c:showPercent val="0"/>
          <c:showBubbleSize val="0"/>
        </c:dLbls>
        <c:gapWidth val="150"/>
        <c:overlap val="100"/>
        <c:axId val="1249939856"/>
        <c:axId val="1249941104"/>
      </c:barChart>
      <c:catAx>
        <c:axId val="1249939856"/>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41104"/>
        <c:crosses val="autoZero"/>
        <c:auto val="1"/>
        <c:lblAlgn val="ctr"/>
        <c:lblOffset val="100"/>
        <c:noMultiLvlLbl val="0"/>
      </c:catAx>
      <c:valAx>
        <c:axId val="12499411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39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CPU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X!$V$1</c:f>
              <c:strCache>
                <c:ptCount val="1"/>
                <c:pt idx="0">
                  <c:v>share CPU collect</c:v>
                </c:pt>
              </c:strCache>
            </c:strRef>
          </c:tx>
          <c:spPr>
            <a:solidFill>
              <a:schemeClr val="accent1"/>
            </a:solidFill>
            <a:ln>
              <a:noFill/>
            </a:ln>
            <a:effectLst/>
          </c:spPr>
          <c:invertIfNegative val="0"/>
          <c:val>
            <c:numRef>
              <c:f>X!$V$2:$V$151</c:f>
              <c:numCache>
                <c:formatCode>General</c:formatCode>
                <c:ptCount val="150"/>
                <c:pt idx="0">
                  <c:v>1.8473086079642691E-2</c:v>
                </c:pt>
                <c:pt idx="1">
                  <c:v>1.4658252243938715E-2</c:v>
                </c:pt>
                <c:pt idx="2">
                  <c:v>8.2619110140070822E-3</c:v>
                </c:pt>
                <c:pt idx="3">
                  <c:v>2.1174939933483697E-2</c:v>
                </c:pt>
                <c:pt idx="4">
                  <c:v>1.804377580504566E-2</c:v>
                </c:pt>
                <c:pt idx="5">
                  <c:v>8.7139191651420082E-3</c:v>
                </c:pt>
                <c:pt idx="6">
                  <c:v>5.5490151208924619E-3</c:v>
                </c:pt>
                <c:pt idx="7">
                  <c:v>2.6665627905068819E-2</c:v>
                </c:pt>
                <c:pt idx="8">
                  <c:v>1.3639399123139098E-2</c:v>
                </c:pt>
                <c:pt idx="9">
                  <c:v>3.7492198773368353E-2</c:v>
                </c:pt>
                <c:pt idx="10">
                  <c:v>3.3317525751484653E-2</c:v>
                </c:pt>
                <c:pt idx="11">
                  <c:v>2.2699909773062365E-2</c:v>
                </c:pt>
                <c:pt idx="12">
                  <c:v>9.3864520960480393E-3</c:v>
                </c:pt>
                <c:pt idx="13">
                  <c:v>6.9075015625938239E-3</c:v>
                </c:pt>
                <c:pt idx="14">
                  <c:v>8.342309411697368E-3</c:v>
                </c:pt>
                <c:pt idx="15">
                  <c:v>9.516265311034942E-3</c:v>
                </c:pt>
                <c:pt idx="16">
                  <c:v>9.688956318782806E-3</c:v>
                </c:pt>
                <c:pt idx="17">
                  <c:v>1.4476694978310879E-2</c:v>
                </c:pt>
                <c:pt idx="18">
                  <c:v>1.3939968517513862E-2</c:v>
                </c:pt>
                <c:pt idx="19">
                  <c:v>5.3035280551527401E-3</c:v>
                </c:pt>
                <c:pt idx="20">
                  <c:v>5.794966318737267E-3</c:v>
                </c:pt>
                <c:pt idx="21">
                  <c:v>1.4434287068493503E-2</c:v>
                </c:pt>
                <c:pt idx="22">
                  <c:v>5.6945665838315793E-3</c:v>
                </c:pt>
                <c:pt idx="23">
                  <c:v>4.6780106068574105E-3</c:v>
                </c:pt>
                <c:pt idx="24">
                  <c:v>2.7106646287538244E-3</c:v>
                </c:pt>
                <c:pt idx="25">
                  <c:v>8.6927929526791365E-3</c:v>
                </c:pt>
                <c:pt idx="26">
                  <c:v>4.8828267467529371E-3</c:v>
                </c:pt>
                <c:pt idx="27">
                  <c:v>3.4031004902574614E-3</c:v>
                </c:pt>
                <c:pt idx="28">
                  <c:v>5.8858473280952173E-3</c:v>
                </c:pt>
                <c:pt idx="29">
                  <c:v>5.8947335267366258E-3</c:v>
                </c:pt>
                <c:pt idx="30">
                  <c:v>3.1792142204448742E-3</c:v>
                </c:pt>
                <c:pt idx="31">
                  <c:v>1.201766519739028E-3</c:v>
                </c:pt>
                <c:pt idx="32">
                  <c:v>6.5350019408192458E-3</c:v>
                </c:pt>
                <c:pt idx="33">
                  <c:v>4.1678569157304708E-3</c:v>
                </c:pt>
                <c:pt idx="34">
                  <c:v>2.5972556038148203E-3</c:v>
                </c:pt>
                <c:pt idx="35">
                  <c:v>7.249208146208353E-4</c:v>
                </c:pt>
                <c:pt idx="36">
                  <c:v>1.302447537098201E-3</c:v>
                </c:pt>
                <c:pt idx="37">
                  <c:v>9.6696883500442306E-3</c:v>
                </c:pt>
                <c:pt idx="38">
                  <c:v>2.7527059661280129E-3</c:v>
                </c:pt>
                <c:pt idx="39">
                  <c:v>1.0012944859563966E-2</c:v>
                </c:pt>
                <c:pt idx="40">
                  <c:v>6.3265789224197191E-2</c:v>
                </c:pt>
                <c:pt idx="41">
                  <c:v>2.5253460912169679E-3</c:v>
                </c:pt>
                <c:pt idx="42">
                  <c:v>3.7458409916091596E-3</c:v>
                </c:pt>
                <c:pt idx="43">
                  <c:v>3.7305563913949957E-3</c:v>
                </c:pt>
                <c:pt idx="44">
                  <c:v>7.2145666752108737E-3</c:v>
                </c:pt>
                <c:pt idx="45">
                  <c:v>6.5486295699991081E-3</c:v>
                </c:pt>
                <c:pt idx="46">
                  <c:v>2.836327554178221E-2</c:v>
                </c:pt>
                <c:pt idx="47">
                  <c:v>1.4701482100776521E-2</c:v>
                </c:pt>
                <c:pt idx="48">
                  <c:v>3.6314078373004318E-3</c:v>
                </c:pt>
                <c:pt idx="49">
                  <c:v>1.164383188003146E-3</c:v>
                </c:pt>
                <c:pt idx="50">
                  <c:v>1.6853732725623694E-3</c:v>
                </c:pt>
                <c:pt idx="51">
                  <c:v>2.1792160207264575E-2</c:v>
                </c:pt>
                <c:pt idx="52">
                  <c:v>3.4704006587630717E-3</c:v>
                </c:pt>
                <c:pt idx="53">
                  <c:v>1.4301730740183506E-3</c:v>
                </c:pt>
                <c:pt idx="54">
                  <c:v>1.1223297539273671E-2</c:v>
                </c:pt>
                <c:pt idx="55">
                  <c:v>3.3699366564635879E-3</c:v>
                </c:pt>
                <c:pt idx="56">
                  <c:v>1.5787455841257615E-2</c:v>
                </c:pt>
                <c:pt idx="57">
                  <c:v>4.3169835439298993E-3</c:v>
                </c:pt>
                <c:pt idx="58">
                  <c:v>1.1561751229101868E-3</c:v>
                </c:pt>
                <c:pt idx="59">
                  <c:v>2.2068990968041944E-3</c:v>
                </c:pt>
                <c:pt idx="60">
                  <c:v>3.219599053989438E-2</c:v>
                </c:pt>
                <c:pt idx="61">
                  <c:v>2.2631845684503073E-4</c:v>
                </c:pt>
                <c:pt idx="62">
                  <c:v>2.8766722817327481E-3</c:v>
                </c:pt>
                <c:pt idx="63">
                  <c:v>1.0268961458865372E-3</c:v>
                </c:pt>
                <c:pt idx="64">
                  <c:v>1.6882966390772306E-2</c:v>
                </c:pt>
                <c:pt idx="65">
                  <c:v>4.9868827570421364E-4</c:v>
                </c:pt>
                <c:pt idx="66">
                  <c:v>2.3526087107792415E-2</c:v>
                </c:pt>
                <c:pt idx="67">
                  <c:v>1.1191067025851889E-2</c:v>
                </c:pt>
                <c:pt idx="68">
                  <c:v>1.6881016503782623E-3</c:v>
                </c:pt>
                <c:pt idx="69">
                  <c:v>3.3606359855673396E-2</c:v>
                </c:pt>
                <c:pt idx="70">
                  <c:v>2.9108534760411446E-3</c:v>
                </c:pt>
                <c:pt idx="71">
                  <c:v>1.7823988020796342E-3</c:v>
                </c:pt>
                <c:pt idx="72">
                  <c:v>8.001883217467861E-3</c:v>
                </c:pt>
                <c:pt idx="73">
                  <c:v>3.2532850635962969E-3</c:v>
                </c:pt>
                <c:pt idx="74">
                  <c:v>4.6991973057675107E-3</c:v>
                </c:pt>
                <c:pt idx="75">
                  <c:v>1.4229145771280595E-2</c:v>
                </c:pt>
                <c:pt idx="76">
                  <c:v>6.695678036989438E-4</c:v>
                </c:pt>
                <c:pt idx="77">
                  <c:v>1.4847781741534876E-3</c:v>
                </c:pt>
                <c:pt idx="78">
                  <c:v>2.5968469701253341E-3</c:v>
                </c:pt>
                <c:pt idx="79">
                  <c:v>3.4212016003250007E-3</c:v>
                </c:pt>
                <c:pt idx="80">
                  <c:v>1.1535441759349136E-3</c:v>
                </c:pt>
                <c:pt idx="81">
                  <c:v>2.4606105138287055E-3</c:v>
                </c:pt>
                <c:pt idx="82">
                  <c:v>9.8915015266595584E-3</c:v>
                </c:pt>
                <c:pt idx="83">
                  <c:v>1.0259888637016992E-3</c:v>
                </c:pt>
                <c:pt idx="84">
                  <c:v>3.8524474621239437E-4</c:v>
                </c:pt>
                <c:pt idx="85">
                  <c:v>2.5612818431805079E-3</c:v>
                </c:pt>
                <c:pt idx="86">
                  <c:v>4.7032020826349354E-3</c:v>
                </c:pt>
                <c:pt idx="87">
                  <c:v>1.6523804614530175E-3</c:v>
                </c:pt>
                <c:pt idx="88">
                  <c:v>1.6594209462492546E-2</c:v>
                </c:pt>
                <c:pt idx="89">
                  <c:v>2.0583004090009766E-3</c:v>
                </c:pt>
                <c:pt idx="90">
                  <c:v>1.1529261618884455E-2</c:v>
                </c:pt>
                <c:pt idx="91">
                  <c:v>2.5155601895283025E-4</c:v>
                </c:pt>
                <c:pt idx="92">
                  <c:v>1.1061701433908512E-2</c:v>
                </c:pt>
                <c:pt idx="93">
                  <c:v>5.894756989707102E-3</c:v>
                </c:pt>
                <c:pt idx="94">
                  <c:v>2.0215706052060206E-3</c:v>
                </c:pt>
                <c:pt idx="95">
                  <c:v>1.947451615344382E-3</c:v>
                </c:pt>
                <c:pt idx="96">
                  <c:v>1.6605374607910907E-3</c:v>
                </c:pt>
                <c:pt idx="97">
                  <c:v>7.6420507175702904E-4</c:v>
                </c:pt>
                <c:pt idx="98">
                  <c:v>6.9930404798948728E-3</c:v>
                </c:pt>
                <c:pt idx="99">
                  <c:v>4.3915420775003059E-4</c:v>
                </c:pt>
                <c:pt idx="100">
                  <c:v>1.065357886056712E-3</c:v>
                </c:pt>
                <c:pt idx="101">
                  <c:v>3.4819788580515933E-4</c:v>
                </c:pt>
                <c:pt idx="102">
                  <c:v>9.622561071126654E-4</c:v>
                </c:pt>
                <c:pt idx="103">
                  <c:v>4.3015488032951852E-3</c:v>
                </c:pt>
                <c:pt idx="104">
                  <c:v>1.1158861267069882E-3</c:v>
                </c:pt>
                <c:pt idx="105">
                  <c:v>2.2879329079687331E-3</c:v>
                </c:pt>
                <c:pt idx="106">
                  <c:v>4.8914755926475137E-4</c:v>
                </c:pt>
                <c:pt idx="107">
                  <c:v>3.1554169495623683E-3</c:v>
                </c:pt>
                <c:pt idx="108">
                  <c:v>4.7712475981690899E-3</c:v>
                </c:pt>
                <c:pt idx="109">
                  <c:v>4.6087101680334624E-3</c:v>
                </c:pt>
                <c:pt idx="110">
                  <c:v>8.0400086549421729E-3</c:v>
                </c:pt>
                <c:pt idx="111">
                  <c:v>2.0760107534631165E-4</c:v>
                </c:pt>
                <c:pt idx="112">
                  <c:v>1.9391733732795206E-3</c:v>
                </c:pt>
                <c:pt idx="113">
                  <c:v>1.2348961204438924E-3</c:v>
                </c:pt>
                <c:pt idx="114">
                  <c:v>5.4151343773711509E-4</c:v>
                </c:pt>
                <c:pt idx="115">
                  <c:v>8.2116615920768048E-4</c:v>
                </c:pt>
                <c:pt idx="116">
                  <c:v>3.0510592115737291E-3</c:v>
                </c:pt>
                <c:pt idx="117">
                  <c:v>3.5393688129743009E-3</c:v>
                </c:pt>
                <c:pt idx="118">
                  <c:v>1.353656843217527E-3</c:v>
                </c:pt>
                <c:pt idx="119">
                  <c:v>4.4672343069327618E-3</c:v>
                </c:pt>
                <c:pt idx="120">
                  <c:v>7.2038621908962648E-4</c:v>
                </c:pt>
                <c:pt idx="121">
                  <c:v>1.3838755376806657E-4</c:v>
                </c:pt>
                <c:pt idx="122">
                  <c:v>4.2265069030403252E-4</c:v>
                </c:pt>
                <c:pt idx="123">
                  <c:v>1.2402334038635039E-3</c:v>
                </c:pt>
                <c:pt idx="124">
                  <c:v>1.9669957966699523E-3</c:v>
                </c:pt>
                <c:pt idx="125">
                  <c:v>4.5329315932968325E-4</c:v>
                </c:pt>
                <c:pt idx="126">
                  <c:v>1.8286476975825543E-3</c:v>
                </c:pt>
                <c:pt idx="127">
                  <c:v>1.938846004825016E-4</c:v>
                </c:pt>
                <c:pt idx="128">
                  <c:v>8.8039786527168362E-4</c:v>
                </c:pt>
                <c:pt idx="129">
                  <c:v>3.0044350201036406E-4</c:v>
                </c:pt>
                <c:pt idx="130">
                  <c:v>5.6701697272539355E-4</c:v>
                </c:pt>
                <c:pt idx="131">
                  <c:v>5.8532503473782138E-4</c:v>
                </c:pt>
                <c:pt idx="132">
                  <c:v>1.3467717245839296E-3</c:v>
                </c:pt>
                <c:pt idx="133">
                  <c:v>5.4760930977558432E-4</c:v>
                </c:pt>
                <c:pt idx="134">
                  <c:v>1.3019455003127168E-4</c:v>
                </c:pt>
                <c:pt idx="135">
                  <c:v>3.3449331030423321E-4</c:v>
                </c:pt>
                <c:pt idx="136">
                  <c:v>9.2993054871176638E-4</c:v>
                </c:pt>
                <c:pt idx="137">
                  <c:v>5.8773984304318592E-4</c:v>
                </c:pt>
                <c:pt idx="138">
                  <c:v>7.1268414516557183E-4</c:v>
                </c:pt>
                <c:pt idx="139">
                  <c:v>5.3859124543339577E-4</c:v>
                </c:pt>
                <c:pt idx="140">
                  <c:v>8.8291161875789112E-5</c:v>
                </c:pt>
                <c:pt idx="141">
                  <c:v>2.8832528964188386E-4</c:v>
                </c:pt>
                <c:pt idx="142">
                  <c:v>3.6044214864226765E-4</c:v>
                </c:pt>
                <c:pt idx="143">
                  <c:v>2.403342569268693E-4</c:v>
                </c:pt>
                <c:pt idx="144">
                  <c:v>1.6551621937510293E-4</c:v>
                </c:pt>
                <c:pt idx="145">
                  <c:v>1.5148329555961899E-4</c:v>
                </c:pt>
                <c:pt idx="146">
                  <c:v>8.7787389064750067E-5</c:v>
                </c:pt>
                <c:pt idx="147">
                  <c:v>2.7649507281247656E-4</c:v>
                </c:pt>
                <c:pt idx="148">
                  <c:v>1.3631921861197155E-4</c:v>
                </c:pt>
                <c:pt idx="149">
                  <c:v>2.0065287376861676E-4</c:v>
                </c:pt>
              </c:numCache>
            </c:numRef>
          </c:val>
          <c:extLst>
            <c:ext xmlns:c16="http://schemas.microsoft.com/office/drawing/2014/chart" uri="{C3380CC4-5D6E-409C-BE32-E72D297353CC}">
              <c16:uniqueId val="{00000000-A8A6-471A-B59D-518715C99D63}"/>
            </c:ext>
          </c:extLst>
        </c:ser>
        <c:ser>
          <c:idx val="1"/>
          <c:order val="1"/>
          <c:tx>
            <c:strRef>
              <c:f>X!$W$1</c:f>
              <c:strCache>
                <c:ptCount val="1"/>
                <c:pt idx="0">
                  <c:v>share CPU FF</c:v>
                </c:pt>
              </c:strCache>
            </c:strRef>
          </c:tx>
          <c:spPr>
            <a:solidFill>
              <a:schemeClr val="accent2"/>
            </a:solidFill>
            <a:ln>
              <a:noFill/>
            </a:ln>
            <a:effectLst/>
          </c:spPr>
          <c:invertIfNegative val="0"/>
          <c:val>
            <c:numRef>
              <c:f>X!$W$2:$W$151</c:f>
              <c:numCache>
                <c:formatCode>General</c:formatCode>
                <c:ptCount val="150"/>
                <c:pt idx="0">
                  <c:v>0.90601254395278552</c:v>
                </c:pt>
                <c:pt idx="1">
                  <c:v>0.90676959009852853</c:v>
                </c:pt>
                <c:pt idx="2">
                  <c:v>0.89238336607848723</c:v>
                </c:pt>
                <c:pt idx="3">
                  <c:v>0.8749549407908056</c:v>
                </c:pt>
                <c:pt idx="4">
                  <c:v>0.82760698240579667</c:v>
                </c:pt>
                <c:pt idx="5">
                  <c:v>0.83082486714324733</c:v>
                </c:pt>
                <c:pt idx="6">
                  <c:v>0.83299470041573076</c:v>
                </c:pt>
                <c:pt idx="7">
                  <c:v>0.80929332435421364</c:v>
                </c:pt>
                <c:pt idx="8">
                  <c:v>0.82156360032299125</c:v>
                </c:pt>
                <c:pt idx="9">
                  <c:v>0.79144632066750442</c:v>
                </c:pt>
                <c:pt idx="10">
                  <c:v>0.78891248252664037</c:v>
                </c:pt>
                <c:pt idx="11">
                  <c:v>0.78962137365929397</c:v>
                </c:pt>
                <c:pt idx="12">
                  <c:v>0.80161785012996956</c:v>
                </c:pt>
                <c:pt idx="13">
                  <c:v>0.80292272906041129</c:v>
                </c:pt>
                <c:pt idx="14">
                  <c:v>0.79194107187655116</c:v>
                </c:pt>
                <c:pt idx="15">
                  <c:v>0.78645491294938097</c:v>
                </c:pt>
                <c:pt idx="16">
                  <c:v>0.7586893606221643</c:v>
                </c:pt>
                <c:pt idx="17">
                  <c:v>0.74845581766168812</c:v>
                </c:pt>
                <c:pt idx="18">
                  <c:v>0.74165863161467327</c:v>
                </c:pt>
                <c:pt idx="19">
                  <c:v>0.74899751949964055</c:v>
                </c:pt>
                <c:pt idx="20">
                  <c:v>0.74068067293943762</c:v>
                </c:pt>
                <c:pt idx="21">
                  <c:v>0.72979439740483498</c:v>
                </c:pt>
                <c:pt idx="22">
                  <c:v>0.73780065945788154</c:v>
                </c:pt>
                <c:pt idx="23">
                  <c:v>0.73634565926464846</c:v>
                </c:pt>
                <c:pt idx="24">
                  <c:v>0.7344707037034871</c:v>
                </c:pt>
                <c:pt idx="25">
                  <c:v>0.72674089527632424</c:v>
                </c:pt>
                <c:pt idx="26">
                  <c:v>0.73048189366049676</c:v>
                </c:pt>
                <c:pt idx="27">
                  <c:v>0.73059762813459073</c:v>
                </c:pt>
                <c:pt idx="28">
                  <c:v>0.71578115215308769</c:v>
                </c:pt>
                <c:pt idx="29">
                  <c:v>0.71491397351591224</c:v>
                </c:pt>
                <c:pt idx="30">
                  <c:v>0.71751972208979797</c:v>
                </c:pt>
                <c:pt idx="31">
                  <c:v>0.71846756283756186</c:v>
                </c:pt>
                <c:pt idx="32">
                  <c:v>0.70674989447027492</c:v>
                </c:pt>
                <c:pt idx="33">
                  <c:v>0.68688310316688117</c:v>
                </c:pt>
                <c:pt idx="34">
                  <c:v>0.68753680816446938</c:v>
                </c:pt>
                <c:pt idx="35">
                  <c:v>0.68762854232137627</c:v>
                </c:pt>
                <c:pt idx="36">
                  <c:v>0.68428988555926762</c:v>
                </c:pt>
                <c:pt idx="37">
                  <c:v>0.67540209972574949</c:v>
                </c:pt>
                <c:pt idx="38">
                  <c:v>0.67541857802732252</c:v>
                </c:pt>
                <c:pt idx="39">
                  <c:v>0.6639431215915198</c:v>
                </c:pt>
                <c:pt idx="40">
                  <c:v>0.6090967456528863</c:v>
                </c:pt>
                <c:pt idx="41">
                  <c:v>0.66845403586618346</c:v>
                </c:pt>
                <c:pt idx="42">
                  <c:v>0.65819630330874745</c:v>
                </c:pt>
                <c:pt idx="43">
                  <c:v>0.65692982395357058</c:v>
                </c:pt>
                <c:pt idx="44">
                  <c:v>0.65244929344016456</c:v>
                </c:pt>
                <c:pt idx="45">
                  <c:v>0.6491138502448569</c:v>
                </c:pt>
                <c:pt idx="46">
                  <c:v>0.61531020405345715</c:v>
                </c:pt>
                <c:pt idx="47">
                  <c:v>0.62847357357812794</c:v>
                </c:pt>
                <c:pt idx="48">
                  <c:v>0.63734288024599195</c:v>
                </c:pt>
                <c:pt idx="49">
                  <c:v>0.63824877270112101</c:v>
                </c:pt>
                <c:pt idx="50">
                  <c:v>0.63677799212894515</c:v>
                </c:pt>
                <c:pt idx="51">
                  <c:v>0.61374457258537396</c:v>
                </c:pt>
                <c:pt idx="52">
                  <c:v>0.62947811978877277</c:v>
                </c:pt>
                <c:pt idx="53">
                  <c:v>0.63122706237987514</c:v>
                </c:pt>
                <c:pt idx="54">
                  <c:v>0.62004884788442538</c:v>
                </c:pt>
                <c:pt idx="55">
                  <c:v>0.61895512927970908</c:v>
                </c:pt>
                <c:pt idx="56">
                  <c:v>0.60557619996928091</c:v>
                </c:pt>
                <c:pt idx="57">
                  <c:v>0.61653342029042912</c:v>
                </c:pt>
                <c:pt idx="58">
                  <c:v>0.61913036709039881</c:v>
                </c:pt>
                <c:pt idx="59">
                  <c:v>0.61210916395572146</c:v>
                </c:pt>
                <c:pt idx="60">
                  <c:v>0.57742212346294353</c:v>
                </c:pt>
                <c:pt idx="61">
                  <c:v>0.60078297849681883</c:v>
                </c:pt>
                <c:pt idx="62">
                  <c:v>0.59763711036050782</c:v>
                </c:pt>
                <c:pt idx="63">
                  <c:v>0.59170561619892159</c:v>
                </c:pt>
                <c:pt idx="64">
                  <c:v>0.57529612988726542</c:v>
                </c:pt>
                <c:pt idx="65">
                  <c:v>0.58869326404126598</c:v>
                </c:pt>
                <c:pt idx="66">
                  <c:v>0.56414991019050198</c:v>
                </c:pt>
                <c:pt idx="67">
                  <c:v>0.5716781651959012</c:v>
                </c:pt>
                <c:pt idx="68">
                  <c:v>0.5800920439106767</c:v>
                </c:pt>
                <c:pt idx="69">
                  <c:v>0.54566640829627377</c:v>
                </c:pt>
                <c:pt idx="70">
                  <c:v>0.57601283405445058</c:v>
                </c:pt>
                <c:pt idx="71">
                  <c:v>0.57504634880716254</c:v>
                </c:pt>
                <c:pt idx="72">
                  <c:v>0.56697341270465107</c:v>
                </c:pt>
                <c:pt idx="73">
                  <c:v>0.56321867283402194</c:v>
                </c:pt>
                <c:pt idx="74">
                  <c:v>0.55454051141633631</c:v>
                </c:pt>
                <c:pt idx="75">
                  <c:v>0.53419641042326171</c:v>
                </c:pt>
                <c:pt idx="76">
                  <c:v>0.54736256722534904</c:v>
                </c:pt>
                <c:pt idx="77">
                  <c:v>0.54314090098857748</c:v>
                </c:pt>
                <c:pt idx="78">
                  <c:v>0.52757207832990305</c:v>
                </c:pt>
                <c:pt idx="79">
                  <c:v>0.52434845637332061</c:v>
                </c:pt>
                <c:pt idx="80">
                  <c:v>0.52075807488610082</c:v>
                </c:pt>
                <c:pt idx="81">
                  <c:v>0.51933041099104649</c:v>
                </c:pt>
                <c:pt idx="82">
                  <c:v>0.50153455902662269</c:v>
                </c:pt>
                <c:pt idx="83">
                  <c:v>0.50998129282549964</c:v>
                </c:pt>
                <c:pt idx="84">
                  <c:v>0.49734671659970764</c:v>
                </c:pt>
                <c:pt idx="85">
                  <c:v>0.49379310434194212</c:v>
                </c:pt>
                <c:pt idx="86">
                  <c:v>0.48859368742763665</c:v>
                </c:pt>
                <c:pt idx="87">
                  <c:v>0.48707032644725023</c:v>
                </c:pt>
                <c:pt idx="88">
                  <c:v>0.47027754541090799</c:v>
                </c:pt>
                <c:pt idx="89">
                  <c:v>0.48335367183629319</c:v>
                </c:pt>
                <c:pt idx="90">
                  <c:v>0.46874700826261206</c:v>
                </c:pt>
                <c:pt idx="91">
                  <c:v>0.47833431806766946</c:v>
                </c:pt>
                <c:pt idx="92">
                  <c:v>0.46019211612650912</c:v>
                </c:pt>
                <c:pt idx="93">
                  <c:v>0.46268112865794619</c:v>
                </c:pt>
                <c:pt idx="94">
                  <c:v>0.46545960998840641</c:v>
                </c:pt>
                <c:pt idx="95">
                  <c:v>0.4641477732994756</c:v>
                </c:pt>
                <c:pt idx="96">
                  <c:v>0.46160734193051634</c:v>
                </c:pt>
                <c:pt idx="97">
                  <c:v>0.46030380763883511</c:v>
                </c:pt>
                <c:pt idx="98">
                  <c:v>0.4519324193727996</c:v>
                </c:pt>
                <c:pt idx="99">
                  <c:v>0.45216363543837018</c:v>
                </c:pt>
                <c:pt idx="100">
                  <c:v>0.44746184921126642</c:v>
                </c:pt>
                <c:pt idx="101">
                  <c:v>0.44675008339081035</c:v>
                </c:pt>
                <c:pt idx="102">
                  <c:v>0.43739774452934566</c:v>
                </c:pt>
                <c:pt idx="103">
                  <c:v>0.43374355354976024</c:v>
                </c:pt>
                <c:pt idx="104">
                  <c:v>0.43683421854296117</c:v>
                </c:pt>
                <c:pt idx="105">
                  <c:v>0.41556951408846976</c:v>
                </c:pt>
                <c:pt idx="106">
                  <c:v>0.41631795424303619</c:v>
                </c:pt>
                <c:pt idx="107">
                  <c:v>0.40423689663910345</c:v>
                </c:pt>
                <c:pt idx="108">
                  <c:v>0.40094146504288453</c:v>
                </c:pt>
                <c:pt idx="109">
                  <c:v>0.39754787186850576</c:v>
                </c:pt>
                <c:pt idx="110">
                  <c:v>0.39131915692279301</c:v>
                </c:pt>
                <c:pt idx="111">
                  <c:v>0.3985897625721041</c:v>
                </c:pt>
                <c:pt idx="112">
                  <c:v>0.39650253097402433</c:v>
                </c:pt>
                <c:pt idx="113">
                  <c:v>0.39569854287171735</c:v>
                </c:pt>
                <c:pt idx="114">
                  <c:v>0.3863375192559047</c:v>
                </c:pt>
                <c:pt idx="115">
                  <c:v>0.37710513081797614</c:v>
                </c:pt>
                <c:pt idx="116">
                  <c:v>0.37456995741512861</c:v>
                </c:pt>
                <c:pt idx="117">
                  <c:v>0.36849107766301004</c:v>
                </c:pt>
                <c:pt idx="118">
                  <c:v>0.366014033095719</c:v>
                </c:pt>
                <c:pt idx="119">
                  <c:v>0.36021902007548129</c:v>
                </c:pt>
                <c:pt idx="120">
                  <c:v>0.35359415466492</c:v>
                </c:pt>
                <c:pt idx="121">
                  <c:v>0.34575822405004819</c:v>
                </c:pt>
                <c:pt idx="122">
                  <c:v>0.33846779838071966</c:v>
                </c:pt>
                <c:pt idx="123">
                  <c:v>0.33487140816972411</c:v>
                </c:pt>
                <c:pt idx="124">
                  <c:v>0.33093141470982346</c:v>
                </c:pt>
                <c:pt idx="125">
                  <c:v>0.32574029553163258</c:v>
                </c:pt>
                <c:pt idx="126">
                  <c:v>0.31734358057488016</c:v>
                </c:pt>
                <c:pt idx="127">
                  <c:v>0.31844101862762902</c:v>
                </c:pt>
                <c:pt idx="128">
                  <c:v>0.30019596295564571</c:v>
                </c:pt>
                <c:pt idx="129">
                  <c:v>0.29845387989790795</c:v>
                </c:pt>
                <c:pt idx="130">
                  <c:v>0.29563375854217128</c:v>
                </c:pt>
                <c:pt idx="131">
                  <c:v>0.28181952331275678</c:v>
                </c:pt>
                <c:pt idx="132">
                  <c:v>0.28084101815549944</c:v>
                </c:pt>
                <c:pt idx="133">
                  <c:v>0.27601753566919868</c:v>
                </c:pt>
                <c:pt idx="134">
                  <c:v>0.27574876843011503</c:v>
                </c:pt>
                <c:pt idx="135">
                  <c:v>0.27445588684735156</c:v>
                </c:pt>
                <c:pt idx="136">
                  <c:v>0.27332311720515373</c:v>
                </c:pt>
                <c:pt idx="137">
                  <c:v>0.2532692409117045</c:v>
                </c:pt>
                <c:pt idx="138">
                  <c:v>0.24783652932892153</c:v>
                </c:pt>
                <c:pt idx="139">
                  <c:v>0.21785294014213658</c:v>
                </c:pt>
                <c:pt idx="140">
                  <c:v>0.21527494421966178</c:v>
                </c:pt>
                <c:pt idx="141">
                  <c:v>0.21336977737699137</c:v>
                </c:pt>
                <c:pt idx="142">
                  <c:v>0.21148577661773615</c:v>
                </c:pt>
                <c:pt idx="143">
                  <c:v>0.20432548715841048</c:v>
                </c:pt>
                <c:pt idx="144">
                  <c:v>0.17615399722175584</c:v>
                </c:pt>
                <c:pt idx="145">
                  <c:v>0.16443448281295708</c:v>
                </c:pt>
                <c:pt idx="146">
                  <c:v>9.9378066738232906E-2</c:v>
                </c:pt>
                <c:pt idx="147">
                  <c:v>8.5550985390121959E-2</c:v>
                </c:pt>
                <c:pt idx="148">
                  <c:v>4.5568379537931157E-2</c:v>
                </c:pt>
                <c:pt idx="149">
                  <c:v>3.5910097744546642E-2</c:v>
                </c:pt>
              </c:numCache>
            </c:numRef>
          </c:val>
          <c:extLst>
            <c:ext xmlns:c16="http://schemas.microsoft.com/office/drawing/2014/chart" uri="{C3380CC4-5D6E-409C-BE32-E72D297353CC}">
              <c16:uniqueId val="{00000001-A8A6-471A-B59D-518715C99D63}"/>
            </c:ext>
          </c:extLst>
        </c:ser>
        <c:ser>
          <c:idx val="2"/>
          <c:order val="2"/>
          <c:tx>
            <c:strRef>
              <c:f>X!$Y$1</c:f>
              <c:strCache>
                <c:ptCount val="1"/>
                <c:pt idx="0">
                  <c:v>share CPU NF</c:v>
                </c:pt>
              </c:strCache>
            </c:strRef>
          </c:tx>
          <c:spPr>
            <a:solidFill>
              <a:schemeClr val="accent3"/>
            </a:solidFill>
            <a:ln>
              <a:noFill/>
            </a:ln>
            <a:effectLst/>
          </c:spPr>
          <c:invertIfNegative val="0"/>
          <c:val>
            <c:numRef>
              <c:f>X!$Y$2:$Y$151</c:f>
              <c:numCache>
                <c:formatCode>General</c:formatCode>
                <c:ptCount val="150"/>
                <c:pt idx="0">
                  <c:v>7.5378101460527855E-2</c:v>
                </c:pt>
                <c:pt idx="1">
                  <c:v>7.8479853069739536E-2</c:v>
                </c:pt>
                <c:pt idx="2">
                  <c:v>9.9278110835958389E-2</c:v>
                </c:pt>
                <c:pt idx="3">
                  <c:v>0.10377498438333432</c:v>
                </c:pt>
                <c:pt idx="4">
                  <c:v>0.15415731291566162</c:v>
                </c:pt>
                <c:pt idx="5">
                  <c:v>0.1603957749748344</c:v>
                </c:pt>
                <c:pt idx="6">
                  <c:v>0.16138944356576437</c:v>
                </c:pt>
                <c:pt idx="7">
                  <c:v>0.16394702264468444</c:v>
                </c:pt>
                <c:pt idx="8">
                  <c:v>0.16467811611715136</c:v>
                </c:pt>
                <c:pt idx="9">
                  <c:v>0.17089875280743561</c:v>
                </c:pt>
                <c:pt idx="10">
                  <c:v>0.17745027636957769</c:v>
                </c:pt>
                <c:pt idx="11">
                  <c:v>0.18757943224469548</c:v>
                </c:pt>
                <c:pt idx="12">
                  <c:v>0.1889113078899739</c:v>
                </c:pt>
                <c:pt idx="13">
                  <c:v>0.19013108228268413</c:v>
                </c:pt>
                <c:pt idx="14">
                  <c:v>0.19965756545831506</c:v>
                </c:pt>
                <c:pt idx="15">
                  <c:v>0.20393884199750981</c:v>
                </c:pt>
                <c:pt idx="16">
                  <c:v>0.23152318117821796</c:v>
                </c:pt>
                <c:pt idx="17">
                  <c:v>0.23693046484779781</c:v>
                </c:pt>
                <c:pt idx="18">
                  <c:v>0.24433861928844622</c:v>
                </c:pt>
                <c:pt idx="19">
                  <c:v>0.24565058897349773</c:v>
                </c:pt>
                <c:pt idx="20">
                  <c:v>0.25346732815955836</c:v>
                </c:pt>
                <c:pt idx="21">
                  <c:v>0.25570689957006465</c:v>
                </c:pt>
                <c:pt idx="22">
                  <c:v>0.25644343522011792</c:v>
                </c:pt>
                <c:pt idx="23">
                  <c:v>0.25895018268500875</c:v>
                </c:pt>
                <c:pt idx="24">
                  <c:v>0.26277341391173903</c:v>
                </c:pt>
                <c:pt idx="25">
                  <c:v>0.26452703936912547</c:v>
                </c:pt>
                <c:pt idx="26">
                  <c:v>0.26457915923005387</c:v>
                </c:pt>
                <c:pt idx="27">
                  <c:v>0.26596719612474401</c:v>
                </c:pt>
                <c:pt idx="28">
                  <c:v>0.27827457182022275</c:v>
                </c:pt>
                <c:pt idx="29">
                  <c:v>0.27914650788438772</c:v>
                </c:pt>
                <c:pt idx="30">
                  <c:v>0.27928071552001582</c:v>
                </c:pt>
                <c:pt idx="31">
                  <c:v>0.28032026318223363</c:v>
                </c:pt>
                <c:pt idx="32">
                  <c:v>0.28665256691033919</c:v>
                </c:pt>
                <c:pt idx="33">
                  <c:v>0.3089222601445144</c:v>
                </c:pt>
                <c:pt idx="34">
                  <c:v>0.30984051684389613</c:v>
                </c:pt>
                <c:pt idx="35">
                  <c:v>0.3116437238486211</c:v>
                </c:pt>
                <c:pt idx="36">
                  <c:v>0.31439820442750693</c:v>
                </c:pt>
                <c:pt idx="37">
                  <c:v>0.31486710756017183</c:v>
                </c:pt>
                <c:pt idx="38">
                  <c:v>0.32180504394990417</c:v>
                </c:pt>
                <c:pt idx="39">
                  <c:v>0.32594350121371263</c:v>
                </c:pt>
                <c:pt idx="40">
                  <c:v>0.3273193389256393</c:v>
                </c:pt>
                <c:pt idx="41">
                  <c:v>0.32900983999987504</c:v>
                </c:pt>
                <c:pt idx="42">
                  <c:v>0.33801897583439339</c:v>
                </c:pt>
                <c:pt idx="43">
                  <c:v>0.33932266250706211</c:v>
                </c:pt>
                <c:pt idx="44">
                  <c:v>0.34026007956100585</c:v>
                </c:pt>
                <c:pt idx="45">
                  <c:v>0.34427533797878845</c:v>
                </c:pt>
                <c:pt idx="46">
                  <c:v>0.35605704184243464</c:v>
                </c:pt>
                <c:pt idx="47">
                  <c:v>0.35667789470895828</c:v>
                </c:pt>
                <c:pt idx="48">
                  <c:v>0.35898487659078271</c:v>
                </c:pt>
                <c:pt idx="49">
                  <c:v>0.36057623374912939</c:v>
                </c:pt>
                <c:pt idx="50">
                  <c:v>0.36151967689410308</c:v>
                </c:pt>
                <c:pt idx="51">
                  <c:v>0.36425970776519584</c:v>
                </c:pt>
                <c:pt idx="52">
                  <c:v>0.36702229751310844</c:v>
                </c:pt>
                <c:pt idx="53">
                  <c:v>0.36733592862035086</c:v>
                </c:pt>
                <c:pt idx="54">
                  <c:v>0.36868838736195686</c:v>
                </c:pt>
                <c:pt idx="55">
                  <c:v>0.37764537514018481</c:v>
                </c:pt>
                <c:pt idx="56">
                  <c:v>0.37850394052172937</c:v>
                </c:pt>
                <c:pt idx="57">
                  <c:v>0.37910509870026465</c:v>
                </c:pt>
                <c:pt idx="58">
                  <c:v>0.37970220231390001</c:v>
                </c:pt>
                <c:pt idx="59">
                  <c:v>0.38565693297657611</c:v>
                </c:pt>
                <c:pt idx="60">
                  <c:v>0.39016835779711279</c:v>
                </c:pt>
                <c:pt idx="61">
                  <c:v>0.39898909189875298</c:v>
                </c:pt>
                <c:pt idx="62">
                  <c:v>0.39946965019642877</c:v>
                </c:pt>
                <c:pt idx="63">
                  <c:v>0.40726032426604397</c:v>
                </c:pt>
                <c:pt idx="64">
                  <c:v>0.40764459823757276</c:v>
                </c:pt>
                <c:pt idx="65">
                  <c:v>0.41080534891330756</c:v>
                </c:pt>
                <c:pt idx="66">
                  <c:v>0.41208433103728775</c:v>
                </c:pt>
                <c:pt idx="67">
                  <c:v>0.41704443373703637</c:v>
                </c:pt>
                <c:pt idx="68">
                  <c:v>0.41820252298948096</c:v>
                </c:pt>
                <c:pt idx="69">
                  <c:v>0.4206028111878008</c:v>
                </c:pt>
                <c:pt idx="70">
                  <c:v>0.42107308531571319</c:v>
                </c:pt>
                <c:pt idx="71">
                  <c:v>0.42315613388345236</c:v>
                </c:pt>
                <c:pt idx="72">
                  <c:v>0.42498150862102912</c:v>
                </c:pt>
                <c:pt idx="73">
                  <c:v>0.43348848859761463</c:v>
                </c:pt>
                <c:pt idx="74">
                  <c:v>0.44070870712512433</c:v>
                </c:pt>
                <c:pt idx="75">
                  <c:v>0.45150403475860301</c:v>
                </c:pt>
                <c:pt idx="76">
                  <c:v>0.45196046657854128</c:v>
                </c:pt>
                <c:pt idx="77">
                  <c:v>0.45537125551940016</c:v>
                </c:pt>
                <c:pt idx="78">
                  <c:v>0.46980423453803394</c:v>
                </c:pt>
                <c:pt idx="79">
                  <c:v>0.47218868508601441</c:v>
                </c:pt>
                <c:pt idx="80">
                  <c:v>0.47808111890843885</c:v>
                </c:pt>
                <c:pt idx="81">
                  <c:v>0.47818849008973369</c:v>
                </c:pt>
                <c:pt idx="82">
                  <c:v>0.48852269344758625</c:v>
                </c:pt>
                <c:pt idx="83">
                  <c:v>0.48898060363517792</c:v>
                </c:pt>
                <c:pt idx="84">
                  <c:v>0.50226448600554885</c:v>
                </c:pt>
                <c:pt idx="85">
                  <c:v>0.50361650459984286</c:v>
                </c:pt>
                <c:pt idx="86">
                  <c:v>0.50667757137854585</c:v>
                </c:pt>
                <c:pt idx="87">
                  <c:v>0.51125796847544269</c:v>
                </c:pt>
                <c:pt idx="88">
                  <c:v>0.51300097530827238</c:v>
                </c:pt>
                <c:pt idx="89">
                  <c:v>0.51456521678080802</c:v>
                </c:pt>
                <c:pt idx="90">
                  <c:v>0.51959564098089417</c:v>
                </c:pt>
                <c:pt idx="91">
                  <c:v>0.52141172850252382</c:v>
                </c:pt>
                <c:pt idx="92">
                  <c:v>0.52863694591796073</c:v>
                </c:pt>
                <c:pt idx="93">
                  <c:v>0.53139436635774362</c:v>
                </c:pt>
                <c:pt idx="94">
                  <c:v>0.53250798928253029</c:v>
                </c:pt>
                <c:pt idx="95">
                  <c:v>0.53387918964063374</c:v>
                </c:pt>
                <c:pt idx="96">
                  <c:v>0.53671336521831514</c:v>
                </c:pt>
                <c:pt idx="97">
                  <c:v>0.53892484706048271</c:v>
                </c:pt>
                <c:pt idx="98">
                  <c:v>0.54101719772734291</c:v>
                </c:pt>
                <c:pt idx="99">
                  <c:v>0.54739193747713388</c:v>
                </c:pt>
                <c:pt idx="100">
                  <c:v>0.55145521732332858</c:v>
                </c:pt>
                <c:pt idx="101">
                  <c:v>0.55289980665895111</c:v>
                </c:pt>
                <c:pt idx="102">
                  <c:v>0.56162773462233362</c:v>
                </c:pt>
                <c:pt idx="103">
                  <c:v>0.56191406418587786</c:v>
                </c:pt>
                <c:pt idx="104">
                  <c:v>0.56203840035617414</c:v>
                </c:pt>
                <c:pt idx="105">
                  <c:v>0.5821210117174942</c:v>
                </c:pt>
                <c:pt idx="106">
                  <c:v>0.58318699654547435</c:v>
                </c:pt>
                <c:pt idx="107">
                  <c:v>0.59256508201960023</c:v>
                </c:pt>
                <c:pt idx="108">
                  <c:v>0.5942403994849198</c:v>
                </c:pt>
                <c:pt idx="109">
                  <c:v>0.59779507046758917</c:v>
                </c:pt>
                <c:pt idx="110">
                  <c:v>0.60058685283971136</c:v>
                </c:pt>
                <c:pt idx="111">
                  <c:v>0.60120030117410161</c:v>
                </c:pt>
                <c:pt idx="112">
                  <c:v>0.60153123493957361</c:v>
                </c:pt>
                <c:pt idx="113">
                  <c:v>0.60305612998677705</c:v>
                </c:pt>
                <c:pt idx="114">
                  <c:v>0.61311652584969811</c:v>
                </c:pt>
                <c:pt idx="115">
                  <c:v>0.62206844210777545</c:v>
                </c:pt>
                <c:pt idx="116">
                  <c:v>0.62236150398166756</c:v>
                </c:pt>
                <c:pt idx="117">
                  <c:v>0.62794960895635654</c:v>
                </c:pt>
                <c:pt idx="118">
                  <c:v>0.63261156973568422</c:v>
                </c:pt>
                <c:pt idx="119">
                  <c:v>0.63529252512017442</c:v>
                </c:pt>
                <c:pt idx="120">
                  <c:v>0.6456775902507681</c:v>
                </c:pt>
                <c:pt idx="121">
                  <c:v>0.65410173993356158</c:v>
                </c:pt>
                <c:pt idx="122">
                  <c:v>0.66110414112964744</c:v>
                </c:pt>
                <c:pt idx="123">
                  <c:v>0.66387242557513981</c:v>
                </c:pt>
                <c:pt idx="124">
                  <c:v>0.66708140843358388</c:v>
                </c:pt>
                <c:pt idx="125">
                  <c:v>0.67380086779032533</c:v>
                </c:pt>
                <c:pt idx="126">
                  <c:v>0.68080307083479163</c:v>
                </c:pt>
                <c:pt idx="127">
                  <c:v>0.68136396007582656</c:v>
                </c:pt>
                <c:pt idx="128">
                  <c:v>0.69891608623658996</c:v>
                </c:pt>
                <c:pt idx="129">
                  <c:v>0.70124230831395185</c:v>
                </c:pt>
                <c:pt idx="130">
                  <c:v>0.70379149839552879</c:v>
                </c:pt>
                <c:pt idx="131">
                  <c:v>0.71759039917154921</c:v>
                </c:pt>
                <c:pt idx="132">
                  <c:v>0.71780519275373422</c:v>
                </c:pt>
                <c:pt idx="133">
                  <c:v>0.72343192152793023</c:v>
                </c:pt>
                <c:pt idx="134">
                  <c:v>0.72411968975796337</c:v>
                </c:pt>
                <c:pt idx="135">
                  <c:v>0.72520663159671306</c:v>
                </c:pt>
                <c:pt idx="136">
                  <c:v>0.72574130251946878</c:v>
                </c:pt>
                <c:pt idx="137">
                  <c:v>0.74613497588333422</c:v>
                </c:pt>
                <c:pt idx="138">
                  <c:v>0.75144589299980857</c:v>
                </c:pt>
                <c:pt idx="139">
                  <c:v>0.78160302714111518</c:v>
                </c:pt>
                <c:pt idx="140">
                  <c:v>0.78463571848635827</c:v>
                </c:pt>
                <c:pt idx="141">
                  <c:v>0.78633788991954445</c:v>
                </c:pt>
                <c:pt idx="142">
                  <c:v>0.78814933581229896</c:v>
                </c:pt>
                <c:pt idx="143">
                  <c:v>0.79543077892856506</c:v>
                </c:pt>
                <c:pt idx="144">
                  <c:v>0.82367858072060107</c:v>
                </c:pt>
                <c:pt idx="145">
                  <c:v>0.8354132712821577</c:v>
                </c:pt>
                <c:pt idx="146">
                  <c:v>0.90053300110725376</c:v>
                </c:pt>
                <c:pt idx="147">
                  <c:v>0.91417002097715105</c:v>
                </c:pt>
                <c:pt idx="148">
                  <c:v>0.95429370944575487</c:v>
                </c:pt>
                <c:pt idx="149">
                  <c:v>0.96388679483258399</c:v>
                </c:pt>
              </c:numCache>
            </c:numRef>
          </c:val>
          <c:extLst>
            <c:ext xmlns:c16="http://schemas.microsoft.com/office/drawing/2014/chart" uri="{C3380CC4-5D6E-409C-BE32-E72D297353CC}">
              <c16:uniqueId val="{00000002-A8A6-471A-B59D-518715C99D63}"/>
            </c:ext>
          </c:extLst>
        </c:ser>
        <c:ser>
          <c:idx val="3"/>
          <c:order val="3"/>
          <c:tx>
            <c:strRef>
              <c:f>X!$Z$1</c:f>
              <c:strCache>
                <c:ptCount val="1"/>
                <c:pt idx="0">
                  <c:v>share CPU update</c:v>
                </c:pt>
              </c:strCache>
            </c:strRef>
          </c:tx>
          <c:spPr>
            <a:solidFill>
              <a:schemeClr val="accent4"/>
            </a:solidFill>
            <a:ln>
              <a:noFill/>
            </a:ln>
            <a:effectLst/>
          </c:spPr>
          <c:invertIfNegative val="0"/>
          <c:val>
            <c:numRef>
              <c:f>X!$Z$2:$Z$151</c:f>
              <c:numCache>
                <c:formatCode>General</c:formatCode>
                <c:ptCount val="150"/>
                <c:pt idx="0">
                  <c:v>1.3626850704393577E-4</c:v>
                </c:pt>
                <c:pt idx="1">
                  <c:v>9.2304587793345453E-5</c:v>
                </c:pt>
                <c:pt idx="2">
                  <c:v>7.6612071547282182E-5</c:v>
                </c:pt>
                <c:pt idx="3">
                  <c:v>9.5134892376357543E-5</c:v>
                </c:pt>
                <c:pt idx="4">
                  <c:v>1.9192887349600782E-4</c:v>
                </c:pt>
                <c:pt idx="5">
                  <c:v>6.5438716776386487E-5</c:v>
                </c:pt>
                <c:pt idx="6">
                  <c:v>6.684089761242615E-5</c:v>
                </c:pt>
                <c:pt idx="7">
                  <c:v>9.4025096033132044E-5</c:v>
                </c:pt>
                <c:pt idx="8">
                  <c:v>1.1888443671837339E-4</c:v>
                </c:pt>
                <c:pt idx="9">
                  <c:v>1.6272775169157182E-4</c:v>
                </c:pt>
                <c:pt idx="10">
                  <c:v>3.1971535229735371E-4</c:v>
                </c:pt>
                <c:pt idx="11">
                  <c:v>9.9284322948279942E-5</c:v>
                </c:pt>
                <c:pt idx="12">
                  <c:v>8.4389884008505769E-5</c:v>
                </c:pt>
                <c:pt idx="13">
                  <c:v>3.8687094310785172E-5</c:v>
                </c:pt>
                <c:pt idx="14">
                  <c:v>5.9053253436500503E-5</c:v>
                </c:pt>
                <c:pt idx="15">
                  <c:v>8.9979742074369876E-5</c:v>
                </c:pt>
                <c:pt idx="16">
                  <c:v>9.8501880834851114E-5</c:v>
                </c:pt>
                <c:pt idx="17">
                  <c:v>1.3702251220328534E-4</c:v>
                </c:pt>
                <c:pt idx="18">
                  <c:v>6.278057936654357E-5</c:v>
                </c:pt>
                <c:pt idx="19">
                  <c:v>4.8363471709008996E-5</c:v>
                </c:pt>
                <c:pt idx="20">
                  <c:v>5.7032582266732258E-5</c:v>
                </c:pt>
                <c:pt idx="21">
                  <c:v>6.4415956606857149E-5</c:v>
                </c:pt>
                <c:pt idx="22">
                  <c:v>6.133873816890232E-5</c:v>
                </c:pt>
                <c:pt idx="23">
                  <c:v>2.6147443485281517E-5</c:v>
                </c:pt>
                <c:pt idx="24">
                  <c:v>4.5217756020010922E-5</c:v>
                </c:pt>
                <c:pt idx="25">
                  <c:v>3.9272401871138099E-5</c:v>
                </c:pt>
                <c:pt idx="26">
                  <c:v>5.6120362696367499E-5</c:v>
                </c:pt>
                <c:pt idx="27">
                  <c:v>3.2075250407733537E-5</c:v>
                </c:pt>
                <c:pt idx="28">
                  <c:v>5.8428698594413719E-5</c:v>
                </c:pt>
                <c:pt idx="29">
                  <c:v>4.4785072963417798E-5</c:v>
                </c:pt>
                <c:pt idx="30">
                  <c:v>2.0348169741399981E-5</c:v>
                </c:pt>
                <c:pt idx="31">
                  <c:v>1.040746046539605E-5</c:v>
                </c:pt>
                <c:pt idx="32">
                  <c:v>6.2536678566577208E-5</c:v>
                </c:pt>
                <c:pt idx="33">
                  <c:v>2.6779772873960508E-5</c:v>
                </c:pt>
                <c:pt idx="34">
                  <c:v>2.5419387819672062E-5</c:v>
                </c:pt>
                <c:pt idx="35">
                  <c:v>2.8130153818970627E-6</c:v>
                </c:pt>
                <c:pt idx="36">
                  <c:v>9.4624761273468015E-6</c:v>
                </c:pt>
                <c:pt idx="37">
                  <c:v>6.1104364034347795E-5</c:v>
                </c:pt>
                <c:pt idx="38">
                  <c:v>2.3672056645381141E-5</c:v>
                </c:pt>
                <c:pt idx="39">
                  <c:v>1.0043233520362296E-4</c:v>
                </c:pt>
                <c:pt idx="40">
                  <c:v>3.1812619727726181E-4</c:v>
                </c:pt>
                <c:pt idx="41">
                  <c:v>1.0778042724491887E-5</c:v>
                </c:pt>
                <c:pt idx="42">
                  <c:v>3.887986525001914E-5</c:v>
                </c:pt>
                <c:pt idx="43">
                  <c:v>1.6957147972373989E-5</c:v>
                </c:pt>
                <c:pt idx="44">
                  <c:v>7.6060323618661803E-5</c:v>
                </c:pt>
                <c:pt idx="45">
                  <c:v>6.2182206355465412E-5</c:v>
                </c:pt>
                <c:pt idx="46">
                  <c:v>2.694785623258986E-4</c:v>
                </c:pt>
                <c:pt idx="47">
                  <c:v>1.4704961213733822E-4</c:v>
                </c:pt>
                <c:pt idx="48">
                  <c:v>4.0835325924964993E-5</c:v>
                </c:pt>
                <c:pt idx="49">
                  <c:v>1.0610361746437833E-5</c:v>
                </c:pt>
                <c:pt idx="50">
                  <c:v>1.695770438936505E-5</c:v>
                </c:pt>
                <c:pt idx="51">
                  <c:v>2.035594421655874E-4</c:v>
                </c:pt>
                <c:pt idx="52">
                  <c:v>2.9182039355741569E-5</c:v>
                </c:pt>
                <c:pt idx="53">
                  <c:v>6.8359257555491209E-6</c:v>
                </c:pt>
                <c:pt idx="54">
                  <c:v>3.9467214344060777E-5</c:v>
                </c:pt>
                <c:pt idx="55">
                  <c:v>2.9558923642536597E-5</c:v>
                </c:pt>
                <c:pt idx="56">
                  <c:v>1.3240366773208979E-4</c:v>
                </c:pt>
                <c:pt idx="57">
                  <c:v>4.4497465376314658E-5</c:v>
                </c:pt>
                <c:pt idx="58">
                  <c:v>1.1255472791017684E-5</c:v>
                </c:pt>
                <c:pt idx="59">
                  <c:v>2.7003970898282512E-5</c:v>
                </c:pt>
                <c:pt idx="60">
                  <c:v>2.1352820004931752E-4</c:v>
                </c:pt>
                <c:pt idx="61">
                  <c:v>1.6111475831323043E-6</c:v>
                </c:pt>
                <c:pt idx="62">
                  <c:v>1.6567161330676593E-5</c:v>
                </c:pt>
                <c:pt idx="63">
                  <c:v>7.1633891478270476E-6</c:v>
                </c:pt>
                <c:pt idx="64">
                  <c:v>1.7630548438951114E-4</c:v>
                </c:pt>
                <c:pt idx="65">
                  <c:v>2.6987697222457839E-6</c:v>
                </c:pt>
                <c:pt idx="66">
                  <c:v>2.3967166441789665E-4</c:v>
                </c:pt>
                <c:pt idx="67">
                  <c:v>8.6334041210541439E-5</c:v>
                </c:pt>
                <c:pt idx="68">
                  <c:v>1.7331449464067606E-5</c:v>
                </c:pt>
                <c:pt idx="69">
                  <c:v>1.2442066025204789E-4</c:v>
                </c:pt>
                <c:pt idx="70">
                  <c:v>3.227153795130308E-6</c:v>
                </c:pt>
                <c:pt idx="71">
                  <c:v>1.5118507305551689E-5</c:v>
                </c:pt>
                <c:pt idx="72">
                  <c:v>4.319545685188813E-5</c:v>
                </c:pt>
                <c:pt idx="73">
                  <c:v>3.9553504767139374E-5</c:v>
                </c:pt>
                <c:pt idx="74">
                  <c:v>5.1584152771805371E-5</c:v>
                </c:pt>
                <c:pt idx="75">
                  <c:v>7.0409046854663768E-5</c:v>
                </c:pt>
                <c:pt idx="76">
                  <c:v>7.3983924107586192E-6</c:v>
                </c:pt>
                <c:pt idx="77">
                  <c:v>3.0653178688489071E-6</c:v>
                </c:pt>
                <c:pt idx="78">
                  <c:v>2.6840161937736282E-5</c:v>
                </c:pt>
                <c:pt idx="79">
                  <c:v>4.1656940339944592E-5</c:v>
                </c:pt>
                <c:pt idx="80">
                  <c:v>7.2620295254088293E-6</c:v>
                </c:pt>
                <c:pt idx="81">
                  <c:v>2.0488405391008263E-5</c:v>
                </c:pt>
                <c:pt idx="82">
                  <c:v>5.1245999131535009E-5</c:v>
                </c:pt>
                <c:pt idx="83">
                  <c:v>1.2114675620727595E-5</c:v>
                </c:pt>
                <c:pt idx="84">
                  <c:v>3.5526485311266675E-6</c:v>
                </c:pt>
                <c:pt idx="85">
                  <c:v>2.9109215034527743E-5</c:v>
                </c:pt>
                <c:pt idx="86">
                  <c:v>2.553911118253595E-5</c:v>
                </c:pt>
                <c:pt idx="87">
                  <c:v>1.9324615854066637E-5</c:v>
                </c:pt>
                <c:pt idx="88">
                  <c:v>1.2726981832708153E-4</c:v>
                </c:pt>
                <c:pt idx="89">
                  <c:v>2.2810973897791873E-5</c:v>
                </c:pt>
                <c:pt idx="90">
                  <c:v>1.2808913760930531E-4</c:v>
                </c:pt>
                <c:pt idx="91">
                  <c:v>2.3974108538381192E-6</c:v>
                </c:pt>
                <c:pt idx="92">
                  <c:v>1.0923652162162593E-4</c:v>
                </c:pt>
                <c:pt idx="93">
                  <c:v>2.9747994603086585E-5</c:v>
                </c:pt>
                <c:pt idx="94">
                  <c:v>1.0830123857258999E-5</c:v>
                </c:pt>
                <c:pt idx="95">
                  <c:v>2.5585444546265345E-5</c:v>
                </c:pt>
                <c:pt idx="96">
                  <c:v>1.8755390377453883E-5</c:v>
                </c:pt>
                <c:pt idx="97">
                  <c:v>7.1402289251603709E-6</c:v>
                </c:pt>
                <c:pt idx="98">
                  <c:v>5.7342419962591952E-5</c:v>
                </c:pt>
                <c:pt idx="99">
                  <c:v>5.2728767459709325E-6</c:v>
                </c:pt>
                <c:pt idx="100">
                  <c:v>1.7575579348345692E-5</c:v>
                </c:pt>
                <c:pt idx="101">
                  <c:v>1.912064433348831E-6</c:v>
                </c:pt>
                <c:pt idx="102">
                  <c:v>1.2264741208103771E-5</c:v>
                </c:pt>
                <c:pt idx="103">
                  <c:v>4.0833461066770226E-5</c:v>
                </c:pt>
                <c:pt idx="104">
                  <c:v>1.1494974157713931E-5</c:v>
                </c:pt>
                <c:pt idx="105">
                  <c:v>2.1541286067369848E-5</c:v>
                </c:pt>
                <c:pt idx="106">
                  <c:v>5.9016522246802717E-6</c:v>
                </c:pt>
                <c:pt idx="107">
                  <c:v>4.2604391733971901E-5</c:v>
                </c:pt>
                <c:pt idx="108">
                  <c:v>4.6887874026645432E-5</c:v>
                </c:pt>
                <c:pt idx="109">
                  <c:v>4.8347495871648752E-5</c:v>
                </c:pt>
                <c:pt idx="110">
                  <c:v>5.3981582553484764E-5</c:v>
                </c:pt>
                <c:pt idx="111">
                  <c:v>2.335178447954299E-6</c:v>
                </c:pt>
                <c:pt idx="112">
                  <c:v>2.7060713122553638E-5</c:v>
                </c:pt>
                <c:pt idx="113">
                  <c:v>1.043102106170472E-5</c:v>
                </c:pt>
                <c:pt idx="114">
                  <c:v>4.4414566600437752E-6</c:v>
                </c:pt>
                <c:pt idx="115">
                  <c:v>5.2609150407194607E-6</c:v>
                </c:pt>
                <c:pt idx="116">
                  <c:v>1.7479391630059792E-5</c:v>
                </c:pt>
                <c:pt idx="117">
                  <c:v>1.9944567659086624E-5</c:v>
                </c:pt>
                <c:pt idx="118">
                  <c:v>2.0740325379230552E-5</c:v>
                </c:pt>
                <c:pt idx="119">
                  <c:v>2.1220497411522521E-5</c:v>
                </c:pt>
                <c:pt idx="120">
                  <c:v>7.8688652222354629E-6</c:v>
                </c:pt>
                <c:pt idx="121">
                  <c:v>1.6484626221711783E-6</c:v>
                </c:pt>
                <c:pt idx="122">
                  <c:v>5.4097993289103465E-6</c:v>
                </c:pt>
                <c:pt idx="123">
                  <c:v>1.5932851272601569E-5</c:v>
                </c:pt>
                <c:pt idx="124">
                  <c:v>2.018105992276782E-5</c:v>
                </c:pt>
                <c:pt idx="125">
                  <c:v>5.5435187123347098E-6</c:v>
                </c:pt>
                <c:pt idx="126">
                  <c:v>2.4700892745678903E-5</c:v>
                </c:pt>
                <c:pt idx="127">
                  <c:v>1.1366960618655667E-6</c:v>
                </c:pt>
                <c:pt idx="128">
                  <c:v>7.5529424925997998E-6</c:v>
                </c:pt>
                <c:pt idx="129">
                  <c:v>3.368286129781664E-6</c:v>
                </c:pt>
                <c:pt idx="130">
                  <c:v>7.7260895745054806E-6</c:v>
                </c:pt>
                <c:pt idx="131">
                  <c:v>4.7524809561601652E-6</c:v>
                </c:pt>
                <c:pt idx="132">
                  <c:v>7.0173661823753562E-6</c:v>
                </c:pt>
                <c:pt idx="133">
                  <c:v>2.9334930954800953E-6</c:v>
                </c:pt>
                <c:pt idx="134">
                  <c:v>1.3472618903156257E-6</c:v>
                </c:pt>
                <c:pt idx="135">
                  <c:v>2.9882456311379546E-6</c:v>
                </c:pt>
                <c:pt idx="136">
                  <c:v>5.6497266656784759E-6</c:v>
                </c:pt>
                <c:pt idx="137">
                  <c:v>8.0433619181439804E-6</c:v>
                </c:pt>
                <c:pt idx="138">
                  <c:v>4.8935261043300096E-6</c:v>
                </c:pt>
                <c:pt idx="139">
                  <c:v>5.4414713148148637E-6</c:v>
                </c:pt>
                <c:pt idx="140">
                  <c:v>1.0461321041253058E-6</c:v>
                </c:pt>
                <c:pt idx="141">
                  <c:v>4.0074138223514741E-6</c:v>
                </c:pt>
                <c:pt idx="142">
                  <c:v>4.445421322595686E-6</c:v>
                </c:pt>
                <c:pt idx="143">
                  <c:v>3.3996560976474946E-6</c:v>
                </c:pt>
                <c:pt idx="144">
                  <c:v>1.9058382679779212E-6</c:v>
                </c:pt>
                <c:pt idx="145">
                  <c:v>7.6260932563646147E-7</c:v>
                </c:pt>
                <c:pt idx="146">
                  <c:v>1.1447654485495178E-6</c:v>
                </c:pt>
                <c:pt idx="147">
                  <c:v>2.4985599145198912E-6</c:v>
                </c:pt>
                <c:pt idx="148">
                  <c:v>1.5917977019588307E-6</c:v>
                </c:pt>
                <c:pt idx="149">
                  <c:v>2.4545491007876646E-6</c:v>
                </c:pt>
              </c:numCache>
            </c:numRef>
          </c:val>
          <c:extLst>
            <c:ext xmlns:c16="http://schemas.microsoft.com/office/drawing/2014/chart" uri="{C3380CC4-5D6E-409C-BE32-E72D297353CC}">
              <c16:uniqueId val="{00000003-A8A6-471A-B59D-518715C99D63}"/>
            </c:ext>
          </c:extLst>
        </c:ser>
        <c:dLbls>
          <c:showLegendKey val="0"/>
          <c:showVal val="0"/>
          <c:showCatName val="0"/>
          <c:showSerName val="0"/>
          <c:showPercent val="0"/>
          <c:showBubbleSize val="0"/>
        </c:dLbls>
        <c:gapWidth val="150"/>
        <c:overlap val="100"/>
        <c:axId val="1396724352"/>
        <c:axId val="1396725184"/>
      </c:barChart>
      <c:catAx>
        <c:axId val="1396724352"/>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725184"/>
        <c:crosses val="autoZero"/>
        <c:auto val="1"/>
        <c:lblAlgn val="ctr"/>
        <c:lblOffset val="100"/>
        <c:noMultiLvlLbl val="0"/>
      </c:catAx>
      <c:valAx>
        <c:axId val="1396725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724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X!$L$1</c:f>
              <c:strCache>
                <c:ptCount val="1"/>
                <c:pt idx="0">
                  <c:v>X M2L</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0"/>
            <c:dispEq val="1"/>
            <c:trendlineLbl>
              <c:layout>
                <c:manualLayout>
                  <c:x val="9.7989689579941752E-2"/>
                  <c:y val="0.3697954943132108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X!$G$2:$G$151</c:f>
              <c:numCache>
                <c:formatCode>General</c:formatCode>
                <c:ptCount val="150"/>
                <c:pt idx="0">
                  <c:v>16400</c:v>
                </c:pt>
                <c:pt idx="1">
                  <c:v>2052</c:v>
                </c:pt>
                <c:pt idx="2">
                  <c:v>2048</c:v>
                </c:pt>
                <c:pt idx="3">
                  <c:v>16384</c:v>
                </c:pt>
                <c:pt idx="4">
                  <c:v>2049.3333333333335</c:v>
                </c:pt>
                <c:pt idx="5">
                  <c:v>6705.333333333333</c:v>
                </c:pt>
                <c:pt idx="6">
                  <c:v>2048</c:v>
                </c:pt>
                <c:pt idx="7">
                  <c:v>55018.666666666664</c:v>
                </c:pt>
                <c:pt idx="8">
                  <c:v>8192</c:v>
                </c:pt>
                <c:pt idx="9">
                  <c:v>65536</c:v>
                </c:pt>
                <c:pt idx="10">
                  <c:v>16398.666666666668</c:v>
                </c:pt>
                <c:pt idx="11">
                  <c:v>115997.33333333333</c:v>
                </c:pt>
                <c:pt idx="12">
                  <c:v>14538.666666666666</c:v>
                </c:pt>
                <c:pt idx="13">
                  <c:v>11972</c:v>
                </c:pt>
                <c:pt idx="14">
                  <c:v>101365.33333333333</c:v>
                </c:pt>
                <c:pt idx="15">
                  <c:v>32648</c:v>
                </c:pt>
                <c:pt idx="16">
                  <c:v>8192</c:v>
                </c:pt>
                <c:pt idx="17">
                  <c:v>24481.333333333332</c:v>
                </c:pt>
                <c:pt idx="18">
                  <c:v>59337.333333333336</c:v>
                </c:pt>
                <c:pt idx="19">
                  <c:v>7340</c:v>
                </c:pt>
                <c:pt idx="20">
                  <c:v>30177.333333333332</c:v>
                </c:pt>
                <c:pt idx="21">
                  <c:v>250256</c:v>
                </c:pt>
                <c:pt idx="22">
                  <c:v>15148</c:v>
                </c:pt>
                <c:pt idx="23">
                  <c:v>301846</c:v>
                </c:pt>
                <c:pt idx="24">
                  <c:v>256</c:v>
                </c:pt>
                <c:pt idx="25">
                  <c:v>103234.66666666667</c:v>
                </c:pt>
                <c:pt idx="26">
                  <c:v>2048</c:v>
                </c:pt>
                <c:pt idx="27">
                  <c:v>12292</c:v>
                </c:pt>
                <c:pt idx="28">
                  <c:v>68812</c:v>
                </c:pt>
                <c:pt idx="29">
                  <c:v>4174.666666666667</c:v>
                </c:pt>
                <c:pt idx="30">
                  <c:v>33692</c:v>
                </c:pt>
                <c:pt idx="31">
                  <c:v>829028</c:v>
                </c:pt>
                <c:pt idx="32">
                  <c:v>34145.333333333336</c:v>
                </c:pt>
                <c:pt idx="33">
                  <c:v>721759</c:v>
                </c:pt>
                <c:pt idx="34">
                  <c:v>173785</c:v>
                </c:pt>
                <c:pt idx="35">
                  <c:v>3670533.3333333335</c:v>
                </c:pt>
                <c:pt idx="36">
                  <c:v>86525.333333333328</c:v>
                </c:pt>
                <c:pt idx="37">
                  <c:v>3072</c:v>
                </c:pt>
                <c:pt idx="38">
                  <c:v>81979</c:v>
                </c:pt>
                <c:pt idx="39">
                  <c:v>24568</c:v>
                </c:pt>
                <c:pt idx="40">
                  <c:v>65536</c:v>
                </c:pt>
                <c:pt idx="41">
                  <c:v>1928665.3333333333</c:v>
                </c:pt>
                <c:pt idx="42">
                  <c:v>30738.666666666668</c:v>
                </c:pt>
                <c:pt idx="43">
                  <c:v>310499</c:v>
                </c:pt>
                <c:pt idx="44">
                  <c:v>8192</c:v>
                </c:pt>
                <c:pt idx="45">
                  <c:v>1024</c:v>
                </c:pt>
                <c:pt idx="46">
                  <c:v>8192</c:v>
                </c:pt>
                <c:pt idx="47">
                  <c:v>14613.333333333334</c:v>
                </c:pt>
                <c:pt idx="48">
                  <c:v>7661.333333333333</c:v>
                </c:pt>
                <c:pt idx="49">
                  <c:v>208597.33333333334</c:v>
                </c:pt>
                <c:pt idx="50">
                  <c:v>34586</c:v>
                </c:pt>
                <c:pt idx="51">
                  <c:v>54798.666666666664</c:v>
                </c:pt>
                <c:pt idx="52">
                  <c:v>1869.3333333333333</c:v>
                </c:pt>
                <c:pt idx="53">
                  <c:v>864037.33333333337</c:v>
                </c:pt>
                <c:pt idx="54">
                  <c:v>71026.666666666672</c:v>
                </c:pt>
                <c:pt idx="55">
                  <c:v>8340</c:v>
                </c:pt>
                <c:pt idx="56">
                  <c:v>6825.333333333333</c:v>
                </c:pt>
                <c:pt idx="57">
                  <c:v>15528</c:v>
                </c:pt>
                <c:pt idx="58">
                  <c:v>489020</c:v>
                </c:pt>
                <c:pt idx="59">
                  <c:v>12394.666666666666</c:v>
                </c:pt>
                <c:pt idx="60">
                  <c:v>115966.66666666667</c:v>
                </c:pt>
                <c:pt idx="61">
                  <c:v>3776118.6666666665</c:v>
                </c:pt>
                <c:pt idx="62">
                  <c:v>178802</c:v>
                </c:pt>
                <c:pt idx="63">
                  <c:v>89933.333333333328</c:v>
                </c:pt>
                <c:pt idx="64">
                  <c:v>32366.666666666668</c:v>
                </c:pt>
                <c:pt idx="65">
                  <c:v>9805498.666666666</c:v>
                </c:pt>
                <c:pt idx="66">
                  <c:v>24472</c:v>
                </c:pt>
                <c:pt idx="67">
                  <c:v>11989.333333333334</c:v>
                </c:pt>
                <c:pt idx="68">
                  <c:v>85347</c:v>
                </c:pt>
                <c:pt idx="69">
                  <c:v>101557.33333333333</c:v>
                </c:pt>
                <c:pt idx="70">
                  <c:v>322156</c:v>
                </c:pt>
                <c:pt idx="71">
                  <c:v>19130</c:v>
                </c:pt>
                <c:pt idx="72">
                  <c:v>36064</c:v>
                </c:pt>
                <c:pt idx="73">
                  <c:v>4548</c:v>
                </c:pt>
                <c:pt idx="74">
                  <c:v>3072</c:v>
                </c:pt>
                <c:pt idx="75">
                  <c:v>24576</c:v>
                </c:pt>
                <c:pt idx="76">
                  <c:v>213698.66666666666</c:v>
                </c:pt>
                <c:pt idx="77">
                  <c:v>2185224</c:v>
                </c:pt>
                <c:pt idx="78">
                  <c:v>31265.333333333332</c:v>
                </c:pt>
                <c:pt idx="79">
                  <c:v>1024</c:v>
                </c:pt>
                <c:pt idx="80">
                  <c:v>504657.33333333331</c:v>
                </c:pt>
                <c:pt idx="81">
                  <c:v>3544</c:v>
                </c:pt>
                <c:pt idx="82">
                  <c:v>8192</c:v>
                </c:pt>
                <c:pt idx="83">
                  <c:v>34838</c:v>
                </c:pt>
                <c:pt idx="84">
                  <c:v>915456</c:v>
                </c:pt>
                <c:pt idx="85">
                  <c:v>7576</c:v>
                </c:pt>
                <c:pt idx="86">
                  <c:v>73064</c:v>
                </c:pt>
                <c:pt idx="87">
                  <c:v>953.33333333333337</c:v>
                </c:pt>
                <c:pt idx="88">
                  <c:v>249761.33333333334</c:v>
                </c:pt>
                <c:pt idx="89">
                  <c:v>8553.3333333333339</c:v>
                </c:pt>
                <c:pt idx="90">
                  <c:v>30032</c:v>
                </c:pt>
                <c:pt idx="91">
                  <c:v>330368</c:v>
                </c:pt>
                <c:pt idx="92">
                  <c:v>68510.666666666672</c:v>
                </c:pt>
                <c:pt idx="93">
                  <c:v>15497.333333333334</c:v>
                </c:pt>
                <c:pt idx="94">
                  <c:v>181263</c:v>
                </c:pt>
                <c:pt idx="95">
                  <c:v>1937.3333333333333</c:v>
                </c:pt>
                <c:pt idx="96">
                  <c:v>12422.666666666666</c:v>
                </c:pt>
                <c:pt idx="97">
                  <c:v>48737.333333333336</c:v>
                </c:pt>
                <c:pt idx="98">
                  <c:v>301964</c:v>
                </c:pt>
                <c:pt idx="99">
                  <c:v>91962.666666666672</c:v>
                </c:pt>
                <c:pt idx="100">
                  <c:v>1408</c:v>
                </c:pt>
                <c:pt idx="101">
                  <c:v>2243538.6666666665</c:v>
                </c:pt>
                <c:pt idx="102">
                  <c:v>19149</c:v>
                </c:pt>
                <c:pt idx="103">
                  <c:v>33680</c:v>
                </c:pt>
                <c:pt idx="104">
                  <c:v>88293</c:v>
                </c:pt>
                <c:pt idx="105">
                  <c:v>828461.33333333337</c:v>
                </c:pt>
                <c:pt idx="106">
                  <c:v>215846.66666666666</c:v>
                </c:pt>
                <c:pt idx="107">
                  <c:v>3072</c:v>
                </c:pt>
                <c:pt idx="108">
                  <c:v>82375</c:v>
                </c:pt>
                <c:pt idx="109">
                  <c:v>173344</c:v>
                </c:pt>
                <c:pt idx="110">
                  <c:v>721276</c:v>
                </c:pt>
                <c:pt idx="111">
                  <c:v>939801.33333333337</c:v>
                </c:pt>
                <c:pt idx="112">
                  <c:v>4768</c:v>
                </c:pt>
                <c:pt idx="113">
                  <c:v>8932</c:v>
                </c:pt>
                <c:pt idx="114">
                  <c:v>510889.33333333331</c:v>
                </c:pt>
                <c:pt idx="115">
                  <c:v>3668836</c:v>
                </c:pt>
                <c:pt idx="116">
                  <c:v>86474.666666666672</c:v>
                </c:pt>
                <c:pt idx="117">
                  <c:v>31465.333333333332</c:v>
                </c:pt>
                <c:pt idx="118">
                  <c:v>3602.6666666666665</c:v>
                </c:pt>
                <c:pt idx="119">
                  <c:v>1926150.6666666667</c:v>
                </c:pt>
                <c:pt idx="120">
                  <c:v>34928</c:v>
                </c:pt>
                <c:pt idx="121">
                  <c:v>335345.33333333331</c:v>
                </c:pt>
                <c:pt idx="122">
                  <c:v>19485.333333333332</c:v>
                </c:pt>
                <c:pt idx="123">
                  <c:v>8620</c:v>
                </c:pt>
                <c:pt idx="124">
                  <c:v>208205.33333333334</c:v>
                </c:pt>
                <c:pt idx="125">
                  <c:v>49461.333333333336</c:v>
                </c:pt>
                <c:pt idx="126">
                  <c:v>488910.66666666669</c:v>
                </c:pt>
                <c:pt idx="127">
                  <c:v>2280208</c:v>
                </c:pt>
                <c:pt idx="128">
                  <c:v>3398</c:v>
                </c:pt>
                <c:pt idx="129">
                  <c:v>93434.666666666672</c:v>
                </c:pt>
                <c:pt idx="130">
                  <c:v>19290</c:v>
                </c:pt>
                <c:pt idx="131">
                  <c:v>9805905.333333334</c:v>
                </c:pt>
                <c:pt idx="132">
                  <c:v>90534</c:v>
                </c:pt>
                <c:pt idx="133">
                  <c:v>216682.66666666666</c:v>
                </c:pt>
                <c:pt idx="134">
                  <c:v>951836</c:v>
                </c:pt>
                <c:pt idx="135">
                  <c:v>161638.66666666666</c:v>
                </c:pt>
                <c:pt idx="136">
                  <c:v>322162.66666666669</c:v>
                </c:pt>
                <c:pt idx="137">
                  <c:v>9150</c:v>
                </c:pt>
                <c:pt idx="138">
                  <c:v>2184828</c:v>
                </c:pt>
                <c:pt idx="139">
                  <c:v>913132</c:v>
                </c:pt>
                <c:pt idx="140">
                  <c:v>338104</c:v>
                </c:pt>
                <c:pt idx="141">
                  <c:v>19505.333333333332</c:v>
                </c:pt>
                <c:pt idx="142">
                  <c:v>7580</c:v>
                </c:pt>
                <c:pt idx="143">
                  <c:v>49661.333333333336</c:v>
                </c:pt>
                <c:pt idx="144">
                  <c:v>163284</c:v>
                </c:pt>
                <c:pt idx="145">
                  <c:v>958536</c:v>
                </c:pt>
                <c:pt idx="146">
                  <c:v>165002.66666666666</c:v>
                </c:pt>
                <c:pt idx="147">
                  <c:v>56110.666666666664</c:v>
                </c:pt>
                <c:pt idx="148">
                  <c:v>56325.333333333336</c:v>
                </c:pt>
                <c:pt idx="149">
                  <c:v>15781.333333333334</c:v>
                </c:pt>
              </c:numCache>
            </c:numRef>
          </c:xVal>
          <c:yVal>
            <c:numRef>
              <c:f>X!$L$2:$L$151</c:f>
              <c:numCache>
                <c:formatCode>General</c:formatCode>
                <c:ptCount val="150"/>
                <c:pt idx="0">
                  <c:v>2.2907904295567305</c:v>
                </c:pt>
                <c:pt idx="1">
                  <c:v>1.5619456610141358</c:v>
                </c:pt>
                <c:pt idx="2">
                  <c:v>1.5931679912250871</c:v>
                </c:pt>
                <c:pt idx="3">
                  <c:v>1.8269683748228818</c:v>
                </c:pt>
                <c:pt idx="4">
                  <c:v>0.85952265202190503</c:v>
                </c:pt>
                <c:pt idx="5">
                  <c:v>2.1509680320094073</c:v>
                </c:pt>
                <c:pt idx="6">
                  <c:v>1.1231910310173769</c:v>
                </c:pt>
                <c:pt idx="7">
                  <c:v>3.0719225809783404</c:v>
                </c:pt>
                <c:pt idx="8">
                  <c:v>1.2235802737971162</c:v>
                </c:pt>
                <c:pt idx="9">
                  <c:v>1.4768297738052916</c:v>
                </c:pt>
                <c:pt idx="10">
                  <c:v>1.6782757306213725</c:v>
                </c:pt>
                <c:pt idx="11">
                  <c:v>2.8897326988053291</c:v>
                </c:pt>
                <c:pt idx="12">
                  <c:v>2.3184144047814925</c:v>
                </c:pt>
                <c:pt idx="13">
                  <c:v>3.0146366029461573</c:v>
                </c:pt>
                <c:pt idx="14">
                  <c:v>3.8964595464414322</c:v>
                </c:pt>
                <c:pt idx="15">
                  <c:v>2.6809579131995762</c:v>
                </c:pt>
                <c:pt idx="16">
                  <c:v>1.0626006890497057</c:v>
                </c:pt>
                <c:pt idx="17">
                  <c:v>1.1608981449330658</c:v>
                </c:pt>
                <c:pt idx="18">
                  <c:v>2.4018421671465822</c:v>
                </c:pt>
                <c:pt idx="19">
                  <c:v>2.1708074981035685</c:v>
                </c:pt>
                <c:pt idx="20">
                  <c:v>3.2196938580308037</c:v>
                </c:pt>
                <c:pt idx="21">
                  <c:v>3.7583108759834554</c:v>
                </c:pt>
                <c:pt idx="22">
                  <c:v>2.1622353304630555</c:v>
                </c:pt>
                <c:pt idx="23">
                  <c:v>4.9001937883097462</c:v>
                </c:pt>
                <c:pt idx="24">
                  <c:v>0.96833481146443456</c:v>
                </c:pt>
                <c:pt idx="25">
                  <c:v>3.1328539368350143</c:v>
                </c:pt>
                <c:pt idx="26">
                  <c:v>1.1112631039696095</c:v>
                </c:pt>
                <c:pt idx="27">
                  <c:v>2.8141176699960999</c:v>
                </c:pt>
                <c:pt idx="28">
                  <c:v>3.4865765878312831</c:v>
                </c:pt>
                <c:pt idx="29">
                  <c:v>1.6590208674368669</c:v>
                </c:pt>
                <c:pt idx="30">
                  <c:v>3.9511137759617077</c:v>
                </c:pt>
                <c:pt idx="31">
                  <c:v>5.4332976089897587</c:v>
                </c:pt>
                <c:pt idx="32">
                  <c:v>2.1946929151203993</c:v>
                </c:pt>
                <c:pt idx="33">
                  <c:v>4.8334828268161178</c:v>
                </c:pt>
                <c:pt idx="34">
                  <c:v>4.6826590979233584</c:v>
                </c:pt>
                <c:pt idx="35">
                  <c:v>5.6802478628331228</c:v>
                </c:pt>
                <c:pt idx="36">
                  <c:v>4.9721555925927605</c:v>
                </c:pt>
                <c:pt idx="37">
                  <c:v>0.82445582748788315</c:v>
                </c:pt>
                <c:pt idx="38">
                  <c:v>4.2841897691493873</c:v>
                </c:pt>
                <c:pt idx="39">
                  <c:v>0.96442367903808057</c:v>
                </c:pt>
                <c:pt idx="40">
                  <c:v>1.1602183172249443</c:v>
                </c:pt>
                <c:pt idx="41">
                  <c:v>5.4075990134112821</c:v>
                </c:pt>
                <c:pt idx="42">
                  <c:v>2.7760260126153584</c:v>
                </c:pt>
                <c:pt idx="43">
                  <c:v>3.9310719374042757</c:v>
                </c:pt>
                <c:pt idx="44">
                  <c:v>0.65438309504452374</c:v>
                </c:pt>
                <c:pt idx="45">
                  <c:v>0.54601064748678996</c:v>
                </c:pt>
                <c:pt idx="46">
                  <c:v>0.68300330977220414</c:v>
                </c:pt>
                <c:pt idx="47">
                  <c:v>1.5696565839036278</c:v>
                </c:pt>
                <c:pt idx="48">
                  <c:v>1.5721977037482886</c:v>
                </c:pt>
                <c:pt idx="49">
                  <c:v>5.0388452392769691</c:v>
                </c:pt>
                <c:pt idx="50">
                  <c:v>3.6110177167472797</c:v>
                </c:pt>
                <c:pt idx="51">
                  <c:v>2.3736771084020893</c:v>
                </c:pt>
                <c:pt idx="52">
                  <c:v>1.2116752952948722</c:v>
                </c:pt>
                <c:pt idx="53">
                  <c:v>4.406086976431749</c:v>
                </c:pt>
                <c:pt idx="54">
                  <c:v>2.8525101432716444</c:v>
                </c:pt>
                <c:pt idx="55">
                  <c:v>2.2789366332914103</c:v>
                </c:pt>
                <c:pt idx="56">
                  <c:v>1.4080600214967804</c:v>
                </c:pt>
                <c:pt idx="57">
                  <c:v>1.5001187061383099</c:v>
                </c:pt>
                <c:pt idx="58">
                  <c:v>5.2768618882365903</c:v>
                </c:pt>
                <c:pt idx="59">
                  <c:v>2.194072786297677</c:v>
                </c:pt>
                <c:pt idx="60">
                  <c:v>2.386017386425439</c:v>
                </c:pt>
                <c:pt idx="61">
                  <c:v>4.6162383556759741</c:v>
                </c:pt>
                <c:pt idx="62">
                  <c:v>3.8213825474228496</c:v>
                </c:pt>
                <c:pt idx="63">
                  <c:v>4.1996500513509796</c:v>
                </c:pt>
                <c:pt idx="64">
                  <c:v>1.8321168439521875</c:v>
                </c:pt>
                <c:pt idx="65">
                  <c:v>5.7009846579600527</c:v>
                </c:pt>
                <c:pt idx="66">
                  <c:v>0.73768892806209463</c:v>
                </c:pt>
                <c:pt idx="67">
                  <c:v>1.715012996780241</c:v>
                </c:pt>
                <c:pt idx="68">
                  <c:v>3.6652375544608962</c:v>
                </c:pt>
                <c:pt idx="69">
                  <c:v>3.1896994044529614</c:v>
                </c:pt>
                <c:pt idx="70">
                  <c:v>5.4060020189171691</c:v>
                </c:pt>
                <c:pt idx="71">
                  <c:v>3.2739499031828578</c:v>
                </c:pt>
                <c:pt idx="72">
                  <c:v>1.4306135042938639</c:v>
                </c:pt>
                <c:pt idx="73">
                  <c:v>1.2774503628942746</c:v>
                </c:pt>
                <c:pt idx="74">
                  <c:v>0.53701430171799625</c:v>
                </c:pt>
                <c:pt idx="75">
                  <c:v>0.56842453738613652</c:v>
                </c:pt>
                <c:pt idx="76">
                  <c:v>4.1994607877731394</c:v>
                </c:pt>
                <c:pt idx="77">
                  <c:v>5.6498602970895409</c:v>
                </c:pt>
                <c:pt idx="78">
                  <c:v>2.0575193847010387</c:v>
                </c:pt>
                <c:pt idx="79">
                  <c:v>0.57380271350542722</c:v>
                </c:pt>
                <c:pt idx="80">
                  <c:v>4.2892805620401635</c:v>
                </c:pt>
                <c:pt idx="81">
                  <c:v>1.5853236942899951</c:v>
                </c:pt>
                <c:pt idx="82">
                  <c:v>0.63208185180949261</c:v>
                </c:pt>
                <c:pt idx="83">
                  <c:v>3.0879960284363421</c:v>
                </c:pt>
                <c:pt idx="84">
                  <c:v>5.452136031392957</c:v>
                </c:pt>
                <c:pt idx="85">
                  <c:v>1.6152168715198301</c:v>
                </c:pt>
                <c:pt idx="86">
                  <c:v>2.0895796883966447</c:v>
                </c:pt>
                <c:pt idx="87">
                  <c:v>1.353354283204163</c:v>
                </c:pt>
                <c:pt idx="88">
                  <c:v>3.1324701761783809</c:v>
                </c:pt>
                <c:pt idx="89">
                  <c:v>1.7806680677970275</c:v>
                </c:pt>
                <c:pt idx="90">
                  <c:v>1.8850653110838365</c:v>
                </c:pt>
                <c:pt idx="91">
                  <c:v>4.4833751700887197</c:v>
                </c:pt>
                <c:pt idx="92">
                  <c:v>2.6533983329422894</c:v>
                </c:pt>
                <c:pt idx="93">
                  <c:v>1.4895417953405949</c:v>
                </c:pt>
                <c:pt idx="94">
                  <c:v>3.2462059922761033</c:v>
                </c:pt>
                <c:pt idx="95">
                  <c:v>1.3428781659589359</c:v>
                </c:pt>
                <c:pt idx="96">
                  <c:v>2.2786396314239941</c:v>
                </c:pt>
                <c:pt idx="97">
                  <c:v>3.7665587066260646</c:v>
                </c:pt>
                <c:pt idx="98">
                  <c:v>4.1813966936108589</c:v>
                </c:pt>
                <c:pt idx="99">
                  <c:v>3.8381267224777909</c:v>
                </c:pt>
                <c:pt idx="100">
                  <c:v>1.6977393421331453</c:v>
                </c:pt>
                <c:pt idx="101">
                  <c:v>4.611759155615335</c:v>
                </c:pt>
                <c:pt idx="102">
                  <c:v>2.7726701248311265</c:v>
                </c:pt>
                <c:pt idx="103">
                  <c:v>2.6870571385991551</c:v>
                </c:pt>
                <c:pt idx="104">
                  <c:v>3.0486049881518893</c:v>
                </c:pt>
                <c:pt idx="105">
                  <c:v>4.8286714248884506</c:v>
                </c:pt>
                <c:pt idx="106">
                  <c:v>3.873109493652628</c:v>
                </c:pt>
                <c:pt idx="107">
                  <c:v>0.51754364588721902</c:v>
                </c:pt>
                <c:pt idx="108">
                  <c:v>3.445579386051373</c:v>
                </c:pt>
                <c:pt idx="109">
                  <c:v>3.8080922481178758</c:v>
                </c:pt>
                <c:pt idx="110">
                  <c:v>4.4878555894263101</c:v>
                </c:pt>
                <c:pt idx="111">
                  <c:v>4.5175324949317091</c:v>
                </c:pt>
                <c:pt idx="112">
                  <c:v>1.2333152209482887</c:v>
                </c:pt>
                <c:pt idx="113">
                  <c:v>2.2976922333805847</c:v>
                </c:pt>
                <c:pt idx="114">
                  <c:v>3.9075250773460257</c:v>
                </c:pt>
                <c:pt idx="115">
                  <c:v>5.1159750564410347</c:v>
                </c:pt>
                <c:pt idx="116">
                  <c:v>3.6975464968833931</c:v>
                </c:pt>
                <c:pt idx="117">
                  <c:v>2.0754213130129306</c:v>
                </c:pt>
                <c:pt idx="118">
                  <c:v>1.6524445287705389</c:v>
                </c:pt>
                <c:pt idx="119">
                  <c:v>4.8602041924923611</c:v>
                </c:pt>
                <c:pt idx="120">
                  <c:v>3.2527707534103563</c:v>
                </c:pt>
                <c:pt idx="121">
                  <c:v>4.2805084833216922</c:v>
                </c:pt>
                <c:pt idx="122">
                  <c:v>3.0201743680430346</c:v>
                </c:pt>
                <c:pt idx="123">
                  <c:v>1.8397030800500114</c:v>
                </c:pt>
                <c:pt idx="124">
                  <c:v>4.2176713035229714</c:v>
                </c:pt>
                <c:pt idx="125">
                  <c:v>3.3568317187563794</c:v>
                </c:pt>
                <c:pt idx="126">
                  <c:v>4.7479183221178873</c:v>
                </c:pt>
                <c:pt idx="127">
                  <c:v>4.4314345170255693</c:v>
                </c:pt>
                <c:pt idx="128">
                  <c:v>2.2334264517364408</c:v>
                </c:pt>
                <c:pt idx="129">
                  <c:v>4.1661640727287175</c:v>
                </c:pt>
                <c:pt idx="130">
                  <c:v>2.9323702573920207</c:v>
                </c:pt>
                <c:pt idx="131">
                  <c:v>5.0837754960025574</c:v>
                </c:pt>
                <c:pt idx="132">
                  <c:v>3.1804974358330229</c:v>
                </c:pt>
                <c:pt idx="133">
                  <c:v>4.3017926366530181</c:v>
                </c:pt>
                <c:pt idx="134">
                  <c:v>4.3017812562044631</c:v>
                </c:pt>
                <c:pt idx="135">
                  <c:v>4.0279014197058265</c:v>
                </c:pt>
                <c:pt idx="136">
                  <c:v>4.5075314610990533</c:v>
                </c:pt>
                <c:pt idx="137">
                  <c:v>2.403228441924969</c:v>
                </c:pt>
                <c:pt idx="138">
                  <c:v>5.1027814095583333</c:v>
                </c:pt>
                <c:pt idx="139">
                  <c:v>4.7434359274448017</c:v>
                </c:pt>
                <c:pt idx="140">
                  <c:v>4.7303788029213436</c:v>
                </c:pt>
                <c:pt idx="141">
                  <c:v>3.2614146426422175</c:v>
                </c:pt>
                <c:pt idx="142">
                  <c:v>2.7531443074273838</c:v>
                </c:pt>
                <c:pt idx="143">
                  <c:v>3.61234365464425</c:v>
                </c:pt>
                <c:pt idx="144">
                  <c:v>3.6923518757746763</c:v>
                </c:pt>
                <c:pt idx="145">
                  <c:v>4.7840669776167566</c:v>
                </c:pt>
                <c:pt idx="146">
                  <c:v>4.021467679940308</c:v>
                </c:pt>
                <c:pt idx="147">
                  <c:v>2.0450371689436149</c:v>
                </c:pt>
                <c:pt idx="148">
                  <c:v>2.1529419361795123</c:v>
                </c:pt>
                <c:pt idx="149">
                  <c:v>0.51338723973552935</c:v>
                </c:pt>
              </c:numCache>
            </c:numRef>
          </c:yVal>
          <c:smooth val="0"/>
          <c:extLst>
            <c:ext xmlns:c16="http://schemas.microsoft.com/office/drawing/2014/chart" uri="{C3380CC4-5D6E-409C-BE32-E72D297353CC}">
              <c16:uniqueId val="{00000001-AA7E-4B0A-B7DE-DEE1955B8B65}"/>
            </c:ext>
          </c:extLst>
        </c:ser>
        <c:ser>
          <c:idx val="1"/>
          <c:order val="1"/>
          <c:tx>
            <c:strRef>
              <c:f>X!$M$1</c:f>
              <c:strCache>
                <c:ptCount val="1"/>
                <c:pt idx="0">
                  <c:v>X P2P</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og"/>
            <c:dispRSqr val="0"/>
            <c:dispEq val="1"/>
            <c:trendlineLbl>
              <c:layout>
                <c:manualLayout>
                  <c:x val="5.1998128398507149E-2"/>
                  <c:y val="-0.1290540244969378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X!$G$2:$G$151</c:f>
              <c:numCache>
                <c:formatCode>General</c:formatCode>
                <c:ptCount val="150"/>
                <c:pt idx="0">
                  <c:v>16400</c:v>
                </c:pt>
                <c:pt idx="1">
                  <c:v>2052</c:v>
                </c:pt>
                <c:pt idx="2">
                  <c:v>2048</c:v>
                </c:pt>
                <c:pt idx="3">
                  <c:v>16384</c:v>
                </c:pt>
                <c:pt idx="4">
                  <c:v>2049.3333333333335</c:v>
                </c:pt>
                <c:pt idx="5">
                  <c:v>6705.333333333333</c:v>
                </c:pt>
                <c:pt idx="6">
                  <c:v>2048</c:v>
                </c:pt>
                <c:pt idx="7">
                  <c:v>55018.666666666664</c:v>
                </c:pt>
                <c:pt idx="8">
                  <c:v>8192</c:v>
                </c:pt>
                <c:pt idx="9">
                  <c:v>65536</c:v>
                </c:pt>
                <c:pt idx="10">
                  <c:v>16398.666666666668</c:v>
                </c:pt>
                <c:pt idx="11">
                  <c:v>115997.33333333333</c:v>
                </c:pt>
                <c:pt idx="12">
                  <c:v>14538.666666666666</c:v>
                </c:pt>
                <c:pt idx="13">
                  <c:v>11972</c:v>
                </c:pt>
                <c:pt idx="14">
                  <c:v>101365.33333333333</c:v>
                </c:pt>
                <c:pt idx="15">
                  <c:v>32648</c:v>
                </c:pt>
                <c:pt idx="16">
                  <c:v>8192</c:v>
                </c:pt>
                <c:pt idx="17">
                  <c:v>24481.333333333332</c:v>
                </c:pt>
                <c:pt idx="18">
                  <c:v>59337.333333333336</c:v>
                </c:pt>
                <c:pt idx="19">
                  <c:v>7340</c:v>
                </c:pt>
                <c:pt idx="20">
                  <c:v>30177.333333333332</c:v>
                </c:pt>
                <c:pt idx="21">
                  <c:v>250256</c:v>
                </c:pt>
                <c:pt idx="22">
                  <c:v>15148</c:v>
                </c:pt>
                <c:pt idx="23">
                  <c:v>301846</c:v>
                </c:pt>
                <c:pt idx="24">
                  <c:v>256</c:v>
                </c:pt>
                <c:pt idx="25">
                  <c:v>103234.66666666667</c:v>
                </c:pt>
                <c:pt idx="26">
                  <c:v>2048</c:v>
                </c:pt>
                <c:pt idx="27">
                  <c:v>12292</c:v>
                </c:pt>
                <c:pt idx="28">
                  <c:v>68812</c:v>
                </c:pt>
                <c:pt idx="29">
                  <c:v>4174.666666666667</c:v>
                </c:pt>
                <c:pt idx="30">
                  <c:v>33692</c:v>
                </c:pt>
                <c:pt idx="31">
                  <c:v>829028</c:v>
                </c:pt>
                <c:pt idx="32">
                  <c:v>34145.333333333336</c:v>
                </c:pt>
                <c:pt idx="33">
                  <c:v>721759</c:v>
                </c:pt>
                <c:pt idx="34">
                  <c:v>173785</c:v>
                </c:pt>
                <c:pt idx="35">
                  <c:v>3670533.3333333335</c:v>
                </c:pt>
                <c:pt idx="36">
                  <c:v>86525.333333333328</c:v>
                </c:pt>
                <c:pt idx="37">
                  <c:v>3072</c:v>
                </c:pt>
                <c:pt idx="38">
                  <c:v>81979</c:v>
                </c:pt>
                <c:pt idx="39">
                  <c:v>24568</c:v>
                </c:pt>
                <c:pt idx="40">
                  <c:v>65536</c:v>
                </c:pt>
                <c:pt idx="41">
                  <c:v>1928665.3333333333</c:v>
                </c:pt>
                <c:pt idx="42">
                  <c:v>30738.666666666668</c:v>
                </c:pt>
                <c:pt idx="43">
                  <c:v>310499</c:v>
                </c:pt>
                <c:pt idx="44">
                  <c:v>8192</c:v>
                </c:pt>
                <c:pt idx="45">
                  <c:v>1024</c:v>
                </c:pt>
                <c:pt idx="46">
                  <c:v>8192</c:v>
                </c:pt>
                <c:pt idx="47">
                  <c:v>14613.333333333334</c:v>
                </c:pt>
                <c:pt idx="48">
                  <c:v>7661.333333333333</c:v>
                </c:pt>
                <c:pt idx="49">
                  <c:v>208597.33333333334</c:v>
                </c:pt>
                <c:pt idx="50">
                  <c:v>34586</c:v>
                </c:pt>
                <c:pt idx="51">
                  <c:v>54798.666666666664</c:v>
                </c:pt>
                <c:pt idx="52">
                  <c:v>1869.3333333333333</c:v>
                </c:pt>
                <c:pt idx="53">
                  <c:v>864037.33333333337</c:v>
                </c:pt>
                <c:pt idx="54">
                  <c:v>71026.666666666672</c:v>
                </c:pt>
                <c:pt idx="55">
                  <c:v>8340</c:v>
                </c:pt>
                <c:pt idx="56">
                  <c:v>6825.333333333333</c:v>
                </c:pt>
                <c:pt idx="57">
                  <c:v>15528</c:v>
                </c:pt>
                <c:pt idx="58">
                  <c:v>489020</c:v>
                </c:pt>
                <c:pt idx="59">
                  <c:v>12394.666666666666</c:v>
                </c:pt>
                <c:pt idx="60">
                  <c:v>115966.66666666667</c:v>
                </c:pt>
                <c:pt idx="61">
                  <c:v>3776118.6666666665</c:v>
                </c:pt>
                <c:pt idx="62">
                  <c:v>178802</c:v>
                </c:pt>
                <c:pt idx="63">
                  <c:v>89933.333333333328</c:v>
                </c:pt>
                <c:pt idx="64">
                  <c:v>32366.666666666668</c:v>
                </c:pt>
                <c:pt idx="65">
                  <c:v>9805498.666666666</c:v>
                </c:pt>
                <c:pt idx="66">
                  <c:v>24472</c:v>
                </c:pt>
                <c:pt idx="67">
                  <c:v>11989.333333333334</c:v>
                </c:pt>
                <c:pt idx="68">
                  <c:v>85347</c:v>
                </c:pt>
                <c:pt idx="69">
                  <c:v>101557.33333333333</c:v>
                </c:pt>
                <c:pt idx="70">
                  <c:v>322156</c:v>
                </c:pt>
                <c:pt idx="71">
                  <c:v>19130</c:v>
                </c:pt>
                <c:pt idx="72">
                  <c:v>36064</c:v>
                </c:pt>
                <c:pt idx="73">
                  <c:v>4548</c:v>
                </c:pt>
                <c:pt idx="74">
                  <c:v>3072</c:v>
                </c:pt>
                <c:pt idx="75">
                  <c:v>24576</c:v>
                </c:pt>
                <c:pt idx="76">
                  <c:v>213698.66666666666</c:v>
                </c:pt>
                <c:pt idx="77">
                  <c:v>2185224</c:v>
                </c:pt>
                <c:pt idx="78">
                  <c:v>31265.333333333332</c:v>
                </c:pt>
                <c:pt idx="79">
                  <c:v>1024</c:v>
                </c:pt>
                <c:pt idx="80">
                  <c:v>504657.33333333331</c:v>
                </c:pt>
                <c:pt idx="81">
                  <c:v>3544</c:v>
                </c:pt>
                <c:pt idx="82">
                  <c:v>8192</c:v>
                </c:pt>
                <c:pt idx="83">
                  <c:v>34838</c:v>
                </c:pt>
                <c:pt idx="84">
                  <c:v>915456</c:v>
                </c:pt>
                <c:pt idx="85">
                  <c:v>7576</c:v>
                </c:pt>
                <c:pt idx="86">
                  <c:v>73064</c:v>
                </c:pt>
                <c:pt idx="87">
                  <c:v>953.33333333333337</c:v>
                </c:pt>
                <c:pt idx="88">
                  <c:v>249761.33333333334</c:v>
                </c:pt>
                <c:pt idx="89">
                  <c:v>8553.3333333333339</c:v>
                </c:pt>
                <c:pt idx="90">
                  <c:v>30032</c:v>
                </c:pt>
                <c:pt idx="91">
                  <c:v>330368</c:v>
                </c:pt>
                <c:pt idx="92">
                  <c:v>68510.666666666672</c:v>
                </c:pt>
                <c:pt idx="93">
                  <c:v>15497.333333333334</c:v>
                </c:pt>
                <c:pt idx="94">
                  <c:v>181263</c:v>
                </c:pt>
                <c:pt idx="95">
                  <c:v>1937.3333333333333</c:v>
                </c:pt>
                <c:pt idx="96">
                  <c:v>12422.666666666666</c:v>
                </c:pt>
                <c:pt idx="97">
                  <c:v>48737.333333333336</c:v>
                </c:pt>
                <c:pt idx="98">
                  <c:v>301964</c:v>
                </c:pt>
                <c:pt idx="99">
                  <c:v>91962.666666666672</c:v>
                </c:pt>
                <c:pt idx="100">
                  <c:v>1408</c:v>
                </c:pt>
                <c:pt idx="101">
                  <c:v>2243538.6666666665</c:v>
                </c:pt>
                <c:pt idx="102">
                  <c:v>19149</c:v>
                </c:pt>
                <c:pt idx="103">
                  <c:v>33680</c:v>
                </c:pt>
                <c:pt idx="104">
                  <c:v>88293</c:v>
                </c:pt>
                <c:pt idx="105">
                  <c:v>828461.33333333337</c:v>
                </c:pt>
                <c:pt idx="106">
                  <c:v>215846.66666666666</c:v>
                </c:pt>
                <c:pt idx="107">
                  <c:v>3072</c:v>
                </c:pt>
                <c:pt idx="108">
                  <c:v>82375</c:v>
                </c:pt>
                <c:pt idx="109">
                  <c:v>173344</c:v>
                </c:pt>
                <c:pt idx="110">
                  <c:v>721276</c:v>
                </c:pt>
                <c:pt idx="111">
                  <c:v>939801.33333333337</c:v>
                </c:pt>
                <c:pt idx="112">
                  <c:v>4768</c:v>
                </c:pt>
                <c:pt idx="113">
                  <c:v>8932</c:v>
                </c:pt>
                <c:pt idx="114">
                  <c:v>510889.33333333331</c:v>
                </c:pt>
                <c:pt idx="115">
                  <c:v>3668836</c:v>
                </c:pt>
                <c:pt idx="116">
                  <c:v>86474.666666666672</c:v>
                </c:pt>
                <c:pt idx="117">
                  <c:v>31465.333333333332</c:v>
                </c:pt>
                <c:pt idx="118">
                  <c:v>3602.6666666666665</c:v>
                </c:pt>
                <c:pt idx="119">
                  <c:v>1926150.6666666667</c:v>
                </c:pt>
                <c:pt idx="120">
                  <c:v>34928</c:v>
                </c:pt>
                <c:pt idx="121">
                  <c:v>335345.33333333331</c:v>
                </c:pt>
                <c:pt idx="122">
                  <c:v>19485.333333333332</c:v>
                </c:pt>
                <c:pt idx="123">
                  <c:v>8620</c:v>
                </c:pt>
                <c:pt idx="124">
                  <c:v>208205.33333333334</c:v>
                </c:pt>
                <c:pt idx="125">
                  <c:v>49461.333333333336</c:v>
                </c:pt>
                <c:pt idx="126">
                  <c:v>488910.66666666669</c:v>
                </c:pt>
                <c:pt idx="127">
                  <c:v>2280208</c:v>
                </c:pt>
                <c:pt idx="128">
                  <c:v>3398</c:v>
                </c:pt>
                <c:pt idx="129">
                  <c:v>93434.666666666672</c:v>
                </c:pt>
                <c:pt idx="130">
                  <c:v>19290</c:v>
                </c:pt>
                <c:pt idx="131">
                  <c:v>9805905.333333334</c:v>
                </c:pt>
                <c:pt idx="132">
                  <c:v>90534</c:v>
                </c:pt>
                <c:pt idx="133">
                  <c:v>216682.66666666666</c:v>
                </c:pt>
                <c:pt idx="134">
                  <c:v>951836</c:v>
                </c:pt>
                <c:pt idx="135">
                  <c:v>161638.66666666666</c:v>
                </c:pt>
                <c:pt idx="136">
                  <c:v>322162.66666666669</c:v>
                </c:pt>
                <c:pt idx="137">
                  <c:v>9150</c:v>
                </c:pt>
                <c:pt idx="138">
                  <c:v>2184828</c:v>
                </c:pt>
                <c:pt idx="139">
                  <c:v>913132</c:v>
                </c:pt>
                <c:pt idx="140">
                  <c:v>338104</c:v>
                </c:pt>
                <c:pt idx="141">
                  <c:v>19505.333333333332</c:v>
                </c:pt>
                <c:pt idx="142">
                  <c:v>7580</c:v>
                </c:pt>
                <c:pt idx="143">
                  <c:v>49661.333333333336</c:v>
                </c:pt>
                <c:pt idx="144">
                  <c:v>163284</c:v>
                </c:pt>
                <c:pt idx="145">
                  <c:v>958536</c:v>
                </c:pt>
                <c:pt idx="146">
                  <c:v>165002.66666666666</c:v>
                </c:pt>
                <c:pt idx="147">
                  <c:v>56110.666666666664</c:v>
                </c:pt>
                <c:pt idx="148">
                  <c:v>56325.333333333336</c:v>
                </c:pt>
                <c:pt idx="149">
                  <c:v>15781.333333333334</c:v>
                </c:pt>
              </c:numCache>
            </c:numRef>
          </c:xVal>
          <c:yVal>
            <c:numRef>
              <c:f>X!$M$2:$M$151</c:f>
              <c:numCache>
                <c:formatCode>General</c:formatCode>
                <c:ptCount val="150"/>
                <c:pt idx="0">
                  <c:v>6.6018726205376197</c:v>
                </c:pt>
                <c:pt idx="1">
                  <c:v>6.0013574702704711</c:v>
                </c:pt>
                <c:pt idx="2">
                  <c:v>6.9645128289256331</c:v>
                </c:pt>
                <c:pt idx="3">
                  <c:v>7.0827108080388586</c:v>
                </c:pt>
                <c:pt idx="4">
                  <c:v>4.9504329778667451</c:v>
                </c:pt>
                <c:pt idx="5">
                  <c:v>6.2106878578872982</c:v>
                </c:pt>
                <c:pt idx="6">
                  <c:v>7.4916516255545549</c:v>
                </c:pt>
                <c:pt idx="7">
                  <c:v>6.7580102198719096</c:v>
                </c:pt>
                <c:pt idx="8">
                  <c:v>6.7385610502455959</c:v>
                </c:pt>
                <c:pt idx="9">
                  <c:v>6.8504183808630525</c:v>
                </c:pt>
                <c:pt idx="10">
                  <c:v>6.6761181790299418</c:v>
                </c:pt>
                <c:pt idx="11">
                  <c:v>6.808521625248046</c:v>
                </c:pt>
                <c:pt idx="12">
                  <c:v>6.7563061015938874</c:v>
                </c:pt>
                <c:pt idx="13">
                  <c:v>6.7265992322369392</c:v>
                </c:pt>
                <c:pt idx="14">
                  <c:v>6.9835099227083557</c:v>
                </c:pt>
                <c:pt idx="15">
                  <c:v>6.7141290865077776</c:v>
                </c:pt>
                <c:pt idx="16">
                  <c:v>7.1375484558526949</c:v>
                </c:pt>
                <c:pt idx="17">
                  <c:v>6.8040649649880924</c:v>
                </c:pt>
                <c:pt idx="18">
                  <c:v>7.2902441986525996</c:v>
                </c:pt>
                <c:pt idx="19">
                  <c:v>7.2037511670347705</c:v>
                </c:pt>
                <c:pt idx="20">
                  <c:v>6.7908881640795062</c:v>
                </c:pt>
                <c:pt idx="21">
                  <c:v>6.9412555219690759</c:v>
                </c:pt>
                <c:pt idx="22">
                  <c:v>7.26273284671041</c:v>
                </c:pt>
                <c:pt idx="23">
                  <c:v>6.9204747019857846</c:v>
                </c:pt>
                <c:pt idx="24">
                  <c:v>7.8123542766633944</c:v>
                </c:pt>
                <c:pt idx="25">
                  <c:v>7.2976827970756322</c:v>
                </c:pt>
                <c:pt idx="26">
                  <c:v>7.9507218406247953</c:v>
                </c:pt>
                <c:pt idx="27">
                  <c:v>7.2793222090981686</c:v>
                </c:pt>
                <c:pt idx="28">
                  <c:v>6.8610167101396771</c:v>
                </c:pt>
                <c:pt idx="29">
                  <c:v>7.221957050062108</c:v>
                </c:pt>
                <c:pt idx="30">
                  <c:v>6.7319451176648988</c:v>
                </c:pt>
                <c:pt idx="31">
                  <c:v>6.8970776194484849</c:v>
                </c:pt>
                <c:pt idx="32">
                  <c:v>7.3007352146536588</c:v>
                </c:pt>
                <c:pt idx="33">
                  <c:v>6.9207461740329306</c:v>
                </c:pt>
                <c:pt idx="34">
                  <c:v>6.8892380080901532</c:v>
                </c:pt>
                <c:pt idx="35">
                  <c:v>6.8320805588194409</c:v>
                </c:pt>
                <c:pt idx="36">
                  <c:v>6.754700722777625</c:v>
                </c:pt>
                <c:pt idx="37">
                  <c:v>7.0038363594891937</c:v>
                </c:pt>
                <c:pt idx="38">
                  <c:v>6.7953277117021065</c:v>
                </c:pt>
                <c:pt idx="39">
                  <c:v>7.2322782409519881</c:v>
                </c:pt>
                <c:pt idx="40">
                  <c:v>6.929270692367993</c:v>
                </c:pt>
                <c:pt idx="41">
                  <c:v>6.9175408105489966</c:v>
                </c:pt>
                <c:pt idx="42">
                  <c:v>7.3642522785884843</c:v>
                </c:pt>
                <c:pt idx="43">
                  <c:v>7.3390022182812924</c:v>
                </c:pt>
                <c:pt idx="44">
                  <c:v>7.6007946034441893</c:v>
                </c:pt>
                <c:pt idx="45">
                  <c:v>7.4453124761020701</c:v>
                </c:pt>
                <c:pt idx="46">
                  <c:v>5.6221500680955092</c:v>
                </c:pt>
                <c:pt idx="47">
                  <c:v>6.1671504285339678</c:v>
                </c:pt>
                <c:pt idx="48">
                  <c:v>7.6578655295097242</c:v>
                </c:pt>
                <c:pt idx="49">
                  <c:v>6.812073829564838</c:v>
                </c:pt>
                <c:pt idx="50">
                  <c:v>7.2760335373867981</c:v>
                </c:pt>
                <c:pt idx="51">
                  <c:v>6.964357122613559</c:v>
                </c:pt>
                <c:pt idx="52">
                  <c:v>7.4908815615286644</c:v>
                </c:pt>
                <c:pt idx="53">
                  <c:v>7.3614083567297239</c:v>
                </c:pt>
                <c:pt idx="54">
                  <c:v>7.326598942207716</c:v>
                </c:pt>
                <c:pt idx="55">
                  <c:v>7.3546520824712571</c:v>
                </c:pt>
                <c:pt idx="56">
                  <c:v>5.4992621633717995</c:v>
                </c:pt>
                <c:pt idx="57">
                  <c:v>7.689222431896936</c:v>
                </c:pt>
                <c:pt idx="58">
                  <c:v>6.832978345891231</c:v>
                </c:pt>
                <c:pt idx="59">
                  <c:v>7.7201998336194029</c:v>
                </c:pt>
                <c:pt idx="60">
                  <c:v>6.995456625167952</c:v>
                </c:pt>
                <c:pt idx="61">
                  <c:v>7.3363665315476849</c:v>
                </c:pt>
                <c:pt idx="62">
                  <c:v>7.3424380734190624</c:v>
                </c:pt>
                <c:pt idx="63">
                  <c:v>7.2750593521198779</c:v>
                </c:pt>
                <c:pt idx="64">
                  <c:v>6.8837964156858114</c:v>
                </c:pt>
                <c:pt idx="65">
                  <c:v>6.8510695368713836</c:v>
                </c:pt>
                <c:pt idx="66">
                  <c:v>6.4314462173703113</c:v>
                </c:pt>
                <c:pt idx="67">
                  <c:v>5.87034299770899</c:v>
                </c:pt>
                <c:pt idx="68">
                  <c:v>7.3721385068440854</c:v>
                </c:pt>
                <c:pt idx="69">
                  <c:v>7.1068511329481971</c:v>
                </c:pt>
                <c:pt idx="70">
                  <c:v>6.7340236148740367</c:v>
                </c:pt>
                <c:pt idx="71">
                  <c:v>7.2484026853723531</c:v>
                </c:pt>
                <c:pt idx="72">
                  <c:v>7.6610092679347224</c:v>
                </c:pt>
                <c:pt idx="73">
                  <c:v>7.5800874393370163</c:v>
                </c:pt>
                <c:pt idx="74">
                  <c:v>7.5439225663538991</c:v>
                </c:pt>
                <c:pt idx="75">
                  <c:v>7.6567080748960743</c:v>
                </c:pt>
                <c:pt idx="76">
                  <c:v>7.3636166191531665</c:v>
                </c:pt>
                <c:pt idx="77">
                  <c:v>6.8050138923227923</c:v>
                </c:pt>
                <c:pt idx="78">
                  <c:v>7.7151331472064344</c:v>
                </c:pt>
                <c:pt idx="79">
                  <c:v>7.7801097036766622</c:v>
                </c:pt>
                <c:pt idx="80">
                  <c:v>7.3460005968613151</c:v>
                </c:pt>
                <c:pt idx="81">
                  <c:v>7.5522430394926623</c:v>
                </c:pt>
                <c:pt idx="82">
                  <c:v>8.0911394184830421</c:v>
                </c:pt>
                <c:pt idx="83">
                  <c:v>7.6923511098439423</c:v>
                </c:pt>
                <c:pt idx="84">
                  <c:v>6.7511949931598361</c:v>
                </c:pt>
                <c:pt idx="85">
                  <c:v>8.0112837314739433</c:v>
                </c:pt>
                <c:pt idx="86">
                  <c:v>7.7769753796907501</c:v>
                </c:pt>
                <c:pt idx="87">
                  <c:v>7.9258800984553108</c:v>
                </c:pt>
                <c:pt idx="88">
                  <c:v>7.1463131919219549</c:v>
                </c:pt>
                <c:pt idx="89">
                  <c:v>7.6500068213819405</c:v>
                </c:pt>
                <c:pt idx="90">
                  <c:v>6.6919723080840443</c:v>
                </c:pt>
                <c:pt idx="91">
                  <c:v>7.241879518352885</c:v>
                </c:pt>
                <c:pt idx="92">
                  <c:v>7.0216486364624773</c:v>
                </c:pt>
                <c:pt idx="93">
                  <c:v>8.1536440553817311</c:v>
                </c:pt>
                <c:pt idx="94">
                  <c:v>7.7793202782585533</c:v>
                </c:pt>
                <c:pt idx="95">
                  <c:v>7.8382432534462962</c:v>
                </c:pt>
                <c:pt idx="96">
                  <c:v>8.0713819383783356</c:v>
                </c:pt>
                <c:pt idx="97">
                  <c:v>7.2663413526008886</c:v>
                </c:pt>
                <c:pt idx="98">
                  <c:v>7.1176502996320998</c:v>
                </c:pt>
                <c:pt idx="99">
                  <c:v>7.7108508188073399</c:v>
                </c:pt>
                <c:pt idx="100">
                  <c:v>7.9939458773857535</c:v>
                </c:pt>
                <c:pt idx="101">
                  <c:v>7.3119840170564281</c:v>
                </c:pt>
                <c:pt idx="102">
                  <c:v>7.728042895670586</c:v>
                </c:pt>
                <c:pt idx="103">
                  <c:v>6.6428829117493731</c:v>
                </c:pt>
                <c:pt idx="104">
                  <c:v>7.749616276198962</c:v>
                </c:pt>
                <c:pt idx="105">
                  <c:v>7.1299708516039866</c:v>
                </c:pt>
                <c:pt idx="106">
                  <c:v>7.7297295110852353</c:v>
                </c:pt>
                <c:pt idx="107">
                  <c:v>7.9107231067130188</c:v>
                </c:pt>
                <c:pt idx="108">
                  <c:v>7.3155844388740503</c:v>
                </c:pt>
                <c:pt idx="109">
                  <c:v>7.1140664903105453</c:v>
                </c:pt>
                <c:pt idx="110">
                  <c:v>7.1416085103506957</c:v>
                </c:pt>
                <c:pt idx="111">
                  <c:v>7.2971265023876306</c:v>
                </c:pt>
                <c:pt idx="112">
                  <c:v>7.9594258661467583</c:v>
                </c:pt>
                <c:pt idx="113">
                  <c:v>7.6146976683215497</c:v>
                </c:pt>
                <c:pt idx="114">
                  <c:v>7.7204673688923453</c:v>
                </c:pt>
                <c:pt idx="115">
                  <c:v>7.0553945100520288</c:v>
                </c:pt>
                <c:pt idx="116">
                  <c:v>6.9830352506499134</c:v>
                </c:pt>
                <c:pt idx="117">
                  <c:v>8.1796357891523996</c:v>
                </c:pt>
                <c:pt idx="118">
                  <c:v>7.9110095119494668</c:v>
                </c:pt>
                <c:pt idx="119">
                  <c:v>7.1806614167794161</c:v>
                </c:pt>
                <c:pt idx="120">
                  <c:v>8.0840324986635839</c:v>
                </c:pt>
                <c:pt idx="121">
                  <c:v>7.6683420863834906</c:v>
                </c:pt>
                <c:pt idx="122">
                  <c:v>7.6154090971948705</c:v>
                </c:pt>
                <c:pt idx="123">
                  <c:v>7.9780971730290897</c:v>
                </c:pt>
                <c:pt idx="124">
                  <c:v>7.2462613534173324</c:v>
                </c:pt>
                <c:pt idx="125">
                  <c:v>7.6846955783657158</c:v>
                </c:pt>
                <c:pt idx="126">
                  <c:v>7.1023723999401254</c:v>
                </c:pt>
                <c:pt idx="127">
                  <c:v>7.6917067189926369</c:v>
                </c:pt>
                <c:pt idx="128">
                  <c:v>8.0952341666432091</c:v>
                </c:pt>
                <c:pt idx="129">
                  <c:v>8.052806061938373</c:v>
                </c:pt>
                <c:pt idx="130">
                  <c:v>7.9671155654164636</c:v>
                </c:pt>
                <c:pt idx="131">
                  <c:v>7.047551191584712</c:v>
                </c:pt>
                <c:pt idx="132">
                  <c:v>8.1620074191791439</c:v>
                </c:pt>
                <c:pt idx="133">
                  <c:v>8.1632613327592853</c:v>
                </c:pt>
                <c:pt idx="134">
                  <c:v>7.6836806018897956</c:v>
                </c:pt>
                <c:pt idx="135">
                  <c:v>7.2480987574606717</c:v>
                </c:pt>
                <c:pt idx="136">
                  <c:v>7.006623056933476</c:v>
                </c:pt>
                <c:pt idx="137">
                  <c:v>7.9147045300636121</c:v>
                </c:pt>
                <c:pt idx="138">
                  <c:v>7.0575423572595115</c:v>
                </c:pt>
                <c:pt idx="139">
                  <c:v>7.2636681345825798</c:v>
                </c:pt>
                <c:pt idx="140">
                  <c:v>8.0006160990081803</c:v>
                </c:pt>
                <c:pt idx="141">
                  <c:v>7.9148152285473587</c:v>
                </c:pt>
                <c:pt idx="142">
                  <c:v>8.0379631583012028</c:v>
                </c:pt>
                <c:pt idx="143">
                  <c:v>8.0025537060954974</c:v>
                </c:pt>
                <c:pt idx="144">
                  <c:v>7.6243777102479386</c:v>
                </c:pt>
                <c:pt idx="145">
                  <c:v>8.1215957936815961</c:v>
                </c:pt>
                <c:pt idx="146">
                  <c:v>7.9576981049188449</c:v>
                </c:pt>
                <c:pt idx="147">
                  <c:v>7.5935084820080192</c:v>
                </c:pt>
                <c:pt idx="148">
                  <c:v>7.8506953577317944</c:v>
                </c:pt>
                <c:pt idx="149">
                  <c:v>7.7791010294434288</c:v>
                </c:pt>
              </c:numCache>
            </c:numRef>
          </c:yVal>
          <c:smooth val="0"/>
          <c:extLst>
            <c:ext xmlns:c16="http://schemas.microsoft.com/office/drawing/2014/chart" uri="{C3380CC4-5D6E-409C-BE32-E72D297353CC}">
              <c16:uniqueId val="{00000003-AA7E-4B0A-B7DE-DEE1955B8B65}"/>
            </c:ext>
          </c:extLst>
        </c:ser>
        <c:ser>
          <c:idx val="2"/>
          <c:order val="2"/>
          <c:tx>
            <c:v>X others</c:v>
          </c:tx>
          <c:spPr>
            <a:ln w="25400" cap="rnd">
              <a:noFill/>
              <a:round/>
            </a:ln>
            <a:effectLst/>
          </c:spPr>
          <c:marker>
            <c:symbol val="x"/>
            <c:size val="3"/>
            <c:spPr>
              <a:noFill/>
              <a:ln w="9525">
                <a:solidFill>
                  <a:schemeClr val="accent3"/>
                </a:solidFill>
              </a:ln>
              <a:effectLst/>
            </c:spPr>
          </c:marker>
          <c:xVal>
            <c:numRef>
              <c:f>X!$G$2:$G$151</c:f>
              <c:numCache>
                <c:formatCode>General</c:formatCode>
                <c:ptCount val="150"/>
                <c:pt idx="0">
                  <c:v>16400</c:v>
                </c:pt>
                <c:pt idx="1">
                  <c:v>2052</c:v>
                </c:pt>
                <c:pt idx="2">
                  <c:v>2048</c:v>
                </c:pt>
                <c:pt idx="3">
                  <c:v>16384</c:v>
                </c:pt>
                <c:pt idx="4">
                  <c:v>2049.3333333333335</c:v>
                </c:pt>
                <c:pt idx="5">
                  <c:v>6705.333333333333</c:v>
                </c:pt>
                <c:pt idx="6">
                  <c:v>2048</c:v>
                </c:pt>
                <c:pt idx="7">
                  <c:v>55018.666666666664</c:v>
                </c:pt>
                <c:pt idx="8">
                  <c:v>8192</c:v>
                </c:pt>
                <c:pt idx="9">
                  <c:v>65536</c:v>
                </c:pt>
                <c:pt idx="10">
                  <c:v>16398.666666666668</c:v>
                </c:pt>
                <c:pt idx="11">
                  <c:v>115997.33333333333</c:v>
                </c:pt>
                <c:pt idx="12">
                  <c:v>14538.666666666666</c:v>
                </c:pt>
                <c:pt idx="13">
                  <c:v>11972</c:v>
                </c:pt>
                <c:pt idx="14">
                  <c:v>101365.33333333333</c:v>
                </c:pt>
                <c:pt idx="15">
                  <c:v>32648</c:v>
                </c:pt>
                <c:pt idx="16">
                  <c:v>8192</c:v>
                </c:pt>
                <c:pt idx="17">
                  <c:v>24481.333333333332</c:v>
                </c:pt>
                <c:pt idx="18">
                  <c:v>59337.333333333336</c:v>
                </c:pt>
                <c:pt idx="19">
                  <c:v>7340</c:v>
                </c:pt>
                <c:pt idx="20">
                  <c:v>30177.333333333332</c:v>
                </c:pt>
                <c:pt idx="21">
                  <c:v>250256</c:v>
                </c:pt>
                <c:pt idx="22">
                  <c:v>15148</c:v>
                </c:pt>
                <c:pt idx="23">
                  <c:v>301846</c:v>
                </c:pt>
                <c:pt idx="24">
                  <c:v>256</c:v>
                </c:pt>
                <c:pt idx="25">
                  <c:v>103234.66666666667</c:v>
                </c:pt>
                <c:pt idx="26">
                  <c:v>2048</c:v>
                </c:pt>
                <c:pt idx="27">
                  <c:v>12292</c:v>
                </c:pt>
                <c:pt idx="28">
                  <c:v>68812</c:v>
                </c:pt>
                <c:pt idx="29">
                  <c:v>4174.666666666667</c:v>
                </c:pt>
                <c:pt idx="30">
                  <c:v>33692</c:v>
                </c:pt>
                <c:pt idx="31">
                  <c:v>829028</c:v>
                </c:pt>
                <c:pt idx="32">
                  <c:v>34145.333333333336</c:v>
                </c:pt>
                <c:pt idx="33">
                  <c:v>721759</c:v>
                </c:pt>
                <c:pt idx="34">
                  <c:v>173785</c:v>
                </c:pt>
                <c:pt idx="35">
                  <c:v>3670533.3333333335</c:v>
                </c:pt>
                <c:pt idx="36">
                  <c:v>86525.333333333328</c:v>
                </c:pt>
                <c:pt idx="37">
                  <c:v>3072</c:v>
                </c:pt>
                <c:pt idx="38">
                  <c:v>81979</c:v>
                </c:pt>
                <c:pt idx="39">
                  <c:v>24568</c:v>
                </c:pt>
                <c:pt idx="40">
                  <c:v>65536</c:v>
                </c:pt>
                <c:pt idx="41">
                  <c:v>1928665.3333333333</c:v>
                </c:pt>
                <c:pt idx="42">
                  <c:v>30738.666666666668</c:v>
                </c:pt>
                <c:pt idx="43">
                  <c:v>310499</c:v>
                </c:pt>
                <c:pt idx="44">
                  <c:v>8192</c:v>
                </c:pt>
                <c:pt idx="45">
                  <c:v>1024</c:v>
                </c:pt>
                <c:pt idx="46">
                  <c:v>8192</c:v>
                </c:pt>
                <c:pt idx="47">
                  <c:v>14613.333333333334</c:v>
                </c:pt>
                <c:pt idx="48">
                  <c:v>7661.333333333333</c:v>
                </c:pt>
                <c:pt idx="49">
                  <c:v>208597.33333333334</c:v>
                </c:pt>
                <c:pt idx="50">
                  <c:v>34586</c:v>
                </c:pt>
                <c:pt idx="51">
                  <c:v>54798.666666666664</c:v>
                </c:pt>
                <c:pt idx="52">
                  <c:v>1869.3333333333333</c:v>
                </c:pt>
                <c:pt idx="53">
                  <c:v>864037.33333333337</c:v>
                </c:pt>
                <c:pt idx="54">
                  <c:v>71026.666666666672</c:v>
                </c:pt>
                <c:pt idx="55">
                  <c:v>8340</c:v>
                </c:pt>
                <c:pt idx="56">
                  <c:v>6825.333333333333</c:v>
                </c:pt>
                <c:pt idx="57">
                  <c:v>15528</c:v>
                </c:pt>
                <c:pt idx="58">
                  <c:v>489020</c:v>
                </c:pt>
                <c:pt idx="59">
                  <c:v>12394.666666666666</c:v>
                </c:pt>
                <c:pt idx="60">
                  <c:v>115966.66666666667</c:v>
                </c:pt>
                <c:pt idx="61">
                  <c:v>3776118.6666666665</c:v>
                </c:pt>
                <c:pt idx="62">
                  <c:v>178802</c:v>
                </c:pt>
                <c:pt idx="63">
                  <c:v>89933.333333333328</c:v>
                </c:pt>
                <c:pt idx="64">
                  <c:v>32366.666666666668</c:v>
                </c:pt>
                <c:pt idx="65">
                  <c:v>9805498.666666666</c:v>
                </c:pt>
                <c:pt idx="66">
                  <c:v>24472</c:v>
                </c:pt>
                <c:pt idx="67">
                  <c:v>11989.333333333334</c:v>
                </c:pt>
                <c:pt idx="68">
                  <c:v>85347</c:v>
                </c:pt>
                <c:pt idx="69">
                  <c:v>101557.33333333333</c:v>
                </c:pt>
                <c:pt idx="70">
                  <c:v>322156</c:v>
                </c:pt>
                <c:pt idx="71">
                  <c:v>19130</c:v>
                </c:pt>
                <c:pt idx="72">
                  <c:v>36064</c:v>
                </c:pt>
                <c:pt idx="73">
                  <c:v>4548</c:v>
                </c:pt>
                <c:pt idx="74">
                  <c:v>3072</c:v>
                </c:pt>
                <c:pt idx="75">
                  <c:v>24576</c:v>
                </c:pt>
                <c:pt idx="76">
                  <c:v>213698.66666666666</c:v>
                </c:pt>
                <c:pt idx="77">
                  <c:v>2185224</c:v>
                </c:pt>
                <c:pt idx="78">
                  <c:v>31265.333333333332</c:v>
                </c:pt>
                <c:pt idx="79">
                  <c:v>1024</c:v>
                </c:pt>
                <c:pt idx="80">
                  <c:v>504657.33333333331</c:v>
                </c:pt>
                <c:pt idx="81">
                  <c:v>3544</c:v>
                </c:pt>
                <c:pt idx="82">
                  <c:v>8192</c:v>
                </c:pt>
                <c:pt idx="83">
                  <c:v>34838</c:v>
                </c:pt>
                <c:pt idx="84">
                  <c:v>915456</c:v>
                </c:pt>
                <c:pt idx="85">
                  <c:v>7576</c:v>
                </c:pt>
                <c:pt idx="86">
                  <c:v>73064</c:v>
                </c:pt>
                <c:pt idx="87">
                  <c:v>953.33333333333337</c:v>
                </c:pt>
                <c:pt idx="88">
                  <c:v>249761.33333333334</c:v>
                </c:pt>
                <c:pt idx="89">
                  <c:v>8553.3333333333339</c:v>
                </c:pt>
                <c:pt idx="90">
                  <c:v>30032</c:v>
                </c:pt>
                <c:pt idx="91">
                  <c:v>330368</c:v>
                </c:pt>
                <c:pt idx="92">
                  <c:v>68510.666666666672</c:v>
                </c:pt>
                <c:pt idx="93">
                  <c:v>15497.333333333334</c:v>
                </c:pt>
                <c:pt idx="94">
                  <c:v>181263</c:v>
                </c:pt>
                <c:pt idx="95">
                  <c:v>1937.3333333333333</c:v>
                </c:pt>
                <c:pt idx="96">
                  <c:v>12422.666666666666</c:v>
                </c:pt>
                <c:pt idx="97">
                  <c:v>48737.333333333336</c:v>
                </c:pt>
                <c:pt idx="98">
                  <c:v>301964</c:v>
                </c:pt>
                <c:pt idx="99">
                  <c:v>91962.666666666672</c:v>
                </c:pt>
                <c:pt idx="100">
                  <c:v>1408</c:v>
                </c:pt>
                <c:pt idx="101">
                  <c:v>2243538.6666666665</c:v>
                </c:pt>
                <c:pt idx="102">
                  <c:v>19149</c:v>
                </c:pt>
                <c:pt idx="103">
                  <c:v>33680</c:v>
                </c:pt>
                <c:pt idx="104">
                  <c:v>88293</c:v>
                </c:pt>
                <c:pt idx="105">
                  <c:v>828461.33333333337</c:v>
                </c:pt>
                <c:pt idx="106">
                  <c:v>215846.66666666666</c:v>
                </c:pt>
                <c:pt idx="107">
                  <c:v>3072</c:v>
                </c:pt>
                <c:pt idx="108">
                  <c:v>82375</c:v>
                </c:pt>
                <c:pt idx="109">
                  <c:v>173344</c:v>
                </c:pt>
                <c:pt idx="110">
                  <c:v>721276</c:v>
                </c:pt>
                <c:pt idx="111">
                  <c:v>939801.33333333337</c:v>
                </c:pt>
                <c:pt idx="112">
                  <c:v>4768</c:v>
                </c:pt>
                <c:pt idx="113">
                  <c:v>8932</c:v>
                </c:pt>
                <c:pt idx="114">
                  <c:v>510889.33333333331</c:v>
                </c:pt>
                <c:pt idx="115">
                  <c:v>3668836</c:v>
                </c:pt>
                <c:pt idx="116">
                  <c:v>86474.666666666672</c:v>
                </c:pt>
                <c:pt idx="117">
                  <c:v>31465.333333333332</c:v>
                </c:pt>
                <c:pt idx="118">
                  <c:v>3602.6666666666665</c:v>
                </c:pt>
                <c:pt idx="119">
                  <c:v>1926150.6666666667</c:v>
                </c:pt>
                <c:pt idx="120">
                  <c:v>34928</c:v>
                </c:pt>
                <c:pt idx="121">
                  <c:v>335345.33333333331</c:v>
                </c:pt>
                <c:pt idx="122">
                  <c:v>19485.333333333332</c:v>
                </c:pt>
                <c:pt idx="123">
                  <c:v>8620</c:v>
                </c:pt>
                <c:pt idx="124">
                  <c:v>208205.33333333334</c:v>
                </c:pt>
                <c:pt idx="125">
                  <c:v>49461.333333333336</c:v>
                </c:pt>
                <c:pt idx="126">
                  <c:v>488910.66666666669</c:v>
                </c:pt>
                <c:pt idx="127">
                  <c:v>2280208</c:v>
                </c:pt>
                <c:pt idx="128">
                  <c:v>3398</c:v>
                </c:pt>
                <c:pt idx="129">
                  <c:v>93434.666666666672</c:v>
                </c:pt>
                <c:pt idx="130">
                  <c:v>19290</c:v>
                </c:pt>
                <c:pt idx="131">
                  <c:v>9805905.333333334</c:v>
                </c:pt>
                <c:pt idx="132">
                  <c:v>90534</c:v>
                </c:pt>
                <c:pt idx="133">
                  <c:v>216682.66666666666</c:v>
                </c:pt>
                <c:pt idx="134">
                  <c:v>951836</c:v>
                </c:pt>
                <c:pt idx="135">
                  <c:v>161638.66666666666</c:v>
                </c:pt>
                <c:pt idx="136">
                  <c:v>322162.66666666669</c:v>
                </c:pt>
                <c:pt idx="137">
                  <c:v>9150</c:v>
                </c:pt>
                <c:pt idx="138">
                  <c:v>2184828</c:v>
                </c:pt>
                <c:pt idx="139">
                  <c:v>913132</c:v>
                </c:pt>
                <c:pt idx="140">
                  <c:v>338104</c:v>
                </c:pt>
                <c:pt idx="141">
                  <c:v>19505.333333333332</c:v>
                </c:pt>
                <c:pt idx="142">
                  <c:v>7580</c:v>
                </c:pt>
                <c:pt idx="143">
                  <c:v>49661.333333333336</c:v>
                </c:pt>
                <c:pt idx="144">
                  <c:v>163284</c:v>
                </c:pt>
                <c:pt idx="145">
                  <c:v>958536</c:v>
                </c:pt>
                <c:pt idx="146">
                  <c:v>165002.66666666666</c:v>
                </c:pt>
                <c:pt idx="147">
                  <c:v>56110.666666666664</c:v>
                </c:pt>
                <c:pt idx="148">
                  <c:v>56325.333333333336</c:v>
                </c:pt>
                <c:pt idx="149">
                  <c:v>15781.333333333334</c:v>
                </c:pt>
              </c:numCache>
            </c:numRef>
          </c:xVal>
          <c:yVal>
            <c:numRef>
              <c:f>X!$P$2:$P$151</c:f>
              <c:numCache>
                <c:formatCode>General</c:formatCode>
                <c:ptCount val="150"/>
                <c:pt idx="0">
                  <c:v>13.304144454526543</c:v>
                </c:pt>
                <c:pt idx="1">
                  <c:v>13.502565671992119</c:v>
                </c:pt>
                <c:pt idx="2">
                  <c:v>15.478041601196693</c:v>
                </c:pt>
                <c:pt idx="3">
                  <c:v>9.9231163886782383</c:v>
                </c:pt>
                <c:pt idx="4">
                  <c:v>17.601191349118572</c:v>
                </c:pt>
                <c:pt idx="5">
                  <c:v>14.343863158320444</c:v>
                </c:pt>
                <c:pt idx="6">
                  <c:v>13.090285714285709</c:v>
                </c:pt>
                <c:pt idx="7">
                  <c:v>16.395846715481028</c:v>
                </c:pt>
                <c:pt idx="8">
                  <c:v>13.921045996546125</c:v>
                </c:pt>
                <c:pt idx="9">
                  <c:v>15.802338270898126</c:v>
                </c:pt>
                <c:pt idx="10">
                  <c:v>15.953999755122085</c:v>
                </c:pt>
                <c:pt idx="11">
                  <c:v>1.7991684189692756</c:v>
                </c:pt>
                <c:pt idx="12">
                  <c:v>2.1293397506051006</c:v>
                </c:pt>
                <c:pt idx="13">
                  <c:v>11.379104353218892</c:v>
                </c:pt>
                <c:pt idx="14">
                  <c:v>2.1384794540726029</c:v>
                </c:pt>
                <c:pt idx="15">
                  <c:v>2.488328069814159</c:v>
                </c:pt>
                <c:pt idx="16">
                  <c:v>3.093244152833992</c:v>
                </c:pt>
                <c:pt idx="17">
                  <c:v>0.78387712015568345</c:v>
                </c:pt>
                <c:pt idx="18">
                  <c:v>1.6916060296800948</c:v>
                </c:pt>
                <c:pt idx="19">
                  <c:v>3.6982596758236874</c:v>
                </c:pt>
                <c:pt idx="20">
                  <c:v>3.3240359456234825</c:v>
                </c:pt>
                <c:pt idx="21">
                  <c:v>2.4479284474593173</c:v>
                </c:pt>
                <c:pt idx="22">
                  <c:v>4.0030772265067318</c:v>
                </c:pt>
                <c:pt idx="23">
                  <c:v>3.0862322288121149</c:v>
                </c:pt>
                <c:pt idx="24">
                  <c:v>1.104891058597343</c:v>
                </c:pt>
                <c:pt idx="25">
                  <c:v>14.402306152996148</c:v>
                </c:pt>
                <c:pt idx="26">
                  <c:v>3.3811343462708154</c:v>
                </c:pt>
                <c:pt idx="27">
                  <c:v>5.2072956410954747</c:v>
                </c:pt>
                <c:pt idx="28">
                  <c:v>5.6086716041119375</c:v>
                </c:pt>
                <c:pt idx="29">
                  <c:v>9.0342659140694206</c:v>
                </c:pt>
                <c:pt idx="30">
                  <c:v>16.468526013456998</c:v>
                </c:pt>
                <c:pt idx="31">
                  <c:v>15.825785823097394</c:v>
                </c:pt>
                <c:pt idx="32">
                  <c:v>9.4034838463531578</c:v>
                </c:pt>
                <c:pt idx="33">
                  <c:v>14.073955771054562</c:v>
                </c:pt>
                <c:pt idx="34">
                  <c:v>15.010540963117766</c:v>
                </c:pt>
                <c:pt idx="35">
                  <c:v>2.9351905547335342</c:v>
                </c:pt>
                <c:pt idx="36">
                  <c:v>2.5201354014930475</c:v>
                </c:pt>
                <c:pt idx="37">
                  <c:v>10.897619125059254</c:v>
                </c:pt>
                <c:pt idx="38">
                  <c:v>4.420575551578783</c:v>
                </c:pt>
                <c:pt idx="39">
                  <c:v>3.7592309681246316</c:v>
                </c:pt>
                <c:pt idx="40">
                  <c:v>5.2226047166174459</c:v>
                </c:pt>
                <c:pt idx="41">
                  <c:v>4.6019633415177754</c:v>
                </c:pt>
                <c:pt idx="42">
                  <c:v>2.9053504772346055</c:v>
                </c:pt>
                <c:pt idx="43">
                  <c:v>4.103575239907145</c:v>
                </c:pt>
                <c:pt idx="44">
                  <c:v>5.0906988785421792</c:v>
                </c:pt>
                <c:pt idx="45">
                  <c:v>4.7869063420799201</c:v>
                </c:pt>
                <c:pt idx="46">
                  <c:v>4.8022899330330073</c:v>
                </c:pt>
                <c:pt idx="47">
                  <c:v>1.5163404608062949</c:v>
                </c:pt>
                <c:pt idx="48">
                  <c:v>3.501160230848408</c:v>
                </c:pt>
                <c:pt idx="49">
                  <c:v>5.7024555943945821</c:v>
                </c:pt>
                <c:pt idx="50">
                  <c:v>5.4847112059991758</c:v>
                </c:pt>
                <c:pt idx="51">
                  <c:v>4.4648953256427291</c:v>
                </c:pt>
                <c:pt idx="52">
                  <c:v>6.3757526361423817</c:v>
                </c:pt>
                <c:pt idx="53">
                  <c:v>4.7683468376621088</c:v>
                </c:pt>
                <c:pt idx="54">
                  <c:v>15.319349482629473</c:v>
                </c:pt>
                <c:pt idx="55">
                  <c:v>7.0676789489237208</c:v>
                </c:pt>
                <c:pt idx="56">
                  <c:v>5.6997793584358325</c:v>
                </c:pt>
                <c:pt idx="57">
                  <c:v>8.5526896105445456</c:v>
                </c:pt>
                <c:pt idx="58">
                  <c:v>9.5198486639438524</c:v>
                </c:pt>
                <c:pt idx="59">
                  <c:v>10.510602400327963</c:v>
                </c:pt>
                <c:pt idx="60">
                  <c:v>15.079158444875006</c:v>
                </c:pt>
                <c:pt idx="61">
                  <c:v>12.57095703116568</c:v>
                </c:pt>
                <c:pt idx="62">
                  <c:v>12.385709610759331</c:v>
                </c:pt>
                <c:pt idx="63">
                  <c:v>5.0370724774443261</c:v>
                </c:pt>
                <c:pt idx="64">
                  <c:v>7.0593698455986917</c:v>
                </c:pt>
                <c:pt idx="65">
                  <c:v>4.1926520460783401</c:v>
                </c:pt>
                <c:pt idx="66">
                  <c:v>6.3739876698288889</c:v>
                </c:pt>
                <c:pt idx="67">
                  <c:v>3.0316403019171343</c:v>
                </c:pt>
                <c:pt idx="68">
                  <c:v>5.247984989820325</c:v>
                </c:pt>
                <c:pt idx="69">
                  <c:v>6.8867755592812498</c:v>
                </c:pt>
                <c:pt idx="70">
                  <c:v>6.3168207248505031</c:v>
                </c:pt>
                <c:pt idx="71">
                  <c:v>3.7307646138797508</c:v>
                </c:pt>
                <c:pt idx="72">
                  <c:v>6.3406946366397001</c:v>
                </c:pt>
                <c:pt idx="73">
                  <c:v>8.0851413032148578</c:v>
                </c:pt>
                <c:pt idx="74">
                  <c:v>7.0014940419970282</c:v>
                </c:pt>
                <c:pt idx="75">
                  <c:v>8.1525949799775272</c:v>
                </c:pt>
                <c:pt idx="76">
                  <c:v>7.3247807176561981</c:v>
                </c:pt>
                <c:pt idx="77">
                  <c:v>2.7167331572757729</c:v>
                </c:pt>
                <c:pt idx="78">
                  <c:v>5.2951737805981969</c:v>
                </c:pt>
                <c:pt idx="79">
                  <c:v>8.0453524294312331</c:v>
                </c:pt>
                <c:pt idx="80">
                  <c:v>7.9443413639284817</c:v>
                </c:pt>
                <c:pt idx="81">
                  <c:v>6.2860006745048667</c:v>
                </c:pt>
                <c:pt idx="82">
                  <c:v>7.8556197894447015</c:v>
                </c:pt>
                <c:pt idx="83">
                  <c:v>7.0823929163230011</c:v>
                </c:pt>
                <c:pt idx="84">
                  <c:v>8.0464893797432104</c:v>
                </c:pt>
                <c:pt idx="85">
                  <c:v>10.035717148929423</c:v>
                </c:pt>
                <c:pt idx="86">
                  <c:v>8.0224558742725804</c:v>
                </c:pt>
                <c:pt idx="87">
                  <c:v>11.462974081185957</c:v>
                </c:pt>
                <c:pt idx="88">
                  <c:v>11.447526391280224</c:v>
                </c:pt>
                <c:pt idx="89">
                  <c:v>7.0937832982504867</c:v>
                </c:pt>
                <c:pt idx="90">
                  <c:v>10.256635592811477</c:v>
                </c:pt>
                <c:pt idx="91">
                  <c:v>8.1574670081262486</c:v>
                </c:pt>
                <c:pt idx="92">
                  <c:v>3.2359328062730204</c:v>
                </c:pt>
                <c:pt idx="93">
                  <c:v>8.244756968802287</c:v>
                </c:pt>
                <c:pt idx="94">
                  <c:v>9.3878271380449672</c:v>
                </c:pt>
                <c:pt idx="95">
                  <c:v>4.2083093133200373</c:v>
                </c:pt>
                <c:pt idx="96">
                  <c:v>8.1659190459302824</c:v>
                </c:pt>
                <c:pt idx="97">
                  <c:v>9.9311264365325016</c:v>
                </c:pt>
                <c:pt idx="98">
                  <c:v>11.588640736089088</c:v>
                </c:pt>
                <c:pt idx="99">
                  <c:v>9.3193194773217289</c:v>
                </c:pt>
                <c:pt idx="100">
                  <c:v>9.8567564653449615</c:v>
                </c:pt>
                <c:pt idx="101">
                  <c:v>9.299897689986393</c:v>
                </c:pt>
                <c:pt idx="102">
                  <c:v>4.2438623278726961</c:v>
                </c:pt>
                <c:pt idx="103">
                  <c:v>8.8582064580215913</c:v>
                </c:pt>
                <c:pt idx="104">
                  <c:v>11.505431448311123</c:v>
                </c:pt>
                <c:pt idx="105">
                  <c:v>9.8752777725489</c:v>
                </c:pt>
                <c:pt idx="106">
                  <c:v>8.9456633155279857</c:v>
                </c:pt>
                <c:pt idx="107">
                  <c:v>11.692492463570492</c:v>
                </c:pt>
                <c:pt idx="108">
                  <c:v>4.104532553388486</c:v>
                </c:pt>
                <c:pt idx="109">
                  <c:v>8.4307142721829305</c:v>
                </c:pt>
                <c:pt idx="110">
                  <c:v>9.838689857765436</c:v>
                </c:pt>
                <c:pt idx="111">
                  <c:v>9.2803284672199933</c:v>
                </c:pt>
                <c:pt idx="112">
                  <c:v>11.410178280683736</c:v>
                </c:pt>
                <c:pt idx="113">
                  <c:v>9.8986129623255383</c:v>
                </c:pt>
                <c:pt idx="114">
                  <c:v>4.7335071652627319</c:v>
                </c:pt>
                <c:pt idx="115">
                  <c:v>11.534705484974824</c:v>
                </c:pt>
                <c:pt idx="116">
                  <c:v>11.49820369159027</c:v>
                </c:pt>
                <c:pt idx="117">
                  <c:v>8.5241762157669339</c:v>
                </c:pt>
                <c:pt idx="118">
                  <c:v>9.8260353111393002</c:v>
                </c:pt>
                <c:pt idx="119">
                  <c:v>11.469165103293603</c:v>
                </c:pt>
                <c:pt idx="120">
                  <c:v>10.492263000768126</c:v>
                </c:pt>
                <c:pt idx="121">
                  <c:v>6.0313151617772434</c:v>
                </c:pt>
                <c:pt idx="122">
                  <c:v>9.3950076652861529</c:v>
                </c:pt>
                <c:pt idx="123">
                  <c:v>5.910939761718998</c:v>
                </c:pt>
                <c:pt idx="124">
                  <c:v>9.5020213993852831</c:v>
                </c:pt>
                <c:pt idx="125">
                  <c:v>10.202786801031925</c:v>
                </c:pt>
                <c:pt idx="126">
                  <c:v>5.8325880490446691</c:v>
                </c:pt>
                <c:pt idx="127">
                  <c:v>9.0565439726840165</c:v>
                </c:pt>
                <c:pt idx="128">
                  <c:v>10.633768842587013</c:v>
                </c:pt>
                <c:pt idx="129">
                  <c:v>10.252595835846437</c:v>
                </c:pt>
                <c:pt idx="130">
                  <c:v>12.576114297830898</c:v>
                </c:pt>
                <c:pt idx="131">
                  <c:v>10.693830552215253</c:v>
                </c:pt>
                <c:pt idx="132">
                  <c:v>5.6540793995971255</c:v>
                </c:pt>
                <c:pt idx="133">
                  <c:v>8.9217538642955638</c:v>
                </c:pt>
                <c:pt idx="134">
                  <c:v>12.564829947495323</c:v>
                </c:pt>
                <c:pt idx="135">
                  <c:v>10.668344945338628</c:v>
                </c:pt>
                <c:pt idx="136">
                  <c:v>10.268399337586823</c:v>
                </c:pt>
                <c:pt idx="137">
                  <c:v>5.8198658671852037</c:v>
                </c:pt>
                <c:pt idx="138">
                  <c:v>9.4671472368168068</c:v>
                </c:pt>
                <c:pt idx="139">
                  <c:v>12.556164828946452</c:v>
                </c:pt>
                <c:pt idx="140">
                  <c:v>10.548245584999867</c:v>
                </c:pt>
                <c:pt idx="141">
                  <c:v>10.285774883725679</c:v>
                </c:pt>
                <c:pt idx="142">
                  <c:v>12.563201098049451</c:v>
                </c:pt>
                <c:pt idx="143">
                  <c:v>9.1102579584884129</c:v>
                </c:pt>
                <c:pt idx="144">
                  <c:v>6.9142600641173031</c:v>
                </c:pt>
                <c:pt idx="145">
                  <c:v>9.1234788438264278</c:v>
                </c:pt>
                <c:pt idx="146">
                  <c:v>12.501450081744162</c:v>
                </c:pt>
                <c:pt idx="147">
                  <c:v>10.519424500004332</c:v>
                </c:pt>
                <c:pt idx="148">
                  <c:v>10.816960661554536</c:v>
                </c:pt>
                <c:pt idx="149">
                  <c:v>12.715327235644637</c:v>
                </c:pt>
              </c:numCache>
            </c:numRef>
          </c:yVal>
          <c:smooth val="0"/>
          <c:extLst>
            <c:ext xmlns:c16="http://schemas.microsoft.com/office/drawing/2014/chart" uri="{C3380CC4-5D6E-409C-BE32-E72D297353CC}">
              <c16:uniqueId val="{00000005-AA7E-4B0A-B7DE-DEE1955B8B65}"/>
            </c:ext>
          </c:extLst>
        </c:ser>
        <c:dLbls>
          <c:showLegendKey val="0"/>
          <c:showVal val="0"/>
          <c:showCatName val="0"/>
          <c:showSerName val="0"/>
          <c:showPercent val="0"/>
          <c:showBubbleSize val="0"/>
        </c:dLbls>
        <c:axId val="1371460576"/>
        <c:axId val="1371471392"/>
      </c:scatterChart>
      <c:valAx>
        <c:axId val="1371460576"/>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471392"/>
        <c:crosses val="autoZero"/>
        <c:crossBetween val="midCat"/>
      </c:valAx>
      <c:valAx>
        <c:axId val="1371471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460576"/>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eta -&gt; X P2P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X!$M$1</c:f>
              <c:strCache>
                <c:ptCount val="1"/>
                <c:pt idx="0">
                  <c:v>X P2P</c:v>
                </c:pt>
              </c:strCache>
            </c:strRef>
          </c:tx>
          <c:spPr>
            <a:ln w="19050" cap="rnd">
              <a:noFill/>
              <a:round/>
            </a:ln>
            <a:effectLst/>
          </c:spPr>
          <c:marker>
            <c:symbol val="circle"/>
            <c:size val="5"/>
            <c:spPr>
              <a:solidFill>
                <a:schemeClr val="accent1"/>
              </a:solidFill>
              <a:ln w="9525">
                <a:solidFill>
                  <a:schemeClr val="accent1"/>
                </a:solidFill>
              </a:ln>
              <a:effectLst/>
            </c:spPr>
          </c:marker>
          <c:xVal>
            <c:numRef>
              <c:f>X!$D$2:$D$151</c:f>
              <c:numCache>
                <c:formatCode>General</c:formatCode>
                <c:ptCount val="150"/>
                <c:pt idx="0">
                  <c:v>0.95</c:v>
                </c:pt>
                <c:pt idx="1">
                  <c:v>0.95</c:v>
                </c:pt>
                <c:pt idx="2">
                  <c:v>0.95</c:v>
                </c:pt>
                <c:pt idx="3">
                  <c:v>0.95</c:v>
                </c:pt>
                <c:pt idx="4">
                  <c:v>0.95</c:v>
                </c:pt>
                <c:pt idx="5">
                  <c:v>0.8</c:v>
                </c:pt>
                <c:pt idx="6">
                  <c:v>0.95</c:v>
                </c:pt>
                <c:pt idx="7">
                  <c:v>0.8</c:v>
                </c:pt>
                <c:pt idx="8">
                  <c:v>0.95</c:v>
                </c:pt>
                <c:pt idx="9">
                  <c:v>0.95</c:v>
                </c:pt>
                <c:pt idx="10">
                  <c:v>0.95</c:v>
                </c:pt>
                <c:pt idx="11">
                  <c:v>0.8</c:v>
                </c:pt>
                <c:pt idx="12">
                  <c:v>0.8</c:v>
                </c:pt>
                <c:pt idx="13">
                  <c:v>0.65</c:v>
                </c:pt>
                <c:pt idx="14">
                  <c:v>0.65</c:v>
                </c:pt>
                <c:pt idx="15">
                  <c:v>0.8</c:v>
                </c:pt>
                <c:pt idx="16">
                  <c:v>0.95</c:v>
                </c:pt>
                <c:pt idx="17">
                  <c:v>0.95</c:v>
                </c:pt>
                <c:pt idx="18">
                  <c:v>0.8</c:v>
                </c:pt>
                <c:pt idx="19">
                  <c:v>0.8</c:v>
                </c:pt>
                <c:pt idx="20">
                  <c:v>0.65</c:v>
                </c:pt>
                <c:pt idx="21">
                  <c:v>0.65</c:v>
                </c:pt>
                <c:pt idx="22">
                  <c:v>0.8</c:v>
                </c:pt>
                <c:pt idx="23">
                  <c:v>0.5</c:v>
                </c:pt>
                <c:pt idx="24">
                  <c:v>0.95</c:v>
                </c:pt>
                <c:pt idx="25">
                  <c:v>0.65</c:v>
                </c:pt>
                <c:pt idx="26">
                  <c:v>0.95</c:v>
                </c:pt>
                <c:pt idx="27">
                  <c:v>0.65</c:v>
                </c:pt>
                <c:pt idx="28">
                  <c:v>0.65</c:v>
                </c:pt>
                <c:pt idx="29">
                  <c:v>0.8</c:v>
                </c:pt>
                <c:pt idx="30">
                  <c:v>0.5</c:v>
                </c:pt>
                <c:pt idx="31">
                  <c:v>0.35</c:v>
                </c:pt>
                <c:pt idx="32">
                  <c:v>0.8</c:v>
                </c:pt>
                <c:pt idx="33">
                  <c:v>0.5</c:v>
                </c:pt>
                <c:pt idx="34">
                  <c:v>0.5</c:v>
                </c:pt>
                <c:pt idx="35">
                  <c:v>0.2</c:v>
                </c:pt>
                <c:pt idx="36">
                  <c:v>0.35</c:v>
                </c:pt>
                <c:pt idx="37">
                  <c:v>0.95</c:v>
                </c:pt>
                <c:pt idx="38">
                  <c:v>0.5</c:v>
                </c:pt>
                <c:pt idx="39">
                  <c:v>0.95</c:v>
                </c:pt>
                <c:pt idx="40">
                  <c:v>0.95</c:v>
                </c:pt>
                <c:pt idx="41">
                  <c:v>0.35</c:v>
                </c:pt>
                <c:pt idx="42">
                  <c:v>0.65</c:v>
                </c:pt>
                <c:pt idx="43">
                  <c:v>0.5</c:v>
                </c:pt>
                <c:pt idx="44">
                  <c:v>0.95</c:v>
                </c:pt>
                <c:pt idx="45">
                  <c:v>0.95</c:v>
                </c:pt>
                <c:pt idx="46">
                  <c:v>0.95</c:v>
                </c:pt>
                <c:pt idx="47">
                  <c:v>0.8</c:v>
                </c:pt>
                <c:pt idx="48">
                  <c:v>0.8</c:v>
                </c:pt>
                <c:pt idx="49">
                  <c:v>0.35</c:v>
                </c:pt>
                <c:pt idx="50">
                  <c:v>0.5</c:v>
                </c:pt>
                <c:pt idx="51">
                  <c:v>0.8</c:v>
                </c:pt>
                <c:pt idx="52">
                  <c:v>0.8</c:v>
                </c:pt>
                <c:pt idx="53">
                  <c:v>0.35</c:v>
                </c:pt>
                <c:pt idx="54">
                  <c:v>0.65</c:v>
                </c:pt>
                <c:pt idx="55">
                  <c:v>0.65</c:v>
                </c:pt>
                <c:pt idx="56">
                  <c:v>0.8</c:v>
                </c:pt>
                <c:pt idx="57">
                  <c:v>0.8</c:v>
                </c:pt>
                <c:pt idx="58">
                  <c:v>0.35</c:v>
                </c:pt>
                <c:pt idx="59">
                  <c:v>0.65</c:v>
                </c:pt>
                <c:pt idx="60">
                  <c:v>0.8</c:v>
                </c:pt>
                <c:pt idx="61">
                  <c:v>0.2</c:v>
                </c:pt>
                <c:pt idx="62">
                  <c:v>0.5</c:v>
                </c:pt>
                <c:pt idx="63">
                  <c:v>0.35</c:v>
                </c:pt>
                <c:pt idx="64">
                  <c:v>0.8</c:v>
                </c:pt>
                <c:pt idx="65">
                  <c:v>0.2</c:v>
                </c:pt>
                <c:pt idx="66">
                  <c:v>0.95</c:v>
                </c:pt>
                <c:pt idx="67">
                  <c:v>0.65</c:v>
                </c:pt>
                <c:pt idx="68">
                  <c:v>0.5</c:v>
                </c:pt>
                <c:pt idx="69">
                  <c:v>0.65</c:v>
                </c:pt>
                <c:pt idx="70">
                  <c:v>0.2</c:v>
                </c:pt>
                <c:pt idx="71">
                  <c:v>0.5</c:v>
                </c:pt>
                <c:pt idx="72">
                  <c:v>0.8</c:v>
                </c:pt>
                <c:pt idx="73">
                  <c:v>0.8</c:v>
                </c:pt>
                <c:pt idx="74">
                  <c:v>0.95</c:v>
                </c:pt>
                <c:pt idx="75">
                  <c:v>0.95</c:v>
                </c:pt>
                <c:pt idx="76">
                  <c:v>0.35</c:v>
                </c:pt>
                <c:pt idx="77">
                  <c:v>0.2</c:v>
                </c:pt>
                <c:pt idx="78">
                  <c:v>0.65</c:v>
                </c:pt>
                <c:pt idx="79">
                  <c:v>0.95</c:v>
                </c:pt>
                <c:pt idx="80">
                  <c:v>0.35</c:v>
                </c:pt>
                <c:pt idx="81">
                  <c:v>0.65</c:v>
                </c:pt>
                <c:pt idx="82">
                  <c:v>0.95</c:v>
                </c:pt>
                <c:pt idx="83">
                  <c:v>0.5</c:v>
                </c:pt>
                <c:pt idx="84">
                  <c:v>0.2</c:v>
                </c:pt>
                <c:pt idx="85">
                  <c:v>0.8</c:v>
                </c:pt>
                <c:pt idx="86">
                  <c:v>0.65</c:v>
                </c:pt>
                <c:pt idx="87">
                  <c:v>0.8</c:v>
                </c:pt>
                <c:pt idx="88">
                  <c:v>0.65</c:v>
                </c:pt>
                <c:pt idx="89">
                  <c:v>0.65</c:v>
                </c:pt>
                <c:pt idx="90">
                  <c:v>0.65</c:v>
                </c:pt>
                <c:pt idx="91">
                  <c:v>0.2</c:v>
                </c:pt>
                <c:pt idx="92">
                  <c:v>0.65</c:v>
                </c:pt>
                <c:pt idx="93">
                  <c:v>0.8</c:v>
                </c:pt>
                <c:pt idx="94">
                  <c:v>0.5</c:v>
                </c:pt>
                <c:pt idx="95">
                  <c:v>0.8</c:v>
                </c:pt>
                <c:pt idx="96">
                  <c:v>0.65</c:v>
                </c:pt>
                <c:pt idx="97">
                  <c:v>0.35</c:v>
                </c:pt>
                <c:pt idx="98">
                  <c:v>0.5</c:v>
                </c:pt>
                <c:pt idx="99">
                  <c:v>0.35</c:v>
                </c:pt>
                <c:pt idx="100">
                  <c:v>0.65</c:v>
                </c:pt>
                <c:pt idx="101">
                  <c:v>0.2</c:v>
                </c:pt>
                <c:pt idx="102">
                  <c:v>0.5</c:v>
                </c:pt>
                <c:pt idx="103">
                  <c:v>0.5</c:v>
                </c:pt>
                <c:pt idx="104">
                  <c:v>0.5</c:v>
                </c:pt>
                <c:pt idx="105">
                  <c:v>0.35</c:v>
                </c:pt>
                <c:pt idx="106">
                  <c:v>0.35</c:v>
                </c:pt>
                <c:pt idx="107">
                  <c:v>0.95</c:v>
                </c:pt>
                <c:pt idx="108">
                  <c:v>0.5</c:v>
                </c:pt>
                <c:pt idx="109">
                  <c:v>0.5</c:v>
                </c:pt>
                <c:pt idx="110">
                  <c:v>0.5</c:v>
                </c:pt>
                <c:pt idx="111">
                  <c:v>0.2</c:v>
                </c:pt>
                <c:pt idx="112">
                  <c:v>0.8</c:v>
                </c:pt>
                <c:pt idx="113">
                  <c:v>0.5</c:v>
                </c:pt>
                <c:pt idx="114">
                  <c:v>0.35</c:v>
                </c:pt>
                <c:pt idx="115">
                  <c:v>0.2</c:v>
                </c:pt>
                <c:pt idx="116">
                  <c:v>0.35</c:v>
                </c:pt>
                <c:pt idx="117">
                  <c:v>0.65</c:v>
                </c:pt>
                <c:pt idx="118">
                  <c:v>0.65</c:v>
                </c:pt>
                <c:pt idx="119">
                  <c:v>0.35</c:v>
                </c:pt>
                <c:pt idx="120">
                  <c:v>0.5</c:v>
                </c:pt>
                <c:pt idx="121">
                  <c:v>0.2</c:v>
                </c:pt>
                <c:pt idx="122">
                  <c:v>0.35</c:v>
                </c:pt>
                <c:pt idx="123">
                  <c:v>0.65</c:v>
                </c:pt>
                <c:pt idx="124">
                  <c:v>0.35</c:v>
                </c:pt>
                <c:pt idx="125">
                  <c:v>0.35</c:v>
                </c:pt>
                <c:pt idx="126">
                  <c:v>0.35</c:v>
                </c:pt>
                <c:pt idx="127">
                  <c:v>0.2</c:v>
                </c:pt>
                <c:pt idx="128">
                  <c:v>0.5</c:v>
                </c:pt>
                <c:pt idx="129">
                  <c:v>0.35</c:v>
                </c:pt>
                <c:pt idx="130">
                  <c:v>0.5</c:v>
                </c:pt>
                <c:pt idx="131">
                  <c:v>0.2</c:v>
                </c:pt>
                <c:pt idx="132">
                  <c:v>0.5</c:v>
                </c:pt>
                <c:pt idx="133">
                  <c:v>0.35</c:v>
                </c:pt>
                <c:pt idx="134">
                  <c:v>0.2</c:v>
                </c:pt>
                <c:pt idx="135">
                  <c:v>0.2</c:v>
                </c:pt>
                <c:pt idx="136">
                  <c:v>0.2</c:v>
                </c:pt>
                <c:pt idx="137">
                  <c:v>0.5</c:v>
                </c:pt>
                <c:pt idx="138">
                  <c:v>0.2</c:v>
                </c:pt>
                <c:pt idx="139">
                  <c:v>0.2</c:v>
                </c:pt>
                <c:pt idx="140">
                  <c:v>0.2</c:v>
                </c:pt>
                <c:pt idx="141">
                  <c:v>0.35</c:v>
                </c:pt>
                <c:pt idx="142">
                  <c:v>0.35</c:v>
                </c:pt>
                <c:pt idx="143">
                  <c:v>0.35</c:v>
                </c:pt>
                <c:pt idx="144">
                  <c:v>0.2</c:v>
                </c:pt>
                <c:pt idx="145">
                  <c:v>0.2</c:v>
                </c:pt>
                <c:pt idx="146">
                  <c:v>0.2</c:v>
                </c:pt>
                <c:pt idx="147">
                  <c:v>0.2</c:v>
                </c:pt>
                <c:pt idx="148">
                  <c:v>0.2</c:v>
                </c:pt>
                <c:pt idx="149">
                  <c:v>0.2</c:v>
                </c:pt>
              </c:numCache>
            </c:numRef>
          </c:xVal>
          <c:yVal>
            <c:numRef>
              <c:f>X!$M$2:$M$151</c:f>
              <c:numCache>
                <c:formatCode>General</c:formatCode>
                <c:ptCount val="150"/>
                <c:pt idx="0">
                  <c:v>6.6018726205376197</c:v>
                </c:pt>
                <c:pt idx="1">
                  <c:v>6.0013574702704711</c:v>
                </c:pt>
                <c:pt idx="2">
                  <c:v>6.9645128289256331</c:v>
                </c:pt>
                <c:pt idx="3">
                  <c:v>7.0827108080388586</c:v>
                </c:pt>
                <c:pt idx="4">
                  <c:v>4.9504329778667451</c:v>
                </c:pt>
                <c:pt idx="5">
                  <c:v>6.2106878578872982</c:v>
                </c:pt>
                <c:pt idx="6">
                  <c:v>7.4916516255545549</c:v>
                </c:pt>
                <c:pt idx="7">
                  <c:v>6.7580102198719096</c:v>
                </c:pt>
                <c:pt idx="8">
                  <c:v>6.7385610502455959</c:v>
                </c:pt>
                <c:pt idx="9">
                  <c:v>6.8504183808630525</c:v>
                </c:pt>
                <c:pt idx="10">
                  <c:v>6.6761181790299418</c:v>
                </c:pt>
                <c:pt idx="11">
                  <c:v>6.808521625248046</c:v>
                </c:pt>
                <c:pt idx="12">
                  <c:v>6.7563061015938874</c:v>
                </c:pt>
                <c:pt idx="13">
                  <c:v>6.7265992322369392</c:v>
                </c:pt>
                <c:pt idx="14">
                  <c:v>6.9835099227083557</c:v>
                </c:pt>
                <c:pt idx="15">
                  <c:v>6.7141290865077776</c:v>
                </c:pt>
                <c:pt idx="16">
                  <c:v>7.1375484558526949</c:v>
                </c:pt>
                <c:pt idx="17">
                  <c:v>6.8040649649880924</c:v>
                </c:pt>
                <c:pt idx="18">
                  <c:v>7.2902441986525996</c:v>
                </c:pt>
                <c:pt idx="19">
                  <c:v>7.2037511670347705</c:v>
                </c:pt>
                <c:pt idx="20">
                  <c:v>6.7908881640795062</c:v>
                </c:pt>
                <c:pt idx="21">
                  <c:v>6.9412555219690759</c:v>
                </c:pt>
                <c:pt idx="22">
                  <c:v>7.26273284671041</c:v>
                </c:pt>
                <c:pt idx="23">
                  <c:v>6.9204747019857846</c:v>
                </c:pt>
                <c:pt idx="24">
                  <c:v>7.8123542766633944</c:v>
                </c:pt>
                <c:pt idx="25">
                  <c:v>7.2976827970756322</c:v>
                </c:pt>
                <c:pt idx="26">
                  <c:v>7.9507218406247953</c:v>
                </c:pt>
                <c:pt idx="27">
                  <c:v>7.2793222090981686</c:v>
                </c:pt>
                <c:pt idx="28">
                  <c:v>6.8610167101396771</c:v>
                </c:pt>
                <c:pt idx="29">
                  <c:v>7.221957050062108</c:v>
                </c:pt>
                <c:pt idx="30">
                  <c:v>6.7319451176648988</c:v>
                </c:pt>
                <c:pt idx="31">
                  <c:v>6.8970776194484849</c:v>
                </c:pt>
                <c:pt idx="32">
                  <c:v>7.3007352146536588</c:v>
                </c:pt>
                <c:pt idx="33">
                  <c:v>6.9207461740329306</c:v>
                </c:pt>
                <c:pt idx="34">
                  <c:v>6.8892380080901532</c:v>
                </c:pt>
                <c:pt idx="35">
                  <c:v>6.8320805588194409</c:v>
                </c:pt>
                <c:pt idx="36">
                  <c:v>6.754700722777625</c:v>
                </c:pt>
                <c:pt idx="37">
                  <c:v>7.0038363594891937</c:v>
                </c:pt>
                <c:pt idx="38">
                  <c:v>6.7953277117021065</c:v>
                </c:pt>
                <c:pt idx="39">
                  <c:v>7.2322782409519881</c:v>
                </c:pt>
                <c:pt idx="40">
                  <c:v>6.929270692367993</c:v>
                </c:pt>
                <c:pt idx="41">
                  <c:v>6.9175408105489966</c:v>
                </c:pt>
                <c:pt idx="42">
                  <c:v>7.3642522785884843</c:v>
                </c:pt>
                <c:pt idx="43">
                  <c:v>7.3390022182812924</c:v>
                </c:pt>
                <c:pt idx="44">
                  <c:v>7.6007946034441893</c:v>
                </c:pt>
                <c:pt idx="45">
                  <c:v>7.4453124761020701</c:v>
                </c:pt>
                <c:pt idx="46">
                  <c:v>5.6221500680955092</c:v>
                </c:pt>
                <c:pt idx="47">
                  <c:v>6.1671504285339678</c:v>
                </c:pt>
                <c:pt idx="48">
                  <c:v>7.6578655295097242</c:v>
                </c:pt>
                <c:pt idx="49">
                  <c:v>6.812073829564838</c:v>
                </c:pt>
                <c:pt idx="50">
                  <c:v>7.2760335373867981</c:v>
                </c:pt>
                <c:pt idx="51">
                  <c:v>6.964357122613559</c:v>
                </c:pt>
                <c:pt idx="52">
                  <c:v>7.4908815615286644</c:v>
                </c:pt>
                <c:pt idx="53">
                  <c:v>7.3614083567297239</c:v>
                </c:pt>
                <c:pt idx="54">
                  <c:v>7.326598942207716</c:v>
                </c:pt>
                <c:pt idx="55">
                  <c:v>7.3546520824712571</c:v>
                </c:pt>
                <c:pt idx="56">
                  <c:v>5.4992621633717995</c:v>
                </c:pt>
                <c:pt idx="57">
                  <c:v>7.689222431896936</c:v>
                </c:pt>
                <c:pt idx="58">
                  <c:v>6.832978345891231</c:v>
                </c:pt>
                <c:pt idx="59">
                  <c:v>7.7201998336194029</c:v>
                </c:pt>
                <c:pt idx="60">
                  <c:v>6.995456625167952</c:v>
                </c:pt>
                <c:pt idx="61">
                  <c:v>7.3363665315476849</c:v>
                </c:pt>
                <c:pt idx="62">
                  <c:v>7.3424380734190624</c:v>
                </c:pt>
                <c:pt idx="63">
                  <c:v>7.2750593521198779</c:v>
                </c:pt>
                <c:pt idx="64">
                  <c:v>6.8837964156858114</c:v>
                </c:pt>
                <c:pt idx="65">
                  <c:v>6.8510695368713836</c:v>
                </c:pt>
                <c:pt idx="66">
                  <c:v>6.4314462173703113</c:v>
                </c:pt>
                <c:pt idx="67">
                  <c:v>5.87034299770899</c:v>
                </c:pt>
                <c:pt idx="68">
                  <c:v>7.3721385068440854</c:v>
                </c:pt>
                <c:pt idx="69">
                  <c:v>7.1068511329481971</c:v>
                </c:pt>
                <c:pt idx="70">
                  <c:v>6.7340236148740367</c:v>
                </c:pt>
                <c:pt idx="71">
                  <c:v>7.2484026853723531</c:v>
                </c:pt>
                <c:pt idx="72">
                  <c:v>7.6610092679347224</c:v>
                </c:pt>
                <c:pt idx="73">
                  <c:v>7.5800874393370163</c:v>
                </c:pt>
                <c:pt idx="74">
                  <c:v>7.5439225663538991</c:v>
                </c:pt>
                <c:pt idx="75">
                  <c:v>7.6567080748960743</c:v>
                </c:pt>
                <c:pt idx="76">
                  <c:v>7.3636166191531665</c:v>
                </c:pt>
                <c:pt idx="77">
                  <c:v>6.8050138923227923</c:v>
                </c:pt>
                <c:pt idx="78">
                  <c:v>7.7151331472064344</c:v>
                </c:pt>
                <c:pt idx="79">
                  <c:v>7.7801097036766622</c:v>
                </c:pt>
                <c:pt idx="80">
                  <c:v>7.3460005968613151</c:v>
                </c:pt>
                <c:pt idx="81">
                  <c:v>7.5522430394926623</c:v>
                </c:pt>
                <c:pt idx="82">
                  <c:v>8.0911394184830421</c:v>
                </c:pt>
                <c:pt idx="83">
                  <c:v>7.6923511098439423</c:v>
                </c:pt>
                <c:pt idx="84">
                  <c:v>6.7511949931598361</c:v>
                </c:pt>
                <c:pt idx="85">
                  <c:v>8.0112837314739433</c:v>
                </c:pt>
                <c:pt idx="86">
                  <c:v>7.7769753796907501</c:v>
                </c:pt>
                <c:pt idx="87">
                  <c:v>7.9258800984553108</c:v>
                </c:pt>
                <c:pt idx="88">
                  <c:v>7.1463131919219549</c:v>
                </c:pt>
                <c:pt idx="89">
                  <c:v>7.6500068213819405</c:v>
                </c:pt>
                <c:pt idx="90">
                  <c:v>6.6919723080840443</c:v>
                </c:pt>
                <c:pt idx="91">
                  <c:v>7.241879518352885</c:v>
                </c:pt>
                <c:pt idx="92">
                  <c:v>7.0216486364624773</c:v>
                </c:pt>
                <c:pt idx="93">
                  <c:v>8.1536440553817311</c:v>
                </c:pt>
                <c:pt idx="94">
                  <c:v>7.7793202782585533</c:v>
                </c:pt>
                <c:pt idx="95">
                  <c:v>7.8382432534462962</c:v>
                </c:pt>
                <c:pt idx="96">
                  <c:v>8.0713819383783356</c:v>
                </c:pt>
                <c:pt idx="97">
                  <c:v>7.2663413526008886</c:v>
                </c:pt>
                <c:pt idx="98">
                  <c:v>7.1176502996320998</c:v>
                </c:pt>
                <c:pt idx="99">
                  <c:v>7.7108508188073399</c:v>
                </c:pt>
                <c:pt idx="100">
                  <c:v>7.9939458773857535</c:v>
                </c:pt>
                <c:pt idx="101">
                  <c:v>7.3119840170564281</c:v>
                </c:pt>
                <c:pt idx="102">
                  <c:v>7.728042895670586</c:v>
                </c:pt>
                <c:pt idx="103">
                  <c:v>6.6428829117493731</c:v>
                </c:pt>
                <c:pt idx="104">
                  <c:v>7.749616276198962</c:v>
                </c:pt>
                <c:pt idx="105">
                  <c:v>7.1299708516039866</c:v>
                </c:pt>
                <c:pt idx="106">
                  <c:v>7.7297295110852353</c:v>
                </c:pt>
                <c:pt idx="107">
                  <c:v>7.9107231067130188</c:v>
                </c:pt>
                <c:pt idx="108">
                  <c:v>7.3155844388740503</c:v>
                </c:pt>
                <c:pt idx="109">
                  <c:v>7.1140664903105453</c:v>
                </c:pt>
                <c:pt idx="110">
                  <c:v>7.1416085103506957</c:v>
                </c:pt>
                <c:pt idx="111">
                  <c:v>7.2971265023876306</c:v>
                </c:pt>
                <c:pt idx="112">
                  <c:v>7.9594258661467583</c:v>
                </c:pt>
                <c:pt idx="113">
                  <c:v>7.6146976683215497</c:v>
                </c:pt>
                <c:pt idx="114">
                  <c:v>7.7204673688923453</c:v>
                </c:pt>
                <c:pt idx="115">
                  <c:v>7.0553945100520288</c:v>
                </c:pt>
                <c:pt idx="116">
                  <c:v>6.9830352506499134</c:v>
                </c:pt>
                <c:pt idx="117">
                  <c:v>8.1796357891523996</c:v>
                </c:pt>
                <c:pt idx="118">
                  <c:v>7.9110095119494668</c:v>
                </c:pt>
                <c:pt idx="119">
                  <c:v>7.1806614167794161</c:v>
                </c:pt>
                <c:pt idx="120">
                  <c:v>8.0840324986635839</c:v>
                </c:pt>
                <c:pt idx="121">
                  <c:v>7.6683420863834906</c:v>
                </c:pt>
                <c:pt idx="122">
                  <c:v>7.6154090971948705</c:v>
                </c:pt>
                <c:pt idx="123">
                  <c:v>7.9780971730290897</c:v>
                </c:pt>
                <c:pt idx="124">
                  <c:v>7.2462613534173324</c:v>
                </c:pt>
                <c:pt idx="125">
                  <c:v>7.6846955783657158</c:v>
                </c:pt>
                <c:pt idx="126">
                  <c:v>7.1023723999401254</c:v>
                </c:pt>
                <c:pt idx="127">
                  <c:v>7.6917067189926369</c:v>
                </c:pt>
                <c:pt idx="128">
                  <c:v>8.0952341666432091</c:v>
                </c:pt>
                <c:pt idx="129">
                  <c:v>8.052806061938373</c:v>
                </c:pt>
                <c:pt idx="130">
                  <c:v>7.9671155654164636</c:v>
                </c:pt>
                <c:pt idx="131">
                  <c:v>7.047551191584712</c:v>
                </c:pt>
                <c:pt idx="132">
                  <c:v>8.1620074191791439</c:v>
                </c:pt>
                <c:pt idx="133">
                  <c:v>8.1632613327592853</c:v>
                </c:pt>
                <c:pt idx="134">
                  <c:v>7.6836806018897956</c:v>
                </c:pt>
                <c:pt idx="135">
                  <c:v>7.2480987574606717</c:v>
                </c:pt>
                <c:pt idx="136">
                  <c:v>7.006623056933476</c:v>
                </c:pt>
                <c:pt idx="137">
                  <c:v>7.9147045300636121</c:v>
                </c:pt>
                <c:pt idx="138">
                  <c:v>7.0575423572595115</c:v>
                </c:pt>
                <c:pt idx="139">
                  <c:v>7.2636681345825798</c:v>
                </c:pt>
                <c:pt idx="140">
                  <c:v>8.0006160990081803</c:v>
                </c:pt>
                <c:pt idx="141">
                  <c:v>7.9148152285473587</c:v>
                </c:pt>
                <c:pt idx="142">
                  <c:v>8.0379631583012028</c:v>
                </c:pt>
                <c:pt idx="143">
                  <c:v>8.0025537060954974</c:v>
                </c:pt>
                <c:pt idx="144">
                  <c:v>7.6243777102479386</c:v>
                </c:pt>
                <c:pt idx="145">
                  <c:v>8.1215957936815961</c:v>
                </c:pt>
                <c:pt idx="146">
                  <c:v>7.9576981049188449</c:v>
                </c:pt>
                <c:pt idx="147">
                  <c:v>7.5935084820080192</c:v>
                </c:pt>
                <c:pt idx="148">
                  <c:v>7.8506953577317944</c:v>
                </c:pt>
                <c:pt idx="149">
                  <c:v>7.7791010294434288</c:v>
                </c:pt>
              </c:numCache>
            </c:numRef>
          </c:yVal>
          <c:smooth val="0"/>
          <c:extLst>
            <c:ext xmlns:c16="http://schemas.microsoft.com/office/drawing/2014/chart" uri="{C3380CC4-5D6E-409C-BE32-E72D297353CC}">
              <c16:uniqueId val="{00000000-46D9-43A8-8525-2A59CD44BF7E}"/>
            </c:ext>
          </c:extLst>
        </c:ser>
        <c:dLbls>
          <c:showLegendKey val="0"/>
          <c:showVal val="0"/>
          <c:showCatName val="0"/>
          <c:showSerName val="0"/>
          <c:showPercent val="0"/>
          <c:showBubbleSize val="0"/>
        </c:dLbls>
        <c:axId val="1198294832"/>
        <c:axId val="1198281936"/>
      </c:scatterChart>
      <c:valAx>
        <c:axId val="1198294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281936"/>
        <c:crosses val="autoZero"/>
        <c:crossBetween val="midCat"/>
      </c:valAx>
      <c:valAx>
        <c:axId val="1198281936"/>
        <c:scaling>
          <c:orientation val="minMax"/>
          <c:min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2948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N0 </a:t>
            </a:r>
            <a:r>
              <a:rPr lang="en-US"/>
              <a:t> -&gt; X P2P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X!$M$1</c:f>
              <c:strCache>
                <c:ptCount val="1"/>
                <c:pt idx="0">
                  <c:v>X P2P</c:v>
                </c:pt>
              </c:strCache>
            </c:strRef>
          </c:tx>
          <c:spPr>
            <a:ln w="19050" cap="rnd">
              <a:noFill/>
              <a:round/>
            </a:ln>
            <a:effectLst/>
          </c:spPr>
          <c:marker>
            <c:symbol val="circle"/>
            <c:size val="5"/>
            <c:spPr>
              <a:solidFill>
                <a:schemeClr val="accent1"/>
              </a:solidFill>
              <a:ln w="9525">
                <a:solidFill>
                  <a:schemeClr val="accent1"/>
                </a:solidFill>
              </a:ln>
              <a:effectLst/>
            </c:spPr>
          </c:marker>
          <c:xVal>
            <c:numRef>
              <c:f>X!$C$2:$C$152</c:f>
              <c:numCache>
                <c:formatCode>General</c:formatCode>
                <c:ptCount val="151"/>
                <c:pt idx="0">
                  <c:v>125</c:v>
                </c:pt>
                <c:pt idx="1">
                  <c:v>125</c:v>
                </c:pt>
                <c:pt idx="2">
                  <c:v>216</c:v>
                </c:pt>
                <c:pt idx="3">
                  <c:v>216</c:v>
                </c:pt>
                <c:pt idx="4">
                  <c:v>64</c:v>
                </c:pt>
                <c:pt idx="5">
                  <c:v>125</c:v>
                </c:pt>
                <c:pt idx="6">
                  <c:v>343</c:v>
                </c:pt>
                <c:pt idx="7">
                  <c:v>125</c:v>
                </c:pt>
                <c:pt idx="8">
                  <c:v>125</c:v>
                </c:pt>
                <c:pt idx="9">
                  <c:v>125</c:v>
                </c:pt>
                <c:pt idx="10">
                  <c:v>64</c:v>
                </c:pt>
                <c:pt idx="11">
                  <c:v>125</c:v>
                </c:pt>
                <c:pt idx="12">
                  <c:v>125</c:v>
                </c:pt>
                <c:pt idx="13">
                  <c:v>125</c:v>
                </c:pt>
                <c:pt idx="14">
                  <c:v>125</c:v>
                </c:pt>
                <c:pt idx="15">
                  <c:v>125</c:v>
                </c:pt>
                <c:pt idx="16">
                  <c:v>216</c:v>
                </c:pt>
                <c:pt idx="17">
                  <c:v>125</c:v>
                </c:pt>
                <c:pt idx="18">
                  <c:v>216</c:v>
                </c:pt>
                <c:pt idx="19">
                  <c:v>216</c:v>
                </c:pt>
                <c:pt idx="20">
                  <c:v>125</c:v>
                </c:pt>
                <c:pt idx="21">
                  <c:v>125</c:v>
                </c:pt>
                <c:pt idx="22">
                  <c:v>216</c:v>
                </c:pt>
                <c:pt idx="23">
                  <c:v>125</c:v>
                </c:pt>
                <c:pt idx="24">
                  <c:v>512</c:v>
                </c:pt>
                <c:pt idx="25">
                  <c:v>216</c:v>
                </c:pt>
                <c:pt idx="26">
                  <c:v>512</c:v>
                </c:pt>
                <c:pt idx="27">
                  <c:v>216</c:v>
                </c:pt>
                <c:pt idx="28">
                  <c:v>125</c:v>
                </c:pt>
                <c:pt idx="29">
                  <c:v>216</c:v>
                </c:pt>
                <c:pt idx="30">
                  <c:v>125</c:v>
                </c:pt>
                <c:pt idx="31">
                  <c:v>125</c:v>
                </c:pt>
                <c:pt idx="32">
                  <c:v>216</c:v>
                </c:pt>
                <c:pt idx="33">
                  <c:v>125</c:v>
                </c:pt>
                <c:pt idx="34">
                  <c:v>125</c:v>
                </c:pt>
                <c:pt idx="35">
                  <c:v>125</c:v>
                </c:pt>
                <c:pt idx="36">
                  <c:v>125</c:v>
                </c:pt>
                <c:pt idx="37">
                  <c:v>216</c:v>
                </c:pt>
                <c:pt idx="38">
                  <c:v>125</c:v>
                </c:pt>
                <c:pt idx="39">
                  <c:v>216</c:v>
                </c:pt>
                <c:pt idx="40">
                  <c:v>64</c:v>
                </c:pt>
                <c:pt idx="41">
                  <c:v>125</c:v>
                </c:pt>
                <c:pt idx="42">
                  <c:v>216</c:v>
                </c:pt>
                <c:pt idx="43">
                  <c:v>216</c:v>
                </c:pt>
                <c:pt idx="44">
                  <c:v>343</c:v>
                </c:pt>
                <c:pt idx="45">
                  <c:v>343</c:v>
                </c:pt>
                <c:pt idx="46">
                  <c:v>64</c:v>
                </c:pt>
                <c:pt idx="47">
                  <c:v>64</c:v>
                </c:pt>
                <c:pt idx="48">
                  <c:v>343</c:v>
                </c:pt>
                <c:pt idx="49">
                  <c:v>125</c:v>
                </c:pt>
                <c:pt idx="50">
                  <c:v>216</c:v>
                </c:pt>
                <c:pt idx="51">
                  <c:v>64</c:v>
                </c:pt>
                <c:pt idx="52">
                  <c:v>343</c:v>
                </c:pt>
                <c:pt idx="53">
                  <c:v>216</c:v>
                </c:pt>
                <c:pt idx="54">
                  <c:v>216</c:v>
                </c:pt>
                <c:pt idx="55">
                  <c:v>216</c:v>
                </c:pt>
                <c:pt idx="56">
                  <c:v>64</c:v>
                </c:pt>
                <c:pt idx="57">
                  <c:v>343</c:v>
                </c:pt>
                <c:pt idx="58">
                  <c:v>125</c:v>
                </c:pt>
                <c:pt idx="59">
                  <c:v>343</c:v>
                </c:pt>
                <c:pt idx="60">
                  <c:v>64</c:v>
                </c:pt>
                <c:pt idx="61">
                  <c:v>216</c:v>
                </c:pt>
                <c:pt idx="62">
                  <c:v>216</c:v>
                </c:pt>
                <c:pt idx="63">
                  <c:v>216</c:v>
                </c:pt>
                <c:pt idx="64">
                  <c:v>64</c:v>
                </c:pt>
                <c:pt idx="65">
                  <c:v>125</c:v>
                </c:pt>
                <c:pt idx="66">
                  <c:v>64</c:v>
                </c:pt>
                <c:pt idx="67">
                  <c:v>64</c:v>
                </c:pt>
                <c:pt idx="68">
                  <c:v>216</c:v>
                </c:pt>
                <c:pt idx="69">
                  <c:v>64</c:v>
                </c:pt>
                <c:pt idx="70">
                  <c:v>125</c:v>
                </c:pt>
                <c:pt idx="71">
                  <c:v>216</c:v>
                </c:pt>
                <c:pt idx="72">
                  <c:v>343</c:v>
                </c:pt>
                <c:pt idx="73">
                  <c:v>343</c:v>
                </c:pt>
                <c:pt idx="74">
                  <c:v>343</c:v>
                </c:pt>
                <c:pt idx="75">
                  <c:v>343</c:v>
                </c:pt>
                <c:pt idx="76">
                  <c:v>216</c:v>
                </c:pt>
                <c:pt idx="77">
                  <c:v>125</c:v>
                </c:pt>
                <c:pt idx="78">
                  <c:v>343</c:v>
                </c:pt>
                <c:pt idx="79">
                  <c:v>512</c:v>
                </c:pt>
                <c:pt idx="80">
                  <c:v>216</c:v>
                </c:pt>
                <c:pt idx="81">
                  <c:v>343</c:v>
                </c:pt>
                <c:pt idx="82">
                  <c:v>512</c:v>
                </c:pt>
                <c:pt idx="83">
                  <c:v>343</c:v>
                </c:pt>
                <c:pt idx="84">
                  <c:v>125</c:v>
                </c:pt>
                <c:pt idx="85">
                  <c:v>512</c:v>
                </c:pt>
                <c:pt idx="86">
                  <c:v>343</c:v>
                </c:pt>
                <c:pt idx="87">
                  <c:v>512</c:v>
                </c:pt>
                <c:pt idx="88">
                  <c:v>64</c:v>
                </c:pt>
                <c:pt idx="89">
                  <c:v>343</c:v>
                </c:pt>
                <c:pt idx="90">
                  <c:v>64</c:v>
                </c:pt>
                <c:pt idx="91">
                  <c:v>216</c:v>
                </c:pt>
                <c:pt idx="92">
                  <c:v>64</c:v>
                </c:pt>
                <c:pt idx="93">
                  <c:v>512</c:v>
                </c:pt>
                <c:pt idx="94">
                  <c:v>343</c:v>
                </c:pt>
                <c:pt idx="95">
                  <c:v>512</c:v>
                </c:pt>
                <c:pt idx="96">
                  <c:v>512</c:v>
                </c:pt>
                <c:pt idx="97">
                  <c:v>216</c:v>
                </c:pt>
                <c:pt idx="98">
                  <c:v>64</c:v>
                </c:pt>
                <c:pt idx="99">
                  <c:v>343</c:v>
                </c:pt>
                <c:pt idx="100">
                  <c:v>512</c:v>
                </c:pt>
                <c:pt idx="101">
                  <c:v>216</c:v>
                </c:pt>
                <c:pt idx="102">
                  <c:v>343</c:v>
                </c:pt>
                <c:pt idx="103">
                  <c:v>64</c:v>
                </c:pt>
                <c:pt idx="104">
                  <c:v>343</c:v>
                </c:pt>
                <c:pt idx="105">
                  <c:v>64</c:v>
                </c:pt>
                <c:pt idx="106">
                  <c:v>343</c:v>
                </c:pt>
                <c:pt idx="107">
                  <c:v>512</c:v>
                </c:pt>
                <c:pt idx="108">
                  <c:v>64</c:v>
                </c:pt>
                <c:pt idx="109">
                  <c:v>64</c:v>
                </c:pt>
                <c:pt idx="110">
                  <c:v>64</c:v>
                </c:pt>
                <c:pt idx="111">
                  <c:v>216</c:v>
                </c:pt>
                <c:pt idx="112">
                  <c:v>512</c:v>
                </c:pt>
                <c:pt idx="113">
                  <c:v>343</c:v>
                </c:pt>
                <c:pt idx="114">
                  <c:v>343</c:v>
                </c:pt>
                <c:pt idx="115">
                  <c:v>64</c:v>
                </c:pt>
                <c:pt idx="116">
                  <c:v>64</c:v>
                </c:pt>
                <c:pt idx="117">
                  <c:v>512</c:v>
                </c:pt>
                <c:pt idx="118">
                  <c:v>512</c:v>
                </c:pt>
                <c:pt idx="119">
                  <c:v>64</c:v>
                </c:pt>
                <c:pt idx="120">
                  <c:v>512</c:v>
                </c:pt>
                <c:pt idx="121">
                  <c:v>343</c:v>
                </c:pt>
                <c:pt idx="122">
                  <c:v>343</c:v>
                </c:pt>
                <c:pt idx="123">
                  <c:v>512</c:v>
                </c:pt>
                <c:pt idx="124">
                  <c:v>64</c:v>
                </c:pt>
                <c:pt idx="125">
                  <c:v>343</c:v>
                </c:pt>
                <c:pt idx="126">
                  <c:v>64</c:v>
                </c:pt>
                <c:pt idx="127">
                  <c:v>343</c:v>
                </c:pt>
                <c:pt idx="128">
                  <c:v>512</c:v>
                </c:pt>
                <c:pt idx="129">
                  <c:v>512</c:v>
                </c:pt>
                <c:pt idx="130">
                  <c:v>512</c:v>
                </c:pt>
                <c:pt idx="131">
                  <c:v>64</c:v>
                </c:pt>
                <c:pt idx="132">
                  <c:v>512</c:v>
                </c:pt>
                <c:pt idx="133">
                  <c:v>512</c:v>
                </c:pt>
                <c:pt idx="134">
                  <c:v>343</c:v>
                </c:pt>
                <c:pt idx="135">
                  <c:v>216</c:v>
                </c:pt>
                <c:pt idx="136">
                  <c:v>64</c:v>
                </c:pt>
                <c:pt idx="137">
                  <c:v>512</c:v>
                </c:pt>
                <c:pt idx="138">
                  <c:v>64</c:v>
                </c:pt>
                <c:pt idx="139">
                  <c:v>64</c:v>
                </c:pt>
                <c:pt idx="140">
                  <c:v>512</c:v>
                </c:pt>
                <c:pt idx="141">
                  <c:v>512</c:v>
                </c:pt>
                <c:pt idx="142">
                  <c:v>512</c:v>
                </c:pt>
                <c:pt idx="143">
                  <c:v>512</c:v>
                </c:pt>
                <c:pt idx="144">
                  <c:v>343</c:v>
                </c:pt>
                <c:pt idx="145">
                  <c:v>512</c:v>
                </c:pt>
                <c:pt idx="146">
                  <c:v>512</c:v>
                </c:pt>
                <c:pt idx="147">
                  <c:v>343</c:v>
                </c:pt>
                <c:pt idx="148">
                  <c:v>512</c:v>
                </c:pt>
                <c:pt idx="149">
                  <c:v>512</c:v>
                </c:pt>
              </c:numCache>
            </c:numRef>
          </c:xVal>
          <c:yVal>
            <c:numRef>
              <c:f>X!$M$2:$M$152</c:f>
              <c:numCache>
                <c:formatCode>General</c:formatCode>
                <c:ptCount val="151"/>
                <c:pt idx="0">
                  <c:v>6.6018726205376197</c:v>
                </c:pt>
                <c:pt idx="1">
                  <c:v>6.0013574702704711</c:v>
                </c:pt>
                <c:pt idx="2">
                  <c:v>6.9645128289256331</c:v>
                </c:pt>
                <c:pt idx="3">
                  <c:v>7.0827108080388586</c:v>
                </c:pt>
                <c:pt idx="4">
                  <c:v>4.9504329778667451</c:v>
                </c:pt>
                <c:pt idx="5">
                  <c:v>6.2106878578872982</c:v>
                </c:pt>
                <c:pt idx="6">
                  <c:v>7.4916516255545549</c:v>
                </c:pt>
                <c:pt idx="7">
                  <c:v>6.7580102198719096</c:v>
                </c:pt>
                <c:pt idx="8">
                  <c:v>6.7385610502455959</c:v>
                </c:pt>
                <c:pt idx="9">
                  <c:v>6.8504183808630525</c:v>
                </c:pt>
                <c:pt idx="10">
                  <c:v>6.6761181790299418</c:v>
                </c:pt>
                <c:pt idx="11">
                  <c:v>6.808521625248046</c:v>
                </c:pt>
                <c:pt idx="12">
                  <c:v>6.7563061015938874</c:v>
                </c:pt>
                <c:pt idx="13">
                  <c:v>6.7265992322369392</c:v>
                </c:pt>
                <c:pt idx="14">
                  <c:v>6.9835099227083557</c:v>
                </c:pt>
                <c:pt idx="15">
                  <c:v>6.7141290865077776</c:v>
                </c:pt>
                <c:pt idx="16">
                  <c:v>7.1375484558526949</c:v>
                </c:pt>
                <c:pt idx="17">
                  <c:v>6.8040649649880924</c:v>
                </c:pt>
                <c:pt idx="18">
                  <c:v>7.2902441986525996</c:v>
                </c:pt>
                <c:pt idx="19">
                  <c:v>7.2037511670347705</c:v>
                </c:pt>
                <c:pt idx="20">
                  <c:v>6.7908881640795062</c:v>
                </c:pt>
                <c:pt idx="21">
                  <c:v>6.9412555219690759</c:v>
                </c:pt>
                <c:pt idx="22">
                  <c:v>7.26273284671041</c:v>
                </c:pt>
                <c:pt idx="23">
                  <c:v>6.9204747019857846</c:v>
                </c:pt>
                <c:pt idx="24">
                  <c:v>7.8123542766633944</c:v>
                </c:pt>
                <c:pt idx="25">
                  <c:v>7.2976827970756322</c:v>
                </c:pt>
                <c:pt idx="26">
                  <c:v>7.9507218406247953</c:v>
                </c:pt>
                <c:pt idx="27">
                  <c:v>7.2793222090981686</c:v>
                </c:pt>
                <c:pt idx="28">
                  <c:v>6.8610167101396771</c:v>
                </c:pt>
                <c:pt idx="29">
                  <c:v>7.221957050062108</c:v>
                </c:pt>
                <c:pt idx="30">
                  <c:v>6.7319451176648988</c:v>
                </c:pt>
                <c:pt idx="31">
                  <c:v>6.8970776194484849</c:v>
                </c:pt>
                <c:pt idx="32">
                  <c:v>7.3007352146536588</c:v>
                </c:pt>
                <c:pt idx="33">
                  <c:v>6.9207461740329306</c:v>
                </c:pt>
                <c:pt idx="34">
                  <c:v>6.8892380080901532</c:v>
                </c:pt>
                <c:pt idx="35">
                  <c:v>6.8320805588194409</c:v>
                </c:pt>
                <c:pt idx="36">
                  <c:v>6.754700722777625</c:v>
                </c:pt>
                <c:pt idx="37">
                  <c:v>7.0038363594891937</c:v>
                </c:pt>
                <c:pt idx="38">
                  <c:v>6.7953277117021065</c:v>
                </c:pt>
                <c:pt idx="39">
                  <c:v>7.2322782409519881</c:v>
                </c:pt>
                <c:pt idx="40">
                  <c:v>6.929270692367993</c:v>
                </c:pt>
                <c:pt idx="41">
                  <c:v>6.9175408105489966</c:v>
                </c:pt>
                <c:pt idx="42">
                  <c:v>7.3642522785884843</c:v>
                </c:pt>
                <c:pt idx="43">
                  <c:v>7.3390022182812924</c:v>
                </c:pt>
                <c:pt idx="44">
                  <c:v>7.6007946034441893</c:v>
                </c:pt>
                <c:pt idx="45">
                  <c:v>7.4453124761020701</c:v>
                </c:pt>
                <c:pt idx="46">
                  <c:v>5.6221500680955092</c:v>
                </c:pt>
                <c:pt idx="47">
                  <c:v>6.1671504285339678</c:v>
                </c:pt>
                <c:pt idx="48">
                  <c:v>7.6578655295097242</c:v>
                </c:pt>
                <c:pt idx="49">
                  <c:v>6.812073829564838</c:v>
                </c:pt>
                <c:pt idx="50">
                  <c:v>7.2760335373867981</c:v>
                </c:pt>
                <c:pt idx="51">
                  <c:v>6.964357122613559</c:v>
                </c:pt>
                <c:pt idx="52">
                  <c:v>7.4908815615286644</c:v>
                </c:pt>
                <c:pt idx="53">
                  <c:v>7.3614083567297239</c:v>
                </c:pt>
                <c:pt idx="54">
                  <c:v>7.326598942207716</c:v>
                </c:pt>
                <c:pt idx="55">
                  <c:v>7.3546520824712571</c:v>
                </c:pt>
                <c:pt idx="56">
                  <c:v>5.4992621633717995</c:v>
                </c:pt>
                <c:pt idx="57">
                  <c:v>7.689222431896936</c:v>
                </c:pt>
                <c:pt idx="58">
                  <c:v>6.832978345891231</c:v>
                </c:pt>
                <c:pt idx="59">
                  <c:v>7.7201998336194029</c:v>
                </c:pt>
                <c:pt idx="60">
                  <c:v>6.995456625167952</c:v>
                </c:pt>
                <c:pt idx="61">
                  <c:v>7.3363665315476849</c:v>
                </c:pt>
                <c:pt idx="62">
                  <c:v>7.3424380734190624</c:v>
                </c:pt>
                <c:pt idx="63">
                  <c:v>7.2750593521198779</c:v>
                </c:pt>
                <c:pt idx="64">
                  <c:v>6.8837964156858114</c:v>
                </c:pt>
                <c:pt idx="65">
                  <c:v>6.8510695368713836</c:v>
                </c:pt>
                <c:pt idx="66">
                  <c:v>6.4314462173703113</c:v>
                </c:pt>
                <c:pt idx="67">
                  <c:v>5.87034299770899</c:v>
                </c:pt>
                <c:pt idx="68">
                  <c:v>7.3721385068440854</c:v>
                </c:pt>
                <c:pt idx="69">
                  <c:v>7.1068511329481971</c:v>
                </c:pt>
                <c:pt idx="70">
                  <c:v>6.7340236148740367</c:v>
                </c:pt>
                <c:pt idx="71">
                  <c:v>7.2484026853723531</c:v>
                </c:pt>
                <c:pt idx="72">
                  <c:v>7.6610092679347224</c:v>
                </c:pt>
                <c:pt idx="73">
                  <c:v>7.5800874393370163</c:v>
                </c:pt>
                <c:pt idx="74">
                  <c:v>7.5439225663538991</c:v>
                </c:pt>
                <c:pt idx="75">
                  <c:v>7.6567080748960743</c:v>
                </c:pt>
                <c:pt idx="76">
                  <c:v>7.3636166191531665</c:v>
                </c:pt>
                <c:pt idx="77">
                  <c:v>6.8050138923227923</c:v>
                </c:pt>
                <c:pt idx="78">
                  <c:v>7.7151331472064344</c:v>
                </c:pt>
                <c:pt idx="79">
                  <c:v>7.7801097036766622</c:v>
                </c:pt>
                <c:pt idx="80">
                  <c:v>7.3460005968613151</c:v>
                </c:pt>
                <c:pt idx="81">
                  <c:v>7.5522430394926623</c:v>
                </c:pt>
                <c:pt idx="82">
                  <c:v>8.0911394184830421</c:v>
                </c:pt>
                <c:pt idx="83">
                  <c:v>7.6923511098439423</c:v>
                </c:pt>
                <c:pt idx="84">
                  <c:v>6.7511949931598361</c:v>
                </c:pt>
                <c:pt idx="85">
                  <c:v>8.0112837314739433</c:v>
                </c:pt>
                <c:pt idx="86">
                  <c:v>7.7769753796907501</c:v>
                </c:pt>
                <c:pt idx="87">
                  <c:v>7.9258800984553108</c:v>
                </c:pt>
                <c:pt idx="88">
                  <c:v>7.1463131919219549</c:v>
                </c:pt>
                <c:pt idx="89">
                  <c:v>7.6500068213819405</c:v>
                </c:pt>
                <c:pt idx="90">
                  <c:v>6.6919723080840443</c:v>
                </c:pt>
                <c:pt idx="91">
                  <c:v>7.241879518352885</c:v>
                </c:pt>
                <c:pt idx="92">
                  <c:v>7.0216486364624773</c:v>
                </c:pt>
                <c:pt idx="93">
                  <c:v>8.1536440553817311</c:v>
                </c:pt>
                <c:pt idx="94">
                  <c:v>7.7793202782585533</c:v>
                </c:pt>
                <c:pt idx="95">
                  <c:v>7.8382432534462962</c:v>
                </c:pt>
                <c:pt idx="96">
                  <c:v>8.0713819383783356</c:v>
                </c:pt>
                <c:pt idx="97">
                  <c:v>7.2663413526008886</c:v>
                </c:pt>
                <c:pt idx="98">
                  <c:v>7.1176502996320998</c:v>
                </c:pt>
                <c:pt idx="99">
                  <c:v>7.7108508188073399</c:v>
                </c:pt>
                <c:pt idx="100">
                  <c:v>7.9939458773857535</c:v>
                </c:pt>
                <c:pt idx="101">
                  <c:v>7.3119840170564281</c:v>
                </c:pt>
                <c:pt idx="102">
                  <c:v>7.728042895670586</c:v>
                </c:pt>
                <c:pt idx="103">
                  <c:v>6.6428829117493731</c:v>
                </c:pt>
                <c:pt idx="104">
                  <c:v>7.749616276198962</c:v>
                </c:pt>
                <c:pt idx="105">
                  <c:v>7.1299708516039866</c:v>
                </c:pt>
                <c:pt idx="106">
                  <c:v>7.7297295110852353</c:v>
                </c:pt>
                <c:pt idx="107">
                  <c:v>7.9107231067130188</c:v>
                </c:pt>
                <c:pt idx="108">
                  <c:v>7.3155844388740503</c:v>
                </c:pt>
                <c:pt idx="109">
                  <c:v>7.1140664903105453</c:v>
                </c:pt>
                <c:pt idx="110">
                  <c:v>7.1416085103506957</c:v>
                </c:pt>
                <c:pt idx="111">
                  <c:v>7.2971265023876306</c:v>
                </c:pt>
                <c:pt idx="112">
                  <c:v>7.9594258661467583</c:v>
                </c:pt>
                <c:pt idx="113">
                  <c:v>7.6146976683215497</c:v>
                </c:pt>
                <c:pt idx="114">
                  <c:v>7.7204673688923453</c:v>
                </c:pt>
                <c:pt idx="115">
                  <c:v>7.0553945100520288</c:v>
                </c:pt>
                <c:pt idx="116">
                  <c:v>6.9830352506499134</c:v>
                </c:pt>
                <c:pt idx="117">
                  <c:v>8.1796357891523996</c:v>
                </c:pt>
                <c:pt idx="118">
                  <c:v>7.9110095119494668</c:v>
                </c:pt>
                <c:pt idx="119">
                  <c:v>7.1806614167794161</c:v>
                </c:pt>
                <c:pt idx="120">
                  <c:v>8.0840324986635839</c:v>
                </c:pt>
                <c:pt idx="121">
                  <c:v>7.6683420863834906</c:v>
                </c:pt>
                <c:pt idx="122">
                  <c:v>7.6154090971948705</c:v>
                </c:pt>
                <c:pt idx="123">
                  <c:v>7.9780971730290897</c:v>
                </c:pt>
                <c:pt idx="124">
                  <c:v>7.2462613534173324</c:v>
                </c:pt>
                <c:pt idx="125">
                  <c:v>7.6846955783657158</c:v>
                </c:pt>
                <c:pt idx="126">
                  <c:v>7.1023723999401254</c:v>
                </c:pt>
                <c:pt idx="127">
                  <c:v>7.6917067189926369</c:v>
                </c:pt>
                <c:pt idx="128">
                  <c:v>8.0952341666432091</c:v>
                </c:pt>
                <c:pt idx="129">
                  <c:v>8.052806061938373</c:v>
                </c:pt>
                <c:pt idx="130">
                  <c:v>7.9671155654164636</c:v>
                </c:pt>
                <c:pt idx="131">
                  <c:v>7.047551191584712</c:v>
                </c:pt>
                <c:pt idx="132">
                  <c:v>8.1620074191791439</c:v>
                </c:pt>
                <c:pt idx="133">
                  <c:v>8.1632613327592853</c:v>
                </c:pt>
                <c:pt idx="134">
                  <c:v>7.6836806018897956</c:v>
                </c:pt>
                <c:pt idx="135">
                  <c:v>7.2480987574606717</c:v>
                </c:pt>
                <c:pt idx="136">
                  <c:v>7.006623056933476</c:v>
                </c:pt>
                <c:pt idx="137">
                  <c:v>7.9147045300636121</c:v>
                </c:pt>
                <c:pt idx="138">
                  <c:v>7.0575423572595115</c:v>
                </c:pt>
                <c:pt idx="139">
                  <c:v>7.2636681345825798</c:v>
                </c:pt>
                <c:pt idx="140">
                  <c:v>8.0006160990081803</c:v>
                </c:pt>
                <c:pt idx="141">
                  <c:v>7.9148152285473587</c:v>
                </c:pt>
                <c:pt idx="142">
                  <c:v>8.0379631583012028</c:v>
                </c:pt>
                <c:pt idx="143">
                  <c:v>8.0025537060954974</c:v>
                </c:pt>
                <c:pt idx="144">
                  <c:v>7.6243777102479386</c:v>
                </c:pt>
                <c:pt idx="145">
                  <c:v>8.1215957936815961</c:v>
                </c:pt>
                <c:pt idx="146">
                  <c:v>7.9576981049188449</c:v>
                </c:pt>
                <c:pt idx="147">
                  <c:v>7.5935084820080192</c:v>
                </c:pt>
                <c:pt idx="148">
                  <c:v>7.8506953577317944</c:v>
                </c:pt>
                <c:pt idx="149">
                  <c:v>7.7791010294434288</c:v>
                </c:pt>
              </c:numCache>
            </c:numRef>
          </c:yVal>
          <c:smooth val="0"/>
          <c:extLst>
            <c:ext xmlns:c16="http://schemas.microsoft.com/office/drawing/2014/chart" uri="{C3380CC4-5D6E-409C-BE32-E72D297353CC}">
              <c16:uniqueId val="{00000000-8B3D-4551-BE85-51A707B78F6F}"/>
            </c:ext>
          </c:extLst>
        </c:ser>
        <c:dLbls>
          <c:showLegendKey val="0"/>
          <c:showVal val="0"/>
          <c:showCatName val="0"/>
          <c:showSerName val="0"/>
          <c:showPercent val="0"/>
          <c:showBubbleSize val="0"/>
        </c:dLbls>
        <c:axId val="1249963152"/>
        <c:axId val="1249956496"/>
      </c:scatterChart>
      <c:valAx>
        <c:axId val="1249963152"/>
        <c:scaling>
          <c:logBase val="10"/>
          <c:orientation val="minMax"/>
          <c:min val="1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56496"/>
        <c:crosses val="autoZero"/>
        <c:crossBetween val="midCat"/>
      </c:valAx>
      <c:valAx>
        <c:axId val="1249956496"/>
        <c:scaling>
          <c:orientation val="minMax"/>
          <c:min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631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eta -&gt; sahre NF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X!$Y$1</c:f>
              <c:strCache>
                <c:ptCount val="1"/>
                <c:pt idx="0">
                  <c:v>share CPU NF</c:v>
                </c:pt>
              </c:strCache>
            </c:strRef>
          </c:tx>
          <c:spPr>
            <a:ln w="19050" cap="rnd">
              <a:noFill/>
              <a:round/>
            </a:ln>
            <a:effectLst/>
          </c:spPr>
          <c:marker>
            <c:symbol val="circle"/>
            <c:size val="5"/>
            <c:spPr>
              <a:solidFill>
                <a:schemeClr val="accent1"/>
              </a:solidFill>
              <a:ln w="9525">
                <a:solidFill>
                  <a:schemeClr val="accent1"/>
                </a:solidFill>
              </a:ln>
              <a:effectLst/>
            </c:spPr>
          </c:marker>
          <c:xVal>
            <c:numRef>
              <c:f>X!$D$2:$D$152</c:f>
              <c:numCache>
                <c:formatCode>General</c:formatCode>
                <c:ptCount val="151"/>
                <c:pt idx="0">
                  <c:v>0.95</c:v>
                </c:pt>
                <c:pt idx="1">
                  <c:v>0.95</c:v>
                </c:pt>
                <c:pt idx="2">
                  <c:v>0.95</c:v>
                </c:pt>
                <c:pt idx="3">
                  <c:v>0.95</c:v>
                </c:pt>
                <c:pt idx="4">
                  <c:v>0.95</c:v>
                </c:pt>
                <c:pt idx="5">
                  <c:v>0.8</c:v>
                </c:pt>
                <c:pt idx="6">
                  <c:v>0.95</c:v>
                </c:pt>
                <c:pt idx="7">
                  <c:v>0.8</c:v>
                </c:pt>
                <c:pt idx="8">
                  <c:v>0.95</c:v>
                </c:pt>
                <c:pt idx="9">
                  <c:v>0.95</c:v>
                </c:pt>
                <c:pt idx="10">
                  <c:v>0.95</c:v>
                </c:pt>
                <c:pt idx="11">
                  <c:v>0.8</c:v>
                </c:pt>
                <c:pt idx="12">
                  <c:v>0.8</c:v>
                </c:pt>
                <c:pt idx="13">
                  <c:v>0.65</c:v>
                </c:pt>
                <c:pt idx="14">
                  <c:v>0.65</c:v>
                </c:pt>
                <c:pt idx="15">
                  <c:v>0.8</c:v>
                </c:pt>
                <c:pt idx="16">
                  <c:v>0.95</c:v>
                </c:pt>
                <c:pt idx="17">
                  <c:v>0.95</c:v>
                </c:pt>
                <c:pt idx="18">
                  <c:v>0.8</c:v>
                </c:pt>
                <c:pt idx="19">
                  <c:v>0.8</c:v>
                </c:pt>
                <c:pt idx="20">
                  <c:v>0.65</c:v>
                </c:pt>
                <c:pt idx="21">
                  <c:v>0.65</c:v>
                </c:pt>
                <c:pt idx="22">
                  <c:v>0.8</c:v>
                </c:pt>
                <c:pt idx="23">
                  <c:v>0.5</c:v>
                </c:pt>
                <c:pt idx="24">
                  <c:v>0.95</c:v>
                </c:pt>
                <c:pt idx="25">
                  <c:v>0.65</c:v>
                </c:pt>
                <c:pt idx="26">
                  <c:v>0.95</c:v>
                </c:pt>
                <c:pt idx="27">
                  <c:v>0.65</c:v>
                </c:pt>
                <c:pt idx="28">
                  <c:v>0.65</c:v>
                </c:pt>
                <c:pt idx="29">
                  <c:v>0.8</c:v>
                </c:pt>
                <c:pt idx="30">
                  <c:v>0.5</c:v>
                </c:pt>
                <c:pt idx="31">
                  <c:v>0.35</c:v>
                </c:pt>
                <c:pt idx="32">
                  <c:v>0.8</c:v>
                </c:pt>
                <c:pt idx="33">
                  <c:v>0.5</c:v>
                </c:pt>
                <c:pt idx="34">
                  <c:v>0.5</c:v>
                </c:pt>
                <c:pt idx="35">
                  <c:v>0.2</c:v>
                </c:pt>
                <c:pt idx="36">
                  <c:v>0.35</c:v>
                </c:pt>
                <c:pt idx="37">
                  <c:v>0.95</c:v>
                </c:pt>
                <c:pt idx="38">
                  <c:v>0.5</c:v>
                </c:pt>
                <c:pt idx="39">
                  <c:v>0.95</c:v>
                </c:pt>
                <c:pt idx="40">
                  <c:v>0.95</c:v>
                </c:pt>
                <c:pt idx="41">
                  <c:v>0.35</c:v>
                </c:pt>
                <c:pt idx="42">
                  <c:v>0.65</c:v>
                </c:pt>
                <c:pt idx="43">
                  <c:v>0.5</c:v>
                </c:pt>
                <c:pt idx="44">
                  <c:v>0.95</c:v>
                </c:pt>
                <c:pt idx="45">
                  <c:v>0.95</c:v>
                </c:pt>
                <c:pt idx="46">
                  <c:v>0.95</c:v>
                </c:pt>
                <c:pt idx="47">
                  <c:v>0.8</c:v>
                </c:pt>
                <c:pt idx="48">
                  <c:v>0.8</c:v>
                </c:pt>
                <c:pt idx="49">
                  <c:v>0.35</c:v>
                </c:pt>
                <c:pt idx="50">
                  <c:v>0.5</c:v>
                </c:pt>
                <c:pt idx="51">
                  <c:v>0.8</c:v>
                </c:pt>
                <c:pt idx="52">
                  <c:v>0.8</c:v>
                </c:pt>
                <c:pt idx="53">
                  <c:v>0.35</c:v>
                </c:pt>
                <c:pt idx="54">
                  <c:v>0.65</c:v>
                </c:pt>
                <c:pt idx="55">
                  <c:v>0.65</c:v>
                </c:pt>
                <c:pt idx="56">
                  <c:v>0.8</c:v>
                </c:pt>
                <c:pt idx="57">
                  <c:v>0.8</c:v>
                </c:pt>
                <c:pt idx="58">
                  <c:v>0.35</c:v>
                </c:pt>
                <c:pt idx="59">
                  <c:v>0.65</c:v>
                </c:pt>
                <c:pt idx="60">
                  <c:v>0.8</c:v>
                </c:pt>
                <c:pt idx="61">
                  <c:v>0.2</c:v>
                </c:pt>
                <c:pt idx="62">
                  <c:v>0.5</c:v>
                </c:pt>
                <c:pt idx="63">
                  <c:v>0.35</c:v>
                </c:pt>
                <c:pt idx="64">
                  <c:v>0.8</c:v>
                </c:pt>
                <c:pt idx="65">
                  <c:v>0.2</c:v>
                </c:pt>
                <c:pt idx="66">
                  <c:v>0.95</c:v>
                </c:pt>
                <c:pt idx="67">
                  <c:v>0.65</c:v>
                </c:pt>
                <c:pt idx="68">
                  <c:v>0.5</c:v>
                </c:pt>
                <c:pt idx="69">
                  <c:v>0.65</c:v>
                </c:pt>
                <c:pt idx="70">
                  <c:v>0.2</c:v>
                </c:pt>
                <c:pt idx="71">
                  <c:v>0.5</c:v>
                </c:pt>
                <c:pt idx="72">
                  <c:v>0.8</c:v>
                </c:pt>
                <c:pt idx="73">
                  <c:v>0.8</c:v>
                </c:pt>
                <c:pt idx="74">
                  <c:v>0.95</c:v>
                </c:pt>
                <c:pt idx="75">
                  <c:v>0.95</c:v>
                </c:pt>
                <c:pt idx="76">
                  <c:v>0.35</c:v>
                </c:pt>
                <c:pt idx="77">
                  <c:v>0.2</c:v>
                </c:pt>
                <c:pt idx="78">
                  <c:v>0.65</c:v>
                </c:pt>
                <c:pt idx="79">
                  <c:v>0.95</c:v>
                </c:pt>
                <c:pt idx="80">
                  <c:v>0.35</c:v>
                </c:pt>
                <c:pt idx="81">
                  <c:v>0.65</c:v>
                </c:pt>
                <c:pt idx="82">
                  <c:v>0.95</c:v>
                </c:pt>
                <c:pt idx="83">
                  <c:v>0.5</c:v>
                </c:pt>
                <c:pt idx="84">
                  <c:v>0.2</c:v>
                </c:pt>
                <c:pt idx="85">
                  <c:v>0.8</c:v>
                </c:pt>
                <c:pt idx="86">
                  <c:v>0.65</c:v>
                </c:pt>
                <c:pt idx="87">
                  <c:v>0.8</c:v>
                </c:pt>
                <c:pt idx="88">
                  <c:v>0.65</c:v>
                </c:pt>
                <c:pt idx="89">
                  <c:v>0.65</c:v>
                </c:pt>
                <c:pt idx="90">
                  <c:v>0.65</c:v>
                </c:pt>
                <c:pt idx="91">
                  <c:v>0.2</c:v>
                </c:pt>
                <c:pt idx="92">
                  <c:v>0.65</c:v>
                </c:pt>
                <c:pt idx="93">
                  <c:v>0.8</c:v>
                </c:pt>
                <c:pt idx="94">
                  <c:v>0.5</c:v>
                </c:pt>
                <c:pt idx="95">
                  <c:v>0.8</c:v>
                </c:pt>
                <c:pt idx="96">
                  <c:v>0.65</c:v>
                </c:pt>
                <c:pt idx="97">
                  <c:v>0.35</c:v>
                </c:pt>
                <c:pt idx="98">
                  <c:v>0.5</c:v>
                </c:pt>
                <c:pt idx="99">
                  <c:v>0.35</c:v>
                </c:pt>
                <c:pt idx="100">
                  <c:v>0.65</c:v>
                </c:pt>
                <c:pt idx="101">
                  <c:v>0.2</c:v>
                </c:pt>
                <c:pt idx="102">
                  <c:v>0.5</c:v>
                </c:pt>
                <c:pt idx="103">
                  <c:v>0.5</c:v>
                </c:pt>
                <c:pt idx="104">
                  <c:v>0.5</c:v>
                </c:pt>
                <c:pt idx="105">
                  <c:v>0.35</c:v>
                </c:pt>
                <c:pt idx="106">
                  <c:v>0.35</c:v>
                </c:pt>
                <c:pt idx="107">
                  <c:v>0.95</c:v>
                </c:pt>
                <c:pt idx="108">
                  <c:v>0.5</c:v>
                </c:pt>
                <c:pt idx="109">
                  <c:v>0.5</c:v>
                </c:pt>
                <c:pt idx="110">
                  <c:v>0.5</c:v>
                </c:pt>
                <c:pt idx="111">
                  <c:v>0.2</c:v>
                </c:pt>
                <c:pt idx="112">
                  <c:v>0.8</c:v>
                </c:pt>
                <c:pt idx="113">
                  <c:v>0.5</c:v>
                </c:pt>
                <c:pt idx="114">
                  <c:v>0.35</c:v>
                </c:pt>
                <c:pt idx="115">
                  <c:v>0.2</c:v>
                </c:pt>
                <c:pt idx="116">
                  <c:v>0.35</c:v>
                </c:pt>
                <c:pt idx="117">
                  <c:v>0.65</c:v>
                </c:pt>
                <c:pt idx="118">
                  <c:v>0.65</c:v>
                </c:pt>
                <c:pt idx="119">
                  <c:v>0.35</c:v>
                </c:pt>
                <c:pt idx="120">
                  <c:v>0.5</c:v>
                </c:pt>
                <c:pt idx="121">
                  <c:v>0.2</c:v>
                </c:pt>
                <c:pt idx="122">
                  <c:v>0.35</c:v>
                </c:pt>
                <c:pt idx="123">
                  <c:v>0.65</c:v>
                </c:pt>
                <c:pt idx="124">
                  <c:v>0.35</c:v>
                </c:pt>
                <c:pt idx="125">
                  <c:v>0.35</c:v>
                </c:pt>
                <c:pt idx="126">
                  <c:v>0.35</c:v>
                </c:pt>
                <c:pt idx="127">
                  <c:v>0.2</c:v>
                </c:pt>
                <c:pt idx="128">
                  <c:v>0.5</c:v>
                </c:pt>
                <c:pt idx="129">
                  <c:v>0.35</c:v>
                </c:pt>
                <c:pt idx="130">
                  <c:v>0.5</c:v>
                </c:pt>
                <c:pt idx="131">
                  <c:v>0.2</c:v>
                </c:pt>
                <c:pt idx="132">
                  <c:v>0.5</c:v>
                </c:pt>
                <c:pt idx="133">
                  <c:v>0.35</c:v>
                </c:pt>
                <c:pt idx="134">
                  <c:v>0.2</c:v>
                </c:pt>
                <c:pt idx="135">
                  <c:v>0.2</c:v>
                </c:pt>
                <c:pt idx="136">
                  <c:v>0.2</c:v>
                </c:pt>
                <c:pt idx="137">
                  <c:v>0.5</c:v>
                </c:pt>
                <c:pt idx="138">
                  <c:v>0.2</c:v>
                </c:pt>
                <c:pt idx="139">
                  <c:v>0.2</c:v>
                </c:pt>
                <c:pt idx="140">
                  <c:v>0.2</c:v>
                </c:pt>
                <c:pt idx="141">
                  <c:v>0.35</c:v>
                </c:pt>
                <c:pt idx="142">
                  <c:v>0.35</c:v>
                </c:pt>
                <c:pt idx="143">
                  <c:v>0.35</c:v>
                </c:pt>
                <c:pt idx="144">
                  <c:v>0.2</c:v>
                </c:pt>
                <c:pt idx="145">
                  <c:v>0.2</c:v>
                </c:pt>
                <c:pt idx="146">
                  <c:v>0.2</c:v>
                </c:pt>
                <c:pt idx="147">
                  <c:v>0.2</c:v>
                </c:pt>
                <c:pt idx="148">
                  <c:v>0.2</c:v>
                </c:pt>
                <c:pt idx="149">
                  <c:v>0.2</c:v>
                </c:pt>
              </c:numCache>
            </c:numRef>
          </c:xVal>
          <c:yVal>
            <c:numRef>
              <c:f>X!$Y$2:$Y$152</c:f>
              <c:numCache>
                <c:formatCode>General</c:formatCode>
                <c:ptCount val="151"/>
                <c:pt idx="0">
                  <c:v>7.5378101460527855E-2</c:v>
                </c:pt>
                <c:pt idx="1">
                  <c:v>7.8479853069739536E-2</c:v>
                </c:pt>
                <c:pt idx="2">
                  <c:v>9.9278110835958389E-2</c:v>
                </c:pt>
                <c:pt idx="3">
                  <c:v>0.10377498438333432</c:v>
                </c:pt>
                <c:pt idx="4">
                  <c:v>0.15415731291566162</c:v>
                </c:pt>
                <c:pt idx="5">
                  <c:v>0.1603957749748344</c:v>
                </c:pt>
                <c:pt idx="6">
                  <c:v>0.16138944356576437</c:v>
                </c:pt>
                <c:pt idx="7">
                  <c:v>0.16394702264468444</c:v>
                </c:pt>
                <c:pt idx="8">
                  <c:v>0.16467811611715136</c:v>
                </c:pt>
                <c:pt idx="9">
                  <c:v>0.17089875280743561</c:v>
                </c:pt>
                <c:pt idx="10">
                  <c:v>0.17745027636957769</c:v>
                </c:pt>
                <c:pt idx="11">
                  <c:v>0.18757943224469548</c:v>
                </c:pt>
                <c:pt idx="12">
                  <c:v>0.1889113078899739</c:v>
                </c:pt>
                <c:pt idx="13">
                  <c:v>0.19013108228268413</c:v>
                </c:pt>
                <c:pt idx="14">
                  <c:v>0.19965756545831506</c:v>
                </c:pt>
                <c:pt idx="15">
                  <c:v>0.20393884199750981</c:v>
                </c:pt>
                <c:pt idx="16">
                  <c:v>0.23152318117821796</c:v>
                </c:pt>
                <c:pt idx="17">
                  <c:v>0.23693046484779781</c:v>
                </c:pt>
                <c:pt idx="18">
                  <c:v>0.24433861928844622</c:v>
                </c:pt>
                <c:pt idx="19">
                  <c:v>0.24565058897349773</c:v>
                </c:pt>
                <c:pt idx="20">
                  <c:v>0.25346732815955836</c:v>
                </c:pt>
                <c:pt idx="21">
                  <c:v>0.25570689957006465</c:v>
                </c:pt>
                <c:pt idx="22">
                  <c:v>0.25644343522011792</c:v>
                </c:pt>
                <c:pt idx="23">
                  <c:v>0.25895018268500875</c:v>
                </c:pt>
                <c:pt idx="24">
                  <c:v>0.26277341391173903</c:v>
                </c:pt>
                <c:pt idx="25">
                  <c:v>0.26452703936912547</c:v>
                </c:pt>
                <c:pt idx="26">
                  <c:v>0.26457915923005387</c:v>
                </c:pt>
                <c:pt idx="27">
                  <c:v>0.26596719612474401</c:v>
                </c:pt>
                <c:pt idx="28">
                  <c:v>0.27827457182022275</c:v>
                </c:pt>
                <c:pt idx="29">
                  <c:v>0.27914650788438772</c:v>
                </c:pt>
                <c:pt idx="30">
                  <c:v>0.27928071552001582</c:v>
                </c:pt>
                <c:pt idx="31">
                  <c:v>0.28032026318223363</c:v>
                </c:pt>
                <c:pt idx="32">
                  <c:v>0.28665256691033919</c:v>
                </c:pt>
                <c:pt idx="33">
                  <c:v>0.3089222601445144</c:v>
                </c:pt>
                <c:pt idx="34">
                  <c:v>0.30984051684389613</c:v>
                </c:pt>
                <c:pt idx="35">
                  <c:v>0.3116437238486211</c:v>
                </c:pt>
                <c:pt idx="36">
                  <c:v>0.31439820442750693</c:v>
                </c:pt>
                <c:pt idx="37">
                  <c:v>0.31486710756017183</c:v>
                </c:pt>
                <c:pt idx="38">
                  <c:v>0.32180504394990417</c:v>
                </c:pt>
                <c:pt idx="39">
                  <c:v>0.32594350121371263</c:v>
                </c:pt>
                <c:pt idx="40">
                  <c:v>0.3273193389256393</c:v>
                </c:pt>
                <c:pt idx="41">
                  <c:v>0.32900983999987504</c:v>
                </c:pt>
                <c:pt idx="42">
                  <c:v>0.33801897583439339</c:v>
                </c:pt>
                <c:pt idx="43">
                  <c:v>0.33932266250706211</c:v>
                </c:pt>
                <c:pt idx="44">
                  <c:v>0.34026007956100585</c:v>
                </c:pt>
                <c:pt idx="45">
                  <c:v>0.34427533797878845</c:v>
                </c:pt>
                <c:pt idx="46">
                  <c:v>0.35605704184243464</c:v>
                </c:pt>
                <c:pt idx="47">
                  <c:v>0.35667789470895828</c:v>
                </c:pt>
                <c:pt idx="48">
                  <c:v>0.35898487659078271</c:v>
                </c:pt>
                <c:pt idx="49">
                  <c:v>0.36057623374912939</c:v>
                </c:pt>
                <c:pt idx="50">
                  <c:v>0.36151967689410308</c:v>
                </c:pt>
                <c:pt idx="51">
                  <c:v>0.36425970776519584</c:v>
                </c:pt>
                <c:pt idx="52">
                  <c:v>0.36702229751310844</c:v>
                </c:pt>
                <c:pt idx="53">
                  <c:v>0.36733592862035086</c:v>
                </c:pt>
                <c:pt idx="54">
                  <c:v>0.36868838736195686</c:v>
                </c:pt>
                <c:pt idx="55">
                  <c:v>0.37764537514018481</c:v>
                </c:pt>
                <c:pt idx="56">
                  <c:v>0.37850394052172937</c:v>
                </c:pt>
                <c:pt idx="57">
                  <c:v>0.37910509870026465</c:v>
                </c:pt>
                <c:pt idx="58">
                  <c:v>0.37970220231390001</c:v>
                </c:pt>
                <c:pt idx="59">
                  <c:v>0.38565693297657611</c:v>
                </c:pt>
                <c:pt idx="60">
                  <c:v>0.39016835779711279</c:v>
                </c:pt>
                <c:pt idx="61">
                  <c:v>0.39898909189875298</c:v>
                </c:pt>
                <c:pt idx="62">
                  <c:v>0.39946965019642877</c:v>
                </c:pt>
                <c:pt idx="63">
                  <c:v>0.40726032426604397</c:v>
                </c:pt>
                <c:pt idx="64">
                  <c:v>0.40764459823757276</c:v>
                </c:pt>
                <c:pt idx="65">
                  <c:v>0.41080534891330756</c:v>
                </c:pt>
                <c:pt idx="66">
                  <c:v>0.41208433103728775</c:v>
                </c:pt>
                <c:pt idx="67">
                  <c:v>0.41704443373703637</c:v>
                </c:pt>
                <c:pt idx="68">
                  <c:v>0.41820252298948096</c:v>
                </c:pt>
                <c:pt idx="69">
                  <c:v>0.4206028111878008</c:v>
                </c:pt>
                <c:pt idx="70">
                  <c:v>0.42107308531571319</c:v>
                </c:pt>
                <c:pt idx="71">
                  <c:v>0.42315613388345236</c:v>
                </c:pt>
                <c:pt idx="72">
                  <c:v>0.42498150862102912</c:v>
                </c:pt>
                <c:pt idx="73">
                  <c:v>0.43348848859761463</c:v>
                </c:pt>
                <c:pt idx="74">
                  <c:v>0.44070870712512433</c:v>
                </c:pt>
                <c:pt idx="75">
                  <c:v>0.45150403475860301</c:v>
                </c:pt>
                <c:pt idx="76">
                  <c:v>0.45196046657854128</c:v>
                </c:pt>
                <c:pt idx="77">
                  <c:v>0.45537125551940016</c:v>
                </c:pt>
                <c:pt idx="78">
                  <c:v>0.46980423453803394</c:v>
                </c:pt>
                <c:pt idx="79">
                  <c:v>0.47218868508601441</c:v>
                </c:pt>
                <c:pt idx="80">
                  <c:v>0.47808111890843885</c:v>
                </c:pt>
                <c:pt idx="81">
                  <c:v>0.47818849008973369</c:v>
                </c:pt>
                <c:pt idx="82">
                  <c:v>0.48852269344758625</c:v>
                </c:pt>
                <c:pt idx="83">
                  <c:v>0.48898060363517792</c:v>
                </c:pt>
                <c:pt idx="84">
                  <c:v>0.50226448600554885</c:v>
                </c:pt>
                <c:pt idx="85">
                  <c:v>0.50361650459984286</c:v>
                </c:pt>
                <c:pt idx="86">
                  <c:v>0.50667757137854585</c:v>
                </c:pt>
                <c:pt idx="87">
                  <c:v>0.51125796847544269</c:v>
                </c:pt>
                <c:pt idx="88">
                  <c:v>0.51300097530827238</c:v>
                </c:pt>
                <c:pt idx="89">
                  <c:v>0.51456521678080802</c:v>
                </c:pt>
                <c:pt idx="90">
                  <c:v>0.51959564098089417</c:v>
                </c:pt>
                <c:pt idx="91">
                  <c:v>0.52141172850252382</c:v>
                </c:pt>
                <c:pt idx="92">
                  <c:v>0.52863694591796073</c:v>
                </c:pt>
                <c:pt idx="93">
                  <c:v>0.53139436635774362</c:v>
                </c:pt>
                <c:pt idx="94">
                  <c:v>0.53250798928253029</c:v>
                </c:pt>
                <c:pt idx="95">
                  <c:v>0.53387918964063374</c:v>
                </c:pt>
                <c:pt idx="96">
                  <c:v>0.53671336521831514</c:v>
                </c:pt>
                <c:pt idx="97">
                  <c:v>0.53892484706048271</c:v>
                </c:pt>
                <c:pt idx="98">
                  <c:v>0.54101719772734291</c:v>
                </c:pt>
                <c:pt idx="99">
                  <c:v>0.54739193747713388</c:v>
                </c:pt>
                <c:pt idx="100">
                  <c:v>0.55145521732332858</c:v>
                </c:pt>
                <c:pt idx="101">
                  <c:v>0.55289980665895111</c:v>
                </c:pt>
                <c:pt idx="102">
                  <c:v>0.56162773462233362</c:v>
                </c:pt>
                <c:pt idx="103">
                  <c:v>0.56191406418587786</c:v>
                </c:pt>
                <c:pt idx="104">
                  <c:v>0.56203840035617414</c:v>
                </c:pt>
                <c:pt idx="105">
                  <c:v>0.5821210117174942</c:v>
                </c:pt>
                <c:pt idx="106">
                  <c:v>0.58318699654547435</c:v>
                </c:pt>
                <c:pt idx="107">
                  <c:v>0.59256508201960023</c:v>
                </c:pt>
                <c:pt idx="108">
                  <c:v>0.5942403994849198</c:v>
                </c:pt>
                <c:pt idx="109">
                  <c:v>0.59779507046758917</c:v>
                </c:pt>
                <c:pt idx="110">
                  <c:v>0.60058685283971136</c:v>
                </c:pt>
                <c:pt idx="111">
                  <c:v>0.60120030117410161</c:v>
                </c:pt>
                <c:pt idx="112">
                  <c:v>0.60153123493957361</c:v>
                </c:pt>
                <c:pt idx="113">
                  <c:v>0.60305612998677705</c:v>
                </c:pt>
                <c:pt idx="114">
                  <c:v>0.61311652584969811</c:v>
                </c:pt>
                <c:pt idx="115">
                  <c:v>0.62206844210777545</c:v>
                </c:pt>
                <c:pt idx="116">
                  <c:v>0.62236150398166756</c:v>
                </c:pt>
                <c:pt idx="117">
                  <c:v>0.62794960895635654</c:v>
                </c:pt>
                <c:pt idx="118">
                  <c:v>0.63261156973568422</c:v>
                </c:pt>
                <c:pt idx="119">
                  <c:v>0.63529252512017442</c:v>
                </c:pt>
                <c:pt idx="120">
                  <c:v>0.6456775902507681</c:v>
                </c:pt>
                <c:pt idx="121">
                  <c:v>0.65410173993356158</c:v>
                </c:pt>
                <c:pt idx="122">
                  <c:v>0.66110414112964744</c:v>
                </c:pt>
                <c:pt idx="123">
                  <c:v>0.66387242557513981</c:v>
                </c:pt>
                <c:pt idx="124">
                  <c:v>0.66708140843358388</c:v>
                </c:pt>
                <c:pt idx="125">
                  <c:v>0.67380086779032533</c:v>
                </c:pt>
                <c:pt idx="126">
                  <c:v>0.68080307083479163</c:v>
                </c:pt>
                <c:pt idx="127">
                  <c:v>0.68136396007582656</c:v>
                </c:pt>
                <c:pt idx="128">
                  <c:v>0.69891608623658996</c:v>
                </c:pt>
                <c:pt idx="129">
                  <c:v>0.70124230831395185</c:v>
                </c:pt>
                <c:pt idx="130">
                  <c:v>0.70379149839552879</c:v>
                </c:pt>
                <c:pt idx="131">
                  <c:v>0.71759039917154921</c:v>
                </c:pt>
                <c:pt idx="132">
                  <c:v>0.71780519275373422</c:v>
                </c:pt>
                <c:pt idx="133">
                  <c:v>0.72343192152793023</c:v>
                </c:pt>
                <c:pt idx="134">
                  <c:v>0.72411968975796337</c:v>
                </c:pt>
                <c:pt idx="135">
                  <c:v>0.72520663159671306</c:v>
                </c:pt>
                <c:pt idx="136">
                  <c:v>0.72574130251946878</c:v>
                </c:pt>
                <c:pt idx="137">
                  <c:v>0.74613497588333422</c:v>
                </c:pt>
                <c:pt idx="138">
                  <c:v>0.75144589299980857</c:v>
                </c:pt>
                <c:pt idx="139">
                  <c:v>0.78160302714111518</c:v>
                </c:pt>
                <c:pt idx="140">
                  <c:v>0.78463571848635827</c:v>
                </c:pt>
                <c:pt idx="141">
                  <c:v>0.78633788991954445</c:v>
                </c:pt>
                <c:pt idx="142">
                  <c:v>0.78814933581229896</c:v>
                </c:pt>
                <c:pt idx="143">
                  <c:v>0.79543077892856506</c:v>
                </c:pt>
                <c:pt idx="144">
                  <c:v>0.82367858072060107</c:v>
                </c:pt>
                <c:pt idx="145">
                  <c:v>0.8354132712821577</c:v>
                </c:pt>
                <c:pt idx="146">
                  <c:v>0.90053300110725376</c:v>
                </c:pt>
                <c:pt idx="147">
                  <c:v>0.91417002097715105</c:v>
                </c:pt>
                <c:pt idx="148">
                  <c:v>0.95429370944575487</c:v>
                </c:pt>
                <c:pt idx="149">
                  <c:v>0.96388679483258399</c:v>
                </c:pt>
              </c:numCache>
            </c:numRef>
          </c:yVal>
          <c:smooth val="0"/>
          <c:extLst>
            <c:ext xmlns:c16="http://schemas.microsoft.com/office/drawing/2014/chart" uri="{C3380CC4-5D6E-409C-BE32-E72D297353CC}">
              <c16:uniqueId val="{00000000-8A81-4A51-80C5-DFF94238A992}"/>
            </c:ext>
          </c:extLst>
        </c:ser>
        <c:dLbls>
          <c:showLegendKey val="0"/>
          <c:showVal val="0"/>
          <c:showCatName val="0"/>
          <c:showSerName val="0"/>
          <c:showPercent val="0"/>
          <c:showBubbleSize val="0"/>
        </c:dLbls>
        <c:axId val="1517883504"/>
        <c:axId val="1517898480"/>
      </c:scatterChart>
      <c:valAx>
        <c:axId val="1517883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898480"/>
        <c:crosses val="autoZero"/>
        <c:crossBetween val="midCat"/>
      </c:valAx>
      <c:valAx>
        <c:axId val="151789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883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N0 -&gt; share NF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X!$Y$1</c:f>
              <c:strCache>
                <c:ptCount val="1"/>
                <c:pt idx="0">
                  <c:v>share CPU NF</c:v>
                </c:pt>
              </c:strCache>
            </c:strRef>
          </c:tx>
          <c:spPr>
            <a:ln w="19050" cap="rnd">
              <a:noFill/>
              <a:round/>
            </a:ln>
            <a:effectLst/>
          </c:spPr>
          <c:marker>
            <c:symbol val="circle"/>
            <c:size val="5"/>
            <c:spPr>
              <a:solidFill>
                <a:schemeClr val="accent1"/>
              </a:solidFill>
              <a:ln w="9525">
                <a:solidFill>
                  <a:schemeClr val="accent1"/>
                </a:solidFill>
              </a:ln>
              <a:effectLst/>
            </c:spPr>
          </c:marker>
          <c:xVal>
            <c:numRef>
              <c:f>X!$C$2:$C$151</c:f>
              <c:numCache>
                <c:formatCode>General</c:formatCode>
                <c:ptCount val="150"/>
                <c:pt idx="0">
                  <c:v>125</c:v>
                </c:pt>
                <c:pt idx="1">
                  <c:v>125</c:v>
                </c:pt>
                <c:pt idx="2">
                  <c:v>216</c:v>
                </c:pt>
                <c:pt idx="3">
                  <c:v>216</c:v>
                </c:pt>
                <c:pt idx="4">
                  <c:v>64</c:v>
                </c:pt>
                <c:pt idx="5">
                  <c:v>125</c:v>
                </c:pt>
                <c:pt idx="6">
                  <c:v>343</c:v>
                </c:pt>
                <c:pt idx="7">
                  <c:v>125</c:v>
                </c:pt>
                <c:pt idx="8">
                  <c:v>125</c:v>
                </c:pt>
                <c:pt idx="9">
                  <c:v>125</c:v>
                </c:pt>
                <c:pt idx="10">
                  <c:v>64</c:v>
                </c:pt>
                <c:pt idx="11">
                  <c:v>125</c:v>
                </c:pt>
                <c:pt idx="12">
                  <c:v>125</c:v>
                </c:pt>
                <c:pt idx="13">
                  <c:v>125</c:v>
                </c:pt>
                <c:pt idx="14">
                  <c:v>125</c:v>
                </c:pt>
                <c:pt idx="15">
                  <c:v>125</c:v>
                </c:pt>
                <c:pt idx="16">
                  <c:v>216</c:v>
                </c:pt>
                <c:pt idx="17">
                  <c:v>125</c:v>
                </c:pt>
                <c:pt idx="18">
                  <c:v>216</c:v>
                </c:pt>
                <c:pt idx="19">
                  <c:v>216</c:v>
                </c:pt>
                <c:pt idx="20">
                  <c:v>125</c:v>
                </c:pt>
                <c:pt idx="21">
                  <c:v>125</c:v>
                </c:pt>
                <c:pt idx="22">
                  <c:v>216</c:v>
                </c:pt>
                <c:pt idx="23">
                  <c:v>125</c:v>
                </c:pt>
                <c:pt idx="24">
                  <c:v>512</c:v>
                </c:pt>
                <c:pt idx="25">
                  <c:v>216</c:v>
                </c:pt>
                <c:pt idx="26">
                  <c:v>512</c:v>
                </c:pt>
                <c:pt idx="27">
                  <c:v>216</c:v>
                </c:pt>
                <c:pt idx="28">
                  <c:v>125</c:v>
                </c:pt>
                <c:pt idx="29">
                  <c:v>216</c:v>
                </c:pt>
                <c:pt idx="30">
                  <c:v>125</c:v>
                </c:pt>
                <c:pt idx="31">
                  <c:v>125</c:v>
                </c:pt>
                <c:pt idx="32">
                  <c:v>216</c:v>
                </c:pt>
                <c:pt idx="33">
                  <c:v>125</c:v>
                </c:pt>
                <c:pt idx="34">
                  <c:v>125</c:v>
                </c:pt>
                <c:pt idx="35">
                  <c:v>125</c:v>
                </c:pt>
                <c:pt idx="36">
                  <c:v>125</c:v>
                </c:pt>
                <c:pt idx="37">
                  <c:v>216</c:v>
                </c:pt>
                <c:pt idx="38">
                  <c:v>125</c:v>
                </c:pt>
                <c:pt idx="39">
                  <c:v>216</c:v>
                </c:pt>
                <c:pt idx="40">
                  <c:v>64</c:v>
                </c:pt>
                <c:pt idx="41">
                  <c:v>125</c:v>
                </c:pt>
                <c:pt idx="42">
                  <c:v>216</c:v>
                </c:pt>
                <c:pt idx="43">
                  <c:v>216</c:v>
                </c:pt>
                <c:pt idx="44">
                  <c:v>343</c:v>
                </c:pt>
                <c:pt idx="45">
                  <c:v>343</c:v>
                </c:pt>
                <c:pt idx="46">
                  <c:v>64</c:v>
                </c:pt>
                <c:pt idx="47">
                  <c:v>64</c:v>
                </c:pt>
                <c:pt idx="48">
                  <c:v>343</c:v>
                </c:pt>
                <c:pt idx="49">
                  <c:v>125</c:v>
                </c:pt>
                <c:pt idx="50">
                  <c:v>216</c:v>
                </c:pt>
                <c:pt idx="51">
                  <c:v>64</c:v>
                </c:pt>
                <c:pt idx="52">
                  <c:v>343</c:v>
                </c:pt>
                <c:pt idx="53">
                  <c:v>216</c:v>
                </c:pt>
                <c:pt idx="54">
                  <c:v>216</c:v>
                </c:pt>
                <c:pt idx="55">
                  <c:v>216</c:v>
                </c:pt>
                <c:pt idx="56">
                  <c:v>64</c:v>
                </c:pt>
                <c:pt idx="57">
                  <c:v>343</c:v>
                </c:pt>
                <c:pt idx="58">
                  <c:v>125</c:v>
                </c:pt>
                <c:pt idx="59">
                  <c:v>343</c:v>
                </c:pt>
                <c:pt idx="60">
                  <c:v>64</c:v>
                </c:pt>
                <c:pt idx="61">
                  <c:v>216</c:v>
                </c:pt>
                <c:pt idx="62">
                  <c:v>216</c:v>
                </c:pt>
                <c:pt idx="63">
                  <c:v>216</c:v>
                </c:pt>
                <c:pt idx="64">
                  <c:v>64</c:v>
                </c:pt>
                <c:pt idx="65">
                  <c:v>125</c:v>
                </c:pt>
                <c:pt idx="66">
                  <c:v>64</c:v>
                </c:pt>
                <c:pt idx="67">
                  <c:v>64</c:v>
                </c:pt>
                <c:pt idx="68">
                  <c:v>216</c:v>
                </c:pt>
                <c:pt idx="69">
                  <c:v>64</c:v>
                </c:pt>
                <c:pt idx="70">
                  <c:v>125</c:v>
                </c:pt>
                <c:pt idx="71">
                  <c:v>216</c:v>
                </c:pt>
                <c:pt idx="72">
                  <c:v>343</c:v>
                </c:pt>
                <c:pt idx="73">
                  <c:v>343</c:v>
                </c:pt>
                <c:pt idx="74">
                  <c:v>343</c:v>
                </c:pt>
                <c:pt idx="75">
                  <c:v>343</c:v>
                </c:pt>
                <c:pt idx="76">
                  <c:v>216</c:v>
                </c:pt>
                <c:pt idx="77">
                  <c:v>125</c:v>
                </c:pt>
                <c:pt idx="78">
                  <c:v>343</c:v>
                </c:pt>
                <c:pt idx="79">
                  <c:v>512</c:v>
                </c:pt>
                <c:pt idx="80">
                  <c:v>216</c:v>
                </c:pt>
                <c:pt idx="81">
                  <c:v>343</c:v>
                </c:pt>
                <c:pt idx="82">
                  <c:v>512</c:v>
                </c:pt>
                <c:pt idx="83">
                  <c:v>343</c:v>
                </c:pt>
                <c:pt idx="84">
                  <c:v>125</c:v>
                </c:pt>
                <c:pt idx="85">
                  <c:v>512</c:v>
                </c:pt>
                <c:pt idx="86">
                  <c:v>343</c:v>
                </c:pt>
                <c:pt idx="87">
                  <c:v>512</c:v>
                </c:pt>
                <c:pt idx="88">
                  <c:v>64</c:v>
                </c:pt>
                <c:pt idx="89">
                  <c:v>343</c:v>
                </c:pt>
                <c:pt idx="90">
                  <c:v>64</c:v>
                </c:pt>
                <c:pt idx="91">
                  <c:v>216</c:v>
                </c:pt>
                <c:pt idx="92">
                  <c:v>64</c:v>
                </c:pt>
                <c:pt idx="93">
                  <c:v>512</c:v>
                </c:pt>
                <c:pt idx="94">
                  <c:v>343</c:v>
                </c:pt>
                <c:pt idx="95">
                  <c:v>512</c:v>
                </c:pt>
                <c:pt idx="96">
                  <c:v>512</c:v>
                </c:pt>
                <c:pt idx="97">
                  <c:v>216</c:v>
                </c:pt>
                <c:pt idx="98">
                  <c:v>64</c:v>
                </c:pt>
                <c:pt idx="99">
                  <c:v>343</c:v>
                </c:pt>
                <c:pt idx="100">
                  <c:v>512</c:v>
                </c:pt>
                <c:pt idx="101">
                  <c:v>216</c:v>
                </c:pt>
                <c:pt idx="102">
                  <c:v>343</c:v>
                </c:pt>
                <c:pt idx="103">
                  <c:v>64</c:v>
                </c:pt>
                <c:pt idx="104">
                  <c:v>343</c:v>
                </c:pt>
                <c:pt idx="105">
                  <c:v>64</c:v>
                </c:pt>
                <c:pt idx="106">
                  <c:v>343</c:v>
                </c:pt>
                <c:pt idx="107">
                  <c:v>512</c:v>
                </c:pt>
                <c:pt idx="108">
                  <c:v>64</c:v>
                </c:pt>
                <c:pt idx="109">
                  <c:v>64</c:v>
                </c:pt>
                <c:pt idx="110">
                  <c:v>64</c:v>
                </c:pt>
                <c:pt idx="111">
                  <c:v>216</c:v>
                </c:pt>
                <c:pt idx="112">
                  <c:v>512</c:v>
                </c:pt>
                <c:pt idx="113">
                  <c:v>343</c:v>
                </c:pt>
                <c:pt idx="114">
                  <c:v>343</c:v>
                </c:pt>
                <c:pt idx="115">
                  <c:v>64</c:v>
                </c:pt>
                <c:pt idx="116">
                  <c:v>64</c:v>
                </c:pt>
                <c:pt idx="117">
                  <c:v>512</c:v>
                </c:pt>
                <c:pt idx="118">
                  <c:v>512</c:v>
                </c:pt>
                <c:pt idx="119">
                  <c:v>64</c:v>
                </c:pt>
                <c:pt idx="120">
                  <c:v>512</c:v>
                </c:pt>
                <c:pt idx="121">
                  <c:v>343</c:v>
                </c:pt>
                <c:pt idx="122">
                  <c:v>343</c:v>
                </c:pt>
                <c:pt idx="123">
                  <c:v>512</c:v>
                </c:pt>
                <c:pt idx="124">
                  <c:v>64</c:v>
                </c:pt>
                <c:pt idx="125">
                  <c:v>343</c:v>
                </c:pt>
                <c:pt idx="126">
                  <c:v>64</c:v>
                </c:pt>
                <c:pt idx="127">
                  <c:v>343</c:v>
                </c:pt>
                <c:pt idx="128">
                  <c:v>512</c:v>
                </c:pt>
                <c:pt idx="129">
                  <c:v>512</c:v>
                </c:pt>
                <c:pt idx="130">
                  <c:v>512</c:v>
                </c:pt>
                <c:pt idx="131">
                  <c:v>64</c:v>
                </c:pt>
                <c:pt idx="132">
                  <c:v>512</c:v>
                </c:pt>
                <c:pt idx="133">
                  <c:v>512</c:v>
                </c:pt>
                <c:pt idx="134">
                  <c:v>343</c:v>
                </c:pt>
                <c:pt idx="135">
                  <c:v>216</c:v>
                </c:pt>
                <c:pt idx="136">
                  <c:v>64</c:v>
                </c:pt>
                <c:pt idx="137">
                  <c:v>512</c:v>
                </c:pt>
                <c:pt idx="138">
                  <c:v>64</c:v>
                </c:pt>
                <c:pt idx="139">
                  <c:v>64</c:v>
                </c:pt>
                <c:pt idx="140">
                  <c:v>512</c:v>
                </c:pt>
                <c:pt idx="141">
                  <c:v>512</c:v>
                </c:pt>
                <c:pt idx="142">
                  <c:v>512</c:v>
                </c:pt>
                <c:pt idx="143">
                  <c:v>512</c:v>
                </c:pt>
                <c:pt idx="144">
                  <c:v>343</c:v>
                </c:pt>
                <c:pt idx="145">
                  <c:v>512</c:v>
                </c:pt>
                <c:pt idx="146">
                  <c:v>512</c:v>
                </c:pt>
                <c:pt idx="147">
                  <c:v>343</c:v>
                </c:pt>
                <c:pt idx="148">
                  <c:v>512</c:v>
                </c:pt>
                <c:pt idx="149">
                  <c:v>512</c:v>
                </c:pt>
              </c:numCache>
            </c:numRef>
          </c:xVal>
          <c:yVal>
            <c:numRef>
              <c:f>X!$Y$2:$Y$151</c:f>
              <c:numCache>
                <c:formatCode>General</c:formatCode>
                <c:ptCount val="150"/>
                <c:pt idx="0">
                  <c:v>7.5378101460527855E-2</c:v>
                </c:pt>
                <c:pt idx="1">
                  <c:v>7.8479853069739536E-2</c:v>
                </c:pt>
                <c:pt idx="2">
                  <c:v>9.9278110835958389E-2</c:v>
                </c:pt>
                <c:pt idx="3">
                  <c:v>0.10377498438333432</c:v>
                </c:pt>
                <c:pt idx="4">
                  <c:v>0.15415731291566162</c:v>
                </c:pt>
                <c:pt idx="5">
                  <c:v>0.1603957749748344</c:v>
                </c:pt>
                <c:pt idx="6">
                  <c:v>0.16138944356576437</c:v>
                </c:pt>
                <c:pt idx="7">
                  <c:v>0.16394702264468444</c:v>
                </c:pt>
                <c:pt idx="8">
                  <c:v>0.16467811611715136</c:v>
                </c:pt>
                <c:pt idx="9">
                  <c:v>0.17089875280743561</c:v>
                </c:pt>
                <c:pt idx="10">
                  <c:v>0.17745027636957769</c:v>
                </c:pt>
                <c:pt idx="11">
                  <c:v>0.18757943224469548</c:v>
                </c:pt>
                <c:pt idx="12">
                  <c:v>0.1889113078899739</c:v>
                </c:pt>
                <c:pt idx="13">
                  <c:v>0.19013108228268413</c:v>
                </c:pt>
                <c:pt idx="14">
                  <c:v>0.19965756545831506</c:v>
                </c:pt>
                <c:pt idx="15">
                  <c:v>0.20393884199750981</c:v>
                </c:pt>
                <c:pt idx="16">
                  <c:v>0.23152318117821796</c:v>
                </c:pt>
                <c:pt idx="17">
                  <c:v>0.23693046484779781</c:v>
                </c:pt>
                <c:pt idx="18">
                  <c:v>0.24433861928844622</c:v>
                </c:pt>
                <c:pt idx="19">
                  <c:v>0.24565058897349773</c:v>
                </c:pt>
                <c:pt idx="20">
                  <c:v>0.25346732815955836</c:v>
                </c:pt>
                <c:pt idx="21">
                  <c:v>0.25570689957006465</c:v>
                </c:pt>
                <c:pt idx="22">
                  <c:v>0.25644343522011792</c:v>
                </c:pt>
                <c:pt idx="23">
                  <c:v>0.25895018268500875</c:v>
                </c:pt>
                <c:pt idx="24">
                  <c:v>0.26277341391173903</c:v>
                </c:pt>
                <c:pt idx="25">
                  <c:v>0.26452703936912547</c:v>
                </c:pt>
                <c:pt idx="26">
                  <c:v>0.26457915923005387</c:v>
                </c:pt>
                <c:pt idx="27">
                  <c:v>0.26596719612474401</c:v>
                </c:pt>
                <c:pt idx="28">
                  <c:v>0.27827457182022275</c:v>
                </c:pt>
                <c:pt idx="29">
                  <c:v>0.27914650788438772</c:v>
                </c:pt>
                <c:pt idx="30">
                  <c:v>0.27928071552001582</c:v>
                </c:pt>
                <c:pt idx="31">
                  <c:v>0.28032026318223363</c:v>
                </c:pt>
                <c:pt idx="32">
                  <c:v>0.28665256691033919</c:v>
                </c:pt>
                <c:pt idx="33">
                  <c:v>0.3089222601445144</c:v>
                </c:pt>
                <c:pt idx="34">
                  <c:v>0.30984051684389613</c:v>
                </c:pt>
                <c:pt idx="35">
                  <c:v>0.3116437238486211</c:v>
                </c:pt>
                <c:pt idx="36">
                  <c:v>0.31439820442750693</c:v>
                </c:pt>
                <c:pt idx="37">
                  <c:v>0.31486710756017183</c:v>
                </c:pt>
                <c:pt idx="38">
                  <c:v>0.32180504394990417</c:v>
                </c:pt>
                <c:pt idx="39">
                  <c:v>0.32594350121371263</c:v>
                </c:pt>
                <c:pt idx="40">
                  <c:v>0.3273193389256393</c:v>
                </c:pt>
                <c:pt idx="41">
                  <c:v>0.32900983999987504</c:v>
                </c:pt>
                <c:pt idx="42">
                  <c:v>0.33801897583439339</c:v>
                </c:pt>
                <c:pt idx="43">
                  <c:v>0.33932266250706211</c:v>
                </c:pt>
                <c:pt idx="44">
                  <c:v>0.34026007956100585</c:v>
                </c:pt>
                <c:pt idx="45">
                  <c:v>0.34427533797878845</c:v>
                </c:pt>
                <c:pt idx="46">
                  <c:v>0.35605704184243464</c:v>
                </c:pt>
                <c:pt idx="47">
                  <c:v>0.35667789470895828</c:v>
                </c:pt>
                <c:pt idx="48">
                  <c:v>0.35898487659078271</c:v>
                </c:pt>
                <c:pt idx="49">
                  <c:v>0.36057623374912939</c:v>
                </c:pt>
                <c:pt idx="50">
                  <c:v>0.36151967689410308</c:v>
                </c:pt>
                <c:pt idx="51">
                  <c:v>0.36425970776519584</c:v>
                </c:pt>
                <c:pt idx="52">
                  <c:v>0.36702229751310844</c:v>
                </c:pt>
                <c:pt idx="53">
                  <c:v>0.36733592862035086</c:v>
                </c:pt>
                <c:pt idx="54">
                  <c:v>0.36868838736195686</c:v>
                </c:pt>
                <c:pt idx="55">
                  <c:v>0.37764537514018481</c:v>
                </c:pt>
                <c:pt idx="56">
                  <c:v>0.37850394052172937</c:v>
                </c:pt>
                <c:pt idx="57">
                  <c:v>0.37910509870026465</c:v>
                </c:pt>
                <c:pt idx="58">
                  <c:v>0.37970220231390001</c:v>
                </c:pt>
                <c:pt idx="59">
                  <c:v>0.38565693297657611</c:v>
                </c:pt>
                <c:pt idx="60">
                  <c:v>0.39016835779711279</c:v>
                </c:pt>
                <c:pt idx="61">
                  <c:v>0.39898909189875298</c:v>
                </c:pt>
                <c:pt idx="62">
                  <c:v>0.39946965019642877</c:v>
                </c:pt>
                <c:pt idx="63">
                  <c:v>0.40726032426604397</c:v>
                </c:pt>
                <c:pt idx="64">
                  <c:v>0.40764459823757276</c:v>
                </c:pt>
                <c:pt idx="65">
                  <c:v>0.41080534891330756</c:v>
                </c:pt>
                <c:pt idx="66">
                  <c:v>0.41208433103728775</c:v>
                </c:pt>
                <c:pt idx="67">
                  <c:v>0.41704443373703637</c:v>
                </c:pt>
                <c:pt idx="68">
                  <c:v>0.41820252298948096</c:v>
                </c:pt>
                <c:pt idx="69">
                  <c:v>0.4206028111878008</c:v>
                </c:pt>
                <c:pt idx="70">
                  <c:v>0.42107308531571319</c:v>
                </c:pt>
                <c:pt idx="71">
                  <c:v>0.42315613388345236</c:v>
                </c:pt>
                <c:pt idx="72">
                  <c:v>0.42498150862102912</c:v>
                </c:pt>
                <c:pt idx="73">
                  <c:v>0.43348848859761463</c:v>
                </c:pt>
                <c:pt idx="74">
                  <c:v>0.44070870712512433</c:v>
                </c:pt>
                <c:pt idx="75">
                  <c:v>0.45150403475860301</c:v>
                </c:pt>
                <c:pt idx="76">
                  <c:v>0.45196046657854128</c:v>
                </c:pt>
                <c:pt idx="77">
                  <c:v>0.45537125551940016</c:v>
                </c:pt>
                <c:pt idx="78">
                  <c:v>0.46980423453803394</c:v>
                </c:pt>
                <c:pt idx="79">
                  <c:v>0.47218868508601441</c:v>
                </c:pt>
                <c:pt idx="80">
                  <c:v>0.47808111890843885</c:v>
                </c:pt>
                <c:pt idx="81">
                  <c:v>0.47818849008973369</c:v>
                </c:pt>
                <c:pt idx="82">
                  <c:v>0.48852269344758625</c:v>
                </c:pt>
                <c:pt idx="83">
                  <c:v>0.48898060363517792</c:v>
                </c:pt>
                <c:pt idx="84">
                  <c:v>0.50226448600554885</c:v>
                </c:pt>
                <c:pt idx="85">
                  <c:v>0.50361650459984286</c:v>
                </c:pt>
                <c:pt idx="86">
                  <c:v>0.50667757137854585</c:v>
                </c:pt>
                <c:pt idx="87">
                  <c:v>0.51125796847544269</c:v>
                </c:pt>
                <c:pt idx="88">
                  <c:v>0.51300097530827238</c:v>
                </c:pt>
                <c:pt idx="89">
                  <c:v>0.51456521678080802</c:v>
                </c:pt>
                <c:pt idx="90">
                  <c:v>0.51959564098089417</c:v>
                </c:pt>
                <c:pt idx="91">
                  <c:v>0.52141172850252382</c:v>
                </c:pt>
                <c:pt idx="92">
                  <c:v>0.52863694591796073</c:v>
                </c:pt>
                <c:pt idx="93">
                  <c:v>0.53139436635774362</c:v>
                </c:pt>
                <c:pt idx="94">
                  <c:v>0.53250798928253029</c:v>
                </c:pt>
                <c:pt idx="95">
                  <c:v>0.53387918964063374</c:v>
                </c:pt>
                <c:pt idx="96">
                  <c:v>0.53671336521831514</c:v>
                </c:pt>
                <c:pt idx="97">
                  <c:v>0.53892484706048271</c:v>
                </c:pt>
                <c:pt idx="98">
                  <c:v>0.54101719772734291</c:v>
                </c:pt>
                <c:pt idx="99">
                  <c:v>0.54739193747713388</c:v>
                </c:pt>
                <c:pt idx="100">
                  <c:v>0.55145521732332858</c:v>
                </c:pt>
                <c:pt idx="101">
                  <c:v>0.55289980665895111</c:v>
                </c:pt>
                <c:pt idx="102">
                  <c:v>0.56162773462233362</c:v>
                </c:pt>
                <c:pt idx="103">
                  <c:v>0.56191406418587786</c:v>
                </c:pt>
                <c:pt idx="104">
                  <c:v>0.56203840035617414</c:v>
                </c:pt>
                <c:pt idx="105">
                  <c:v>0.5821210117174942</c:v>
                </c:pt>
                <c:pt idx="106">
                  <c:v>0.58318699654547435</c:v>
                </c:pt>
                <c:pt idx="107">
                  <c:v>0.59256508201960023</c:v>
                </c:pt>
                <c:pt idx="108">
                  <c:v>0.5942403994849198</c:v>
                </c:pt>
                <c:pt idx="109">
                  <c:v>0.59779507046758917</c:v>
                </c:pt>
                <c:pt idx="110">
                  <c:v>0.60058685283971136</c:v>
                </c:pt>
                <c:pt idx="111">
                  <c:v>0.60120030117410161</c:v>
                </c:pt>
                <c:pt idx="112">
                  <c:v>0.60153123493957361</c:v>
                </c:pt>
                <c:pt idx="113">
                  <c:v>0.60305612998677705</c:v>
                </c:pt>
                <c:pt idx="114">
                  <c:v>0.61311652584969811</c:v>
                </c:pt>
                <c:pt idx="115">
                  <c:v>0.62206844210777545</c:v>
                </c:pt>
                <c:pt idx="116">
                  <c:v>0.62236150398166756</c:v>
                </c:pt>
                <c:pt idx="117">
                  <c:v>0.62794960895635654</c:v>
                </c:pt>
                <c:pt idx="118">
                  <c:v>0.63261156973568422</c:v>
                </c:pt>
                <c:pt idx="119">
                  <c:v>0.63529252512017442</c:v>
                </c:pt>
                <c:pt idx="120">
                  <c:v>0.6456775902507681</c:v>
                </c:pt>
                <c:pt idx="121">
                  <c:v>0.65410173993356158</c:v>
                </c:pt>
                <c:pt idx="122">
                  <c:v>0.66110414112964744</c:v>
                </c:pt>
                <c:pt idx="123">
                  <c:v>0.66387242557513981</c:v>
                </c:pt>
                <c:pt idx="124">
                  <c:v>0.66708140843358388</c:v>
                </c:pt>
                <c:pt idx="125">
                  <c:v>0.67380086779032533</c:v>
                </c:pt>
                <c:pt idx="126">
                  <c:v>0.68080307083479163</c:v>
                </c:pt>
                <c:pt idx="127">
                  <c:v>0.68136396007582656</c:v>
                </c:pt>
                <c:pt idx="128">
                  <c:v>0.69891608623658996</c:v>
                </c:pt>
                <c:pt idx="129">
                  <c:v>0.70124230831395185</c:v>
                </c:pt>
                <c:pt idx="130">
                  <c:v>0.70379149839552879</c:v>
                </c:pt>
                <c:pt idx="131">
                  <c:v>0.71759039917154921</c:v>
                </c:pt>
                <c:pt idx="132">
                  <c:v>0.71780519275373422</c:v>
                </c:pt>
                <c:pt idx="133">
                  <c:v>0.72343192152793023</c:v>
                </c:pt>
                <c:pt idx="134">
                  <c:v>0.72411968975796337</c:v>
                </c:pt>
                <c:pt idx="135">
                  <c:v>0.72520663159671306</c:v>
                </c:pt>
                <c:pt idx="136">
                  <c:v>0.72574130251946878</c:v>
                </c:pt>
                <c:pt idx="137">
                  <c:v>0.74613497588333422</c:v>
                </c:pt>
                <c:pt idx="138">
                  <c:v>0.75144589299980857</c:v>
                </c:pt>
                <c:pt idx="139">
                  <c:v>0.78160302714111518</c:v>
                </c:pt>
                <c:pt idx="140">
                  <c:v>0.78463571848635827</c:v>
                </c:pt>
                <c:pt idx="141">
                  <c:v>0.78633788991954445</c:v>
                </c:pt>
                <c:pt idx="142">
                  <c:v>0.78814933581229896</c:v>
                </c:pt>
                <c:pt idx="143">
                  <c:v>0.79543077892856506</c:v>
                </c:pt>
                <c:pt idx="144">
                  <c:v>0.82367858072060107</c:v>
                </c:pt>
                <c:pt idx="145">
                  <c:v>0.8354132712821577</c:v>
                </c:pt>
                <c:pt idx="146">
                  <c:v>0.90053300110725376</c:v>
                </c:pt>
                <c:pt idx="147">
                  <c:v>0.91417002097715105</c:v>
                </c:pt>
                <c:pt idx="148">
                  <c:v>0.95429370944575487</c:v>
                </c:pt>
                <c:pt idx="149">
                  <c:v>0.96388679483258399</c:v>
                </c:pt>
              </c:numCache>
            </c:numRef>
          </c:yVal>
          <c:smooth val="0"/>
          <c:extLst>
            <c:ext xmlns:c16="http://schemas.microsoft.com/office/drawing/2014/chart" uri="{C3380CC4-5D6E-409C-BE32-E72D297353CC}">
              <c16:uniqueId val="{00000000-8259-4C66-BE69-727FA7E5D2A9}"/>
            </c:ext>
          </c:extLst>
        </c:ser>
        <c:dLbls>
          <c:showLegendKey val="0"/>
          <c:showVal val="0"/>
          <c:showCatName val="0"/>
          <c:showSerName val="0"/>
          <c:showPercent val="0"/>
          <c:showBubbleSize val="0"/>
        </c:dLbls>
        <c:axId val="1396719360"/>
        <c:axId val="1396716864"/>
      </c:scatterChart>
      <c:valAx>
        <c:axId val="1396719360"/>
        <c:scaling>
          <c:logBase val="10"/>
          <c:orientation val="minMax"/>
          <c:min val="1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716864"/>
        <c:crosses val="autoZero"/>
        <c:crossBetween val="midCat"/>
      </c:valAx>
      <c:valAx>
        <c:axId val="139671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7193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 -&gt; total 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X!$K$1</c:f>
              <c:strCache>
                <c:ptCount val="1"/>
                <c:pt idx="0">
                  <c:v>X total</c:v>
                </c:pt>
              </c:strCache>
            </c:strRef>
          </c:tx>
          <c:spPr>
            <a:ln w="19050" cap="rnd">
              <a:noFill/>
              <a:round/>
            </a:ln>
            <a:effectLst/>
          </c:spPr>
          <c:marker>
            <c:symbol val="circle"/>
            <c:size val="5"/>
            <c:spPr>
              <a:solidFill>
                <a:schemeClr val="accent1"/>
              </a:solidFill>
              <a:ln w="9525">
                <a:solidFill>
                  <a:schemeClr val="accent1"/>
                </a:solidFill>
              </a:ln>
              <a:effectLst/>
            </c:spPr>
          </c:marker>
          <c:xVal>
            <c:numRef>
              <c:f>X!$E$2:$E$152</c:f>
              <c:numCache>
                <c:formatCode>General</c:formatCode>
                <c:ptCount val="151"/>
                <c:pt idx="0">
                  <c:v>13</c:v>
                </c:pt>
                <c:pt idx="1">
                  <c:v>10</c:v>
                </c:pt>
                <c:pt idx="2">
                  <c:v>10</c:v>
                </c:pt>
                <c:pt idx="3">
                  <c:v>13</c:v>
                </c:pt>
                <c:pt idx="4">
                  <c:v>10</c:v>
                </c:pt>
                <c:pt idx="5">
                  <c:v>10</c:v>
                </c:pt>
                <c:pt idx="6">
                  <c:v>10</c:v>
                </c:pt>
                <c:pt idx="7">
                  <c:v>13</c:v>
                </c:pt>
                <c:pt idx="8">
                  <c:v>11</c:v>
                </c:pt>
                <c:pt idx="9">
                  <c:v>14</c:v>
                </c:pt>
                <c:pt idx="10">
                  <c:v>13</c:v>
                </c:pt>
                <c:pt idx="11">
                  <c:v>14</c:v>
                </c:pt>
                <c:pt idx="12">
                  <c:v>11</c:v>
                </c:pt>
                <c:pt idx="13">
                  <c:v>10</c:v>
                </c:pt>
                <c:pt idx="14">
                  <c:v>13</c:v>
                </c:pt>
                <c:pt idx="15">
                  <c:v>12</c:v>
                </c:pt>
                <c:pt idx="16">
                  <c:v>11</c:v>
                </c:pt>
                <c:pt idx="17">
                  <c:v>12</c:v>
                </c:pt>
                <c:pt idx="18">
                  <c:v>13</c:v>
                </c:pt>
                <c:pt idx="19">
                  <c:v>10</c:v>
                </c:pt>
                <c:pt idx="20">
                  <c:v>11</c:v>
                </c:pt>
                <c:pt idx="21">
                  <c:v>14</c:v>
                </c:pt>
                <c:pt idx="22">
                  <c:v>11</c:v>
                </c:pt>
                <c:pt idx="23">
                  <c:v>13</c:v>
                </c:pt>
                <c:pt idx="24">
                  <c:v>7</c:v>
                </c:pt>
                <c:pt idx="25">
                  <c:v>13</c:v>
                </c:pt>
                <c:pt idx="26">
                  <c:v>10</c:v>
                </c:pt>
                <c:pt idx="27">
                  <c:v>10</c:v>
                </c:pt>
                <c:pt idx="28">
                  <c:v>12</c:v>
                </c:pt>
                <c:pt idx="29">
                  <c:v>9</c:v>
                </c:pt>
                <c:pt idx="30">
                  <c:v>10</c:v>
                </c:pt>
                <c:pt idx="31">
                  <c:v>13</c:v>
                </c:pt>
                <c:pt idx="32">
                  <c:v>12</c:v>
                </c:pt>
                <c:pt idx="33">
                  <c:v>14</c:v>
                </c:pt>
                <c:pt idx="34">
                  <c:v>12</c:v>
                </c:pt>
                <c:pt idx="35">
                  <c:v>13</c:v>
                </c:pt>
                <c:pt idx="36">
                  <c:v>10</c:v>
                </c:pt>
                <c:pt idx="37">
                  <c:v>9</c:v>
                </c:pt>
                <c:pt idx="38">
                  <c:v>11</c:v>
                </c:pt>
                <c:pt idx="39">
                  <c:v>12</c:v>
                </c:pt>
                <c:pt idx="40">
                  <c:v>14</c:v>
                </c:pt>
                <c:pt idx="41">
                  <c:v>14</c:v>
                </c:pt>
                <c:pt idx="42">
                  <c:v>11</c:v>
                </c:pt>
                <c:pt idx="43">
                  <c:v>13</c:v>
                </c:pt>
                <c:pt idx="44">
                  <c:v>11</c:v>
                </c:pt>
                <c:pt idx="45">
                  <c:v>8</c:v>
                </c:pt>
                <c:pt idx="46">
                  <c:v>11</c:v>
                </c:pt>
                <c:pt idx="47">
                  <c:v>11</c:v>
                </c:pt>
                <c:pt idx="48">
                  <c:v>10</c:v>
                </c:pt>
                <c:pt idx="49">
                  <c:v>11</c:v>
                </c:pt>
                <c:pt idx="50">
                  <c:v>10</c:v>
                </c:pt>
                <c:pt idx="51">
                  <c:v>13</c:v>
                </c:pt>
                <c:pt idx="52">
                  <c:v>8</c:v>
                </c:pt>
                <c:pt idx="53">
                  <c:v>13</c:v>
                </c:pt>
                <c:pt idx="54">
                  <c:v>12</c:v>
                </c:pt>
                <c:pt idx="55">
                  <c:v>9</c:v>
                </c:pt>
                <c:pt idx="56">
                  <c:v>10</c:v>
                </c:pt>
                <c:pt idx="57">
                  <c:v>11</c:v>
                </c:pt>
                <c:pt idx="58">
                  <c:v>12</c:v>
                </c:pt>
                <c:pt idx="59">
                  <c:v>10</c:v>
                </c:pt>
                <c:pt idx="60">
                  <c:v>14</c:v>
                </c:pt>
                <c:pt idx="61">
                  <c:v>13</c:v>
                </c:pt>
                <c:pt idx="62">
                  <c:v>12</c:v>
                </c:pt>
                <c:pt idx="63">
                  <c:v>10</c:v>
                </c:pt>
                <c:pt idx="64">
                  <c:v>12</c:v>
                </c:pt>
                <c:pt idx="65">
                  <c:v>14</c:v>
                </c:pt>
                <c:pt idx="66">
                  <c:v>12</c:v>
                </c:pt>
                <c:pt idx="67">
                  <c:v>10</c:v>
                </c:pt>
                <c:pt idx="68">
                  <c:v>11</c:v>
                </c:pt>
                <c:pt idx="69">
                  <c:v>13</c:v>
                </c:pt>
                <c:pt idx="70">
                  <c:v>10</c:v>
                </c:pt>
                <c:pt idx="71">
                  <c:v>9</c:v>
                </c:pt>
                <c:pt idx="72">
                  <c:v>12</c:v>
                </c:pt>
                <c:pt idx="73">
                  <c:v>9</c:v>
                </c:pt>
                <c:pt idx="74">
                  <c:v>9</c:v>
                </c:pt>
                <c:pt idx="75">
                  <c:v>12</c:v>
                </c:pt>
                <c:pt idx="76">
                  <c:v>11</c:v>
                </c:pt>
                <c:pt idx="77">
                  <c:v>12</c:v>
                </c:pt>
                <c:pt idx="78">
                  <c:v>11</c:v>
                </c:pt>
                <c:pt idx="79">
                  <c:v>8</c:v>
                </c:pt>
                <c:pt idx="80">
                  <c:v>12</c:v>
                </c:pt>
                <c:pt idx="81">
                  <c:v>8</c:v>
                </c:pt>
                <c:pt idx="82">
                  <c:v>11</c:v>
                </c:pt>
                <c:pt idx="83">
                  <c:v>10</c:v>
                </c:pt>
                <c:pt idx="84">
                  <c:v>11</c:v>
                </c:pt>
                <c:pt idx="85">
                  <c:v>10</c:v>
                </c:pt>
                <c:pt idx="86">
                  <c:v>12</c:v>
                </c:pt>
                <c:pt idx="87">
                  <c:v>7</c:v>
                </c:pt>
                <c:pt idx="88">
                  <c:v>14</c:v>
                </c:pt>
                <c:pt idx="89">
                  <c:v>9</c:v>
                </c:pt>
                <c:pt idx="90">
                  <c:v>11</c:v>
                </c:pt>
                <c:pt idx="91">
                  <c:v>10</c:v>
                </c:pt>
                <c:pt idx="92">
                  <c:v>12</c:v>
                </c:pt>
                <c:pt idx="93">
                  <c:v>11</c:v>
                </c:pt>
                <c:pt idx="94">
                  <c:v>12</c:v>
                </c:pt>
                <c:pt idx="95">
                  <c:v>8</c:v>
                </c:pt>
                <c:pt idx="96">
                  <c:v>10</c:v>
                </c:pt>
                <c:pt idx="97">
                  <c:v>9</c:v>
                </c:pt>
                <c:pt idx="98">
                  <c:v>13</c:v>
                </c:pt>
                <c:pt idx="99">
                  <c:v>10</c:v>
                </c:pt>
                <c:pt idx="100">
                  <c:v>7</c:v>
                </c:pt>
                <c:pt idx="101">
                  <c:v>12</c:v>
                </c:pt>
                <c:pt idx="102">
                  <c:v>9</c:v>
                </c:pt>
                <c:pt idx="103">
                  <c:v>10</c:v>
                </c:pt>
                <c:pt idx="104">
                  <c:v>11</c:v>
                </c:pt>
                <c:pt idx="105">
                  <c:v>13</c:v>
                </c:pt>
                <c:pt idx="106">
                  <c:v>11</c:v>
                </c:pt>
                <c:pt idx="107">
                  <c:v>9</c:v>
                </c:pt>
                <c:pt idx="108">
                  <c:v>11</c:v>
                </c:pt>
                <c:pt idx="109">
                  <c:v>12</c:v>
                </c:pt>
                <c:pt idx="110">
                  <c:v>14</c:v>
                </c:pt>
                <c:pt idx="111">
                  <c:v>11</c:v>
                </c:pt>
                <c:pt idx="112">
                  <c:v>9</c:v>
                </c:pt>
                <c:pt idx="113">
                  <c:v>8</c:v>
                </c:pt>
                <c:pt idx="114">
                  <c:v>12</c:v>
                </c:pt>
                <c:pt idx="115">
                  <c:v>13</c:v>
                </c:pt>
                <c:pt idx="116">
                  <c:v>10</c:v>
                </c:pt>
                <c:pt idx="117">
                  <c:v>11</c:v>
                </c:pt>
                <c:pt idx="118">
                  <c:v>8</c:v>
                </c:pt>
                <c:pt idx="119">
                  <c:v>14</c:v>
                </c:pt>
                <c:pt idx="120">
                  <c:v>10</c:v>
                </c:pt>
                <c:pt idx="121">
                  <c:v>10</c:v>
                </c:pt>
                <c:pt idx="122">
                  <c:v>8</c:v>
                </c:pt>
                <c:pt idx="123">
                  <c:v>9</c:v>
                </c:pt>
                <c:pt idx="124">
                  <c:v>11</c:v>
                </c:pt>
                <c:pt idx="125">
                  <c:v>9</c:v>
                </c:pt>
                <c:pt idx="126">
                  <c:v>12</c:v>
                </c:pt>
                <c:pt idx="127">
                  <c:v>12</c:v>
                </c:pt>
                <c:pt idx="128">
                  <c:v>7</c:v>
                </c:pt>
                <c:pt idx="129">
                  <c:v>10</c:v>
                </c:pt>
                <c:pt idx="130">
                  <c:v>9</c:v>
                </c:pt>
                <c:pt idx="131">
                  <c:v>14</c:v>
                </c:pt>
                <c:pt idx="132">
                  <c:v>11</c:v>
                </c:pt>
                <c:pt idx="133">
                  <c:v>11</c:v>
                </c:pt>
                <c:pt idx="134">
                  <c:v>11</c:v>
                </c:pt>
                <c:pt idx="135">
                  <c:v>9</c:v>
                </c:pt>
                <c:pt idx="136">
                  <c:v>10</c:v>
                </c:pt>
                <c:pt idx="137">
                  <c:v>8</c:v>
                </c:pt>
                <c:pt idx="138">
                  <c:v>12</c:v>
                </c:pt>
                <c:pt idx="139">
                  <c:v>11</c:v>
                </c:pt>
                <c:pt idx="140">
                  <c:v>10</c:v>
                </c:pt>
                <c:pt idx="141">
                  <c:v>8</c:v>
                </c:pt>
                <c:pt idx="142">
                  <c:v>7</c:v>
                </c:pt>
                <c:pt idx="143">
                  <c:v>9</c:v>
                </c:pt>
                <c:pt idx="144">
                  <c:v>9</c:v>
                </c:pt>
                <c:pt idx="145">
                  <c:v>11</c:v>
                </c:pt>
                <c:pt idx="146">
                  <c:v>9</c:v>
                </c:pt>
                <c:pt idx="147">
                  <c:v>8</c:v>
                </c:pt>
                <c:pt idx="148">
                  <c:v>8</c:v>
                </c:pt>
                <c:pt idx="149">
                  <c:v>7</c:v>
                </c:pt>
              </c:numCache>
            </c:numRef>
          </c:xVal>
          <c:yVal>
            <c:numRef>
              <c:f>X!$K$2:$K$152</c:f>
              <c:numCache>
                <c:formatCode>General</c:formatCode>
                <c:ptCount val="151"/>
                <c:pt idx="0">
                  <c:v>3.8541995614415998</c:v>
                </c:pt>
                <c:pt idx="1">
                  <c:v>2.9704718889994735</c:v>
                </c:pt>
                <c:pt idx="2">
                  <c:v>3.2506139333109849</c:v>
                </c:pt>
                <c:pt idx="3">
                  <c:v>3.3791650925688606</c:v>
                </c:pt>
                <c:pt idx="4">
                  <c:v>2.6584238914624603</c:v>
                </c:pt>
                <c:pt idx="5">
                  <c:v>3.6403501870932584</c:v>
                </c:pt>
                <c:pt idx="6">
                  <c:v>2.2536953618804176</c:v>
                </c:pt>
                <c:pt idx="7">
                  <c:v>4.4666609284673724</c:v>
                </c:pt>
                <c:pt idx="8">
                  <c:v>3.8176520909673504</c:v>
                </c:pt>
                <c:pt idx="9">
                  <c:v>3.9432912973794916</c:v>
                </c:pt>
                <c:pt idx="10">
                  <c:v>4.1138740656453914</c:v>
                </c:pt>
                <c:pt idx="11">
                  <c:v>4.5454012319530834</c:v>
                </c:pt>
                <c:pt idx="12">
                  <c:v>4.0187385676737559</c:v>
                </c:pt>
                <c:pt idx="13">
                  <c:v>4.4550860222189312</c:v>
                </c:pt>
                <c:pt idx="14">
                  <c:v>4.8672886753386058</c:v>
                </c:pt>
                <c:pt idx="15">
                  <c:v>3.6043463069116561</c:v>
                </c:pt>
                <c:pt idx="16">
                  <c:v>2.7257657280138643</c:v>
                </c:pt>
                <c:pt idx="17">
                  <c:v>4.0573729406426988</c:v>
                </c:pt>
                <c:pt idx="18">
                  <c:v>3.9463607027608463</c:v>
                </c:pt>
                <c:pt idx="19">
                  <c:v>2.894225546675036</c:v>
                </c:pt>
                <c:pt idx="20">
                  <c:v>3.4566760712613998</c:v>
                </c:pt>
                <c:pt idx="21">
                  <c:v>5.0158958371228524</c:v>
                </c:pt>
                <c:pt idx="22">
                  <c:v>3.5546931480898194</c:v>
                </c:pt>
                <c:pt idx="23">
                  <c:v>5.5394757067819977</c:v>
                </c:pt>
                <c:pt idx="24">
                  <c:v>2.3259181809421468</c:v>
                </c:pt>
                <c:pt idx="25">
                  <c:v>4.3569490470821055</c:v>
                </c:pt>
                <c:pt idx="26">
                  <c:v>2.6011021907616132</c:v>
                </c:pt>
                <c:pt idx="27">
                  <c:v>3.7139689140007182</c:v>
                </c:pt>
                <c:pt idx="28">
                  <c:v>4.4429598642800112</c:v>
                </c:pt>
                <c:pt idx="29">
                  <c:v>3.3076889977578494</c:v>
                </c:pt>
                <c:pt idx="30">
                  <c:v>4.0508120374768222</c:v>
                </c:pt>
                <c:pt idx="31">
                  <c:v>5.8241288262042978</c:v>
                </c:pt>
                <c:pt idx="32">
                  <c:v>3.8594248724286135</c:v>
                </c:pt>
                <c:pt idx="33">
                  <c:v>5.5753187126530834</c:v>
                </c:pt>
                <c:pt idx="34">
                  <c:v>5.3392705217493335</c:v>
                </c:pt>
                <c:pt idx="35">
                  <c:v>5.9900152265343376</c:v>
                </c:pt>
                <c:pt idx="36">
                  <c:v>4.9103570903192351</c:v>
                </c:pt>
                <c:pt idx="37">
                  <c:v>2.7952912460066104</c:v>
                </c:pt>
                <c:pt idx="38">
                  <c:v>4.8212792352042646</c:v>
                </c:pt>
                <c:pt idx="39">
                  <c:v>3.3447049363352721</c:v>
                </c:pt>
                <c:pt idx="40">
                  <c:v>4.168214011709253</c:v>
                </c:pt>
                <c:pt idx="41">
                  <c:v>5.9024526812569542</c:v>
                </c:pt>
                <c:pt idx="42">
                  <c:v>4.1187523248330296</c:v>
                </c:pt>
                <c:pt idx="43">
                  <c:v>4.9520498854225528</c:v>
                </c:pt>
                <c:pt idx="44">
                  <c:v>2.3908802292201616</c:v>
                </c:pt>
                <c:pt idx="45">
                  <c:v>2.0946000316330062</c:v>
                </c:pt>
                <c:pt idx="46">
                  <c:v>3.0921532603441277</c:v>
                </c:pt>
                <c:pt idx="47">
                  <c:v>4.263102362083881</c:v>
                </c:pt>
                <c:pt idx="48">
                  <c:v>3.0345556116703514</c:v>
                </c:pt>
                <c:pt idx="49">
                  <c:v>5.3943229579302123</c:v>
                </c:pt>
                <c:pt idx="50">
                  <c:v>4.545650364492472</c:v>
                </c:pt>
                <c:pt idx="51">
                  <c:v>3.6123842958364745</c:v>
                </c:pt>
                <c:pt idx="52">
                  <c:v>2.8702762789282543</c:v>
                </c:pt>
                <c:pt idx="53">
                  <c:v>5.2704826481136822</c:v>
                </c:pt>
                <c:pt idx="54">
                  <c:v>4.4683263207344623</c:v>
                </c:pt>
                <c:pt idx="55">
                  <c:v>2.873507228571087</c:v>
                </c:pt>
                <c:pt idx="56">
                  <c:v>3.1386939467141026</c:v>
                </c:pt>
                <c:pt idx="57">
                  <c:v>3.1504291127543178</c:v>
                </c:pt>
                <c:pt idx="58">
                  <c:v>5.7444446916190257</c:v>
                </c:pt>
                <c:pt idx="59">
                  <c:v>3.6149631059123952</c:v>
                </c:pt>
                <c:pt idx="60">
                  <c:v>4.5377005466246398</c:v>
                </c:pt>
                <c:pt idx="61">
                  <c:v>5.4350386864311533</c:v>
                </c:pt>
                <c:pt idx="62">
                  <c:v>5.0156439822759262</c:v>
                </c:pt>
                <c:pt idx="63">
                  <c:v>5.0865896869531655</c:v>
                </c:pt>
                <c:pt idx="64">
                  <c:v>4.6033839101098089</c:v>
                </c:pt>
                <c:pt idx="65">
                  <c:v>6.0950798752842346</c:v>
                </c:pt>
                <c:pt idx="66">
                  <c:v>4.1784866721145333</c:v>
                </c:pt>
                <c:pt idx="67">
                  <c:v>3.5753670828197959</c:v>
                </c:pt>
                <c:pt idx="68">
                  <c:v>4.922058478962601</c:v>
                </c:pt>
                <c:pt idx="69">
                  <c:v>4.6168162556488932</c:v>
                </c:pt>
                <c:pt idx="70">
                  <c:v>5.9397315138499298</c:v>
                </c:pt>
                <c:pt idx="71">
                  <c:v>4.2331583122084542</c:v>
                </c:pt>
                <c:pt idx="72">
                  <c:v>3.2706107729384666</c:v>
                </c:pt>
                <c:pt idx="73">
                  <c:v>2.813304304850333</c:v>
                </c:pt>
                <c:pt idx="74">
                  <c:v>2.1613886491195715</c:v>
                </c:pt>
                <c:pt idx="75">
                  <c:v>2.6646060977322454</c:v>
                </c:pt>
                <c:pt idx="76">
                  <c:v>5.2892332666715127</c:v>
                </c:pt>
                <c:pt idx="77">
                  <c:v>6.1172312623532967</c:v>
                </c:pt>
                <c:pt idx="78">
                  <c:v>3.8848557074272501</c:v>
                </c:pt>
                <c:pt idx="79">
                  <c:v>2.4480313763543116</c:v>
                </c:pt>
                <c:pt idx="80">
                  <c:v>5.4742693727764316</c:v>
                </c:pt>
                <c:pt idx="81">
                  <c:v>2.7728270548852754</c:v>
                </c:pt>
                <c:pt idx="82">
                  <c:v>2.89417202020765</c:v>
                </c:pt>
                <c:pt idx="83">
                  <c:v>4.675006868362459</c:v>
                </c:pt>
                <c:pt idx="84">
                  <c:v>6.0155416321801098</c:v>
                </c:pt>
                <c:pt idx="85">
                  <c:v>3.7597374664458001</c:v>
                </c:pt>
                <c:pt idx="86">
                  <c:v>4.0861523542982372</c:v>
                </c:pt>
                <c:pt idx="87">
                  <c:v>2.8145595109318777</c:v>
                </c:pt>
                <c:pt idx="88">
                  <c:v>5.1097061809284492</c:v>
                </c:pt>
                <c:pt idx="89">
                  <c:v>3.5654228322564419</c:v>
                </c:pt>
                <c:pt idx="90">
                  <c:v>4.1191229757779331</c:v>
                </c:pt>
                <c:pt idx="91">
                  <c:v>5.6290819888458969</c:v>
                </c:pt>
                <c:pt idx="92">
                  <c:v>4.1556375857223449</c:v>
                </c:pt>
                <c:pt idx="93">
                  <c:v>3.8296820034297259</c:v>
                </c:pt>
                <c:pt idx="94">
                  <c:v>5.0167896062981363</c:v>
                </c:pt>
                <c:pt idx="95">
                  <c:v>3.270111965725083</c:v>
                </c:pt>
                <c:pt idx="96">
                  <c:v>4.4601570317329022</c:v>
                </c:pt>
                <c:pt idx="97">
                  <c:v>4.8966386935902895</c:v>
                </c:pt>
                <c:pt idx="98">
                  <c:v>5.3773750107962481</c:v>
                </c:pt>
                <c:pt idx="99">
                  <c:v>5.4047961357589518</c:v>
                </c:pt>
                <c:pt idx="100">
                  <c:v>3.5645162306127602</c:v>
                </c:pt>
                <c:pt idx="101">
                  <c:v>5.8068054764542554</c:v>
                </c:pt>
                <c:pt idx="102">
                  <c:v>4.6092037957009255</c:v>
                </c:pt>
                <c:pt idx="103">
                  <c:v>4.5474928278378446</c:v>
                </c:pt>
                <c:pt idx="104">
                  <c:v>4.9775117548495436</c:v>
                </c:pt>
                <c:pt idx="105">
                  <c:v>5.8418529420716938</c:v>
                </c:pt>
                <c:pt idx="106">
                  <c:v>5.5987828297449536</c:v>
                </c:pt>
                <c:pt idx="107">
                  <c:v>3.0488105814260318</c:v>
                </c:pt>
                <c:pt idx="108">
                  <c:v>4.8450598800599076</c:v>
                </c:pt>
                <c:pt idx="109">
                  <c:v>5.2308703734442279</c:v>
                </c:pt>
                <c:pt idx="110">
                  <c:v>5.754904019037725</c:v>
                </c:pt>
                <c:pt idx="111">
                  <c:v>5.902524964063339</c:v>
                </c:pt>
                <c:pt idx="112">
                  <c:v>3.7686811643469067</c:v>
                </c:pt>
                <c:pt idx="113">
                  <c:v>4.1655889760323674</c:v>
                </c:pt>
                <c:pt idx="114">
                  <c:v>5.7208768430705836</c:v>
                </c:pt>
                <c:pt idx="115">
                  <c:v>6.08745584215783</c:v>
                </c:pt>
                <c:pt idx="116">
                  <c:v>4.2953747900994452</c:v>
                </c:pt>
                <c:pt idx="117">
                  <c:v>4.7898684313039483</c:v>
                </c:pt>
                <c:pt idx="118">
                  <c:v>4.140628897241541</c:v>
                </c:pt>
                <c:pt idx="119">
                  <c:v>6.1077119534603339</c:v>
                </c:pt>
                <c:pt idx="120">
                  <c:v>5.6536961418733753</c:v>
                </c:pt>
                <c:pt idx="121">
                  <c:v>6.0730786929090677</c:v>
                </c:pt>
                <c:pt idx="122">
                  <c:v>5.0341956633286919</c:v>
                </c:pt>
                <c:pt idx="123">
                  <c:v>4.6186786136242697</c:v>
                </c:pt>
                <c:pt idx="124">
                  <c:v>5.3072505246010007</c:v>
                </c:pt>
                <c:pt idx="125">
                  <c:v>5.5081394630491234</c:v>
                </c:pt>
                <c:pt idx="126">
                  <c:v>5.838803792875142</c:v>
                </c:pt>
                <c:pt idx="127">
                  <c:v>6.2605144582195171</c:v>
                </c:pt>
                <c:pt idx="128">
                  <c:v>4.8480471277185861</c:v>
                </c:pt>
                <c:pt idx="129">
                  <c:v>6.4333012382512331</c:v>
                </c:pt>
                <c:pt idx="130">
                  <c:v>5.6334663334552495</c:v>
                </c:pt>
                <c:pt idx="131">
                  <c:v>6.2709134973285403</c:v>
                </c:pt>
                <c:pt idx="132">
                  <c:v>6.0352194015699432</c:v>
                </c:pt>
                <c:pt idx="133">
                  <c:v>6.6700219407933625</c:v>
                </c:pt>
                <c:pt idx="134">
                  <c:v>6.352568886914062</c:v>
                </c:pt>
                <c:pt idx="135">
                  <c:v>5.9719760650646148</c:v>
                </c:pt>
                <c:pt idx="136">
                  <c:v>5.7005365530493295</c:v>
                </c:pt>
                <c:pt idx="137">
                  <c:v>5.4346795484217481</c:v>
                </c:pt>
                <c:pt idx="138">
                  <c:v>6.3912288420856767</c:v>
                </c:pt>
                <c:pt idx="139">
                  <c:v>6.5086442540028413</c:v>
                </c:pt>
                <c:pt idx="140">
                  <c:v>7.0042131194003048</c:v>
                </c:pt>
                <c:pt idx="141">
                  <c:v>6.226769993752443</c:v>
                </c:pt>
                <c:pt idx="142">
                  <c:v>5.8049334238659576</c:v>
                </c:pt>
                <c:pt idx="143">
                  <c:v>6.5635311944378216</c:v>
                </c:pt>
                <c:pt idx="144">
                  <c:v>6.509359678379286</c:v>
                </c:pt>
                <c:pt idx="145">
                  <c:v>7.3199005410988525</c:v>
                </c:pt>
                <c:pt idx="146">
                  <c:v>7.2981300051338112</c:v>
                </c:pt>
                <c:pt idx="147">
                  <c:v>6.4367166775064897</c:v>
                </c:pt>
                <c:pt idx="148">
                  <c:v>7.230065834591084</c:v>
                </c:pt>
                <c:pt idx="149">
                  <c:v>6.7695685414344364</c:v>
                </c:pt>
              </c:numCache>
            </c:numRef>
          </c:yVal>
          <c:smooth val="0"/>
          <c:extLst>
            <c:ext xmlns:c16="http://schemas.microsoft.com/office/drawing/2014/chart" uri="{C3380CC4-5D6E-409C-BE32-E72D297353CC}">
              <c16:uniqueId val="{00000000-FFE3-423C-BC34-32E6061992C5}"/>
            </c:ext>
          </c:extLst>
        </c:ser>
        <c:dLbls>
          <c:showLegendKey val="0"/>
          <c:showVal val="0"/>
          <c:showCatName val="0"/>
          <c:showSerName val="0"/>
          <c:showPercent val="0"/>
          <c:showBubbleSize val="0"/>
        </c:dLbls>
        <c:axId val="1249963152"/>
        <c:axId val="1249956496"/>
      </c:scatterChart>
      <c:valAx>
        <c:axId val="1249963152"/>
        <c:scaling>
          <c:orientation val="minMax"/>
          <c:min val="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56496"/>
        <c:crosses val="autoZero"/>
        <c:crossBetween val="midCat"/>
      </c:valAx>
      <c:valAx>
        <c:axId val="124995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631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 -&gt; X M2L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X!$L$1</c:f>
              <c:strCache>
                <c:ptCount val="1"/>
                <c:pt idx="0">
                  <c:v>X M2L</c:v>
                </c:pt>
              </c:strCache>
            </c:strRef>
          </c:tx>
          <c:spPr>
            <a:ln w="19050" cap="rnd">
              <a:noFill/>
              <a:round/>
            </a:ln>
            <a:effectLst/>
          </c:spPr>
          <c:marker>
            <c:symbol val="circle"/>
            <c:size val="5"/>
            <c:spPr>
              <a:solidFill>
                <a:schemeClr val="accent1"/>
              </a:solidFill>
              <a:ln w="9525">
                <a:solidFill>
                  <a:schemeClr val="accent1"/>
                </a:solidFill>
              </a:ln>
              <a:effectLst/>
            </c:spPr>
          </c:marker>
          <c:xVal>
            <c:numRef>
              <c:f>X!$E$2:$E$152</c:f>
              <c:numCache>
                <c:formatCode>General</c:formatCode>
                <c:ptCount val="151"/>
                <c:pt idx="0">
                  <c:v>13</c:v>
                </c:pt>
                <c:pt idx="1">
                  <c:v>10</c:v>
                </c:pt>
                <c:pt idx="2">
                  <c:v>10</c:v>
                </c:pt>
                <c:pt idx="3">
                  <c:v>13</c:v>
                </c:pt>
                <c:pt idx="4">
                  <c:v>10</c:v>
                </c:pt>
                <c:pt idx="5">
                  <c:v>10</c:v>
                </c:pt>
                <c:pt idx="6">
                  <c:v>10</c:v>
                </c:pt>
                <c:pt idx="7">
                  <c:v>13</c:v>
                </c:pt>
                <c:pt idx="8">
                  <c:v>11</c:v>
                </c:pt>
                <c:pt idx="9">
                  <c:v>14</c:v>
                </c:pt>
                <c:pt idx="10">
                  <c:v>13</c:v>
                </c:pt>
                <c:pt idx="11">
                  <c:v>14</c:v>
                </c:pt>
                <c:pt idx="12">
                  <c:v>11</c:v>
                </c:pt>
                <c:pt idx="13">
                  <c:v>10</c:v>
                </c:pt>
                <c:pt idx="14">
                  <c:v>13</c:v>
                </c:pt>
                <c:pt idx="15">
                  <c:v>12</c:v>
                </c:pt>
                <c:pt idx="16">
                  <c:v>11</c:v>
                </c:pt>
                <c:pt idx="17">
                  <c:v>12</c:v>
                </c:pt>
                <c:pt idx="18">
                  <c:v>13</c:v>
                </c:pt>
                <c:pt idx="19">
                  <c:v>10</c:v>
                </c:pt>
                <c:pt idx="20">
                  <c:v>11</c:v>
                </c:pt>
                <c:pt idx="21">
                  <c:v>14</c:v>
                </c:pt>
                <c:pt idx="22">
                  <c:v>11</c:v>
                </c:pt>
                <c:pt idx="23">
                  <c:v>13</c:v>
                </c:pt>
                <c:pt idx="24">
                  <c:v>7</c:v>
                </c:pt>
                <c:pt idx="25">
                  <c:v>13</c:v>
                </c:pt>
                <c:pt idx="26">
                  <c:v>10</c:v>
                </c:pt>
                <c:pt idx="27">
                  <c:v>10</c:v>
                </c:pt>
                <c:pt idx="28">
                  <c:v>12</c:v>
                </c:pt>
                <c:pt idx="29">
                  <c:v>9</c:v>
                </c:pt>
                <c:pt idx="30">
                  <c:v>10</c:v>
                </c:pt>
                <c:pt idx="31">
                  <c:v>13</c:v>
                </c:pt>
                <c:pt idx="32">
                  <c:v>12</c:v>
                </c:pt>
                <c:pt idx="33">
                  <c:v>14</c:v>
                </c:pt>
                <c:pt idx="34">
                  <c:v>12</c:v>
                </c:pt>
                <c:pt idx="35">
                  <c:v>13</c:v>
                </c:pt>
                <c:pt idx="36">
                  <c:v>10</c:v>
                </c:pt>
                <c:pt idx="37">
                  <c:v>9</c:v>
                </c:pt>
                <c:pt idx="38">
                  <c:v>11</c:v>
                </c:pt>
                <c:pt idx="39">
                  <c:v>12</c:v>
                </c:pt>
                <c:pt idx="40">
                  <c:v>14</c:v>
                </c:pt>
                <c:pt idx="41">
                  <c:v>14</c:v>
                </c:pt>
                <c:pt idx="42">
                  <c:v>11</c:v>
                </c:pt>
                <c:pt idx="43">
                  <c:v>13</c:v>
                </c:pt>
                <c:pt idx="44">
                  <c:v>11</c:v>
                </c:pt>
                <c:pt idx="45">
                  <c:v>8</c:v>
                </c:pt>
                <c:pt idx="46">
                  <c:v>11</c:v>
                </c:pt>
                <c:pt idx="47">
                  <c:v>11</c:v>
                </c:pt>
                <c:pt idx="48">
                  <c:v>10</c:v>
                </c:pt>
                <c:pt idx="49">
                  <c:v>11</c:v>
                </c:pt>
                <c:pt idx="50">
                  <c:v>10</c:v>
                </c:pt>
                <c:pt idx="51">
                  <c:v>13</c:v>
                </c:pt>
                <c:pt idx="52">
                  <c:v>8</c:v>
                </c:pt>
                <c:pt idx="53">
                  <c:v>13</c:v>
                </c:pt>
                <c:pt idx="54">
                  <c:v>12</c:v>
                </c:pt>
                <c:pt idx="55">
                  <c:v>9</c:v>
                </c:pt>
                <c:pt idx="56">
                  <c:v>10</c:v>
                </c:pt>
                <c:pt idx="57">
                  <c:v>11</c:v>
                </c:pt>
                <c:pt idx="58">
                  <c:v>12</c:v>
                </c:pt>
                <c:pt idx="59">
                  <c:v>10</c:v>
                </c:pt>
                <c:pt idx="60">
                  <c:v>14</c:v>
                </c:pt>
                <c:pt idx="61">
                  <c:v>13</c:v>
                </c:pt>
                <c:pt idx="62">
                  <c:v>12</c:v>
                </c:pt>
                <c:pt idx="63">
                  <c:v>10</c:v>
                </c:pt>
                <c:pt idx="64">
                  <c:v>12</c:v>
                </c:pt>
                <c:pt idx="65">
                  <c:v>14</c:v>
                </c:pt>
                <c:pt idx="66">
                  <c:v>12</c:v>
                </c:pt>
                <c:pt idx="67">
                  <c:v>10</c:v>
                </c:pt>
                <c:pt idx="68">
                  <c:v>11</c:v>
                </c:pt>
                <c:pt idx="69">
                  <c:v>13</c:v>
                </c:pt>
                <c:pt idx="70">
                  <c:v>10</c:v>
                </c:pt>
                <c:pt idx="71">
                  <c:v>9</c:v>
                </c:pt>
                <c:pt idx="72">
                  <c:v>12</c:v>
                </c:pt>
                <c:pt idx="73">
                  <c:v>9</c:v>
                </c:pt>
                <c:pt idx="74">
                  <c:v>9</c:v>
                </c:pt>
                <c:pt idx="75">
                  <c:v>12</c:v>
                </c:pt>
                <c:pt idx="76">
                  <c:v>11</c:v>
                </c:pt>
                <c:pt idx="77">
                  <c:v>12</c:v>
                </c:pt>
                <c:pt idx="78">
                  <c:v>11</c:v>
                </c:pt>
                <c:pt idx="79">
                  <c:v>8</c:v>
                </c:pt>
                <c:pt idx="80">
                  <c:v>12</c:v>
                </c:pt>
                <c:pt idx="81">
                  <c:v>8</c:v>
                </c:pt>
                <c:pt idx="82">
                  <c:v>11</c:v>
                </c:pt>
                <c:pt idx="83">
                  <c:v>10</c:v>
                </c:pt>
                <c:pt idx="84">
                  <c:v>11</c:v>
                </c:pt>
                <c:pt idx="85">
                  <c:v>10</c:v>
                </c:pt>
                <c:pt idx="86">
                  <c:v>12</c:v>
                </c:pt>
                <c:pt idx="87">
                  <c:v>7</c:v>
                </c:pt>
                <c:pt idx="88">
                  <c:v>14</c:v>
                </c:pt>
                <c:pt idx="89">
                  <c:v>9</c:v>
                </c:pt>
                <c:pt idx="90">
                  <c:v>11</c:v>
                </c:pt>
                <c:pt idx="91">
                  <c:v>10</c:v>
                </c:pt>
                <c:pt idx="92">
                  <c:v>12</c:v>
                </c:pt>
                <c:pt idx="93">
                  <c:v>11</c:v>
                </c:pt>
                <c:pt idx="94">
                  <c:v>12</c:v>
                </c:pt>
                <c:pt idx="95">
                  <c:v>8</c:v>
                </c:pt>
                <c:pt idx="96">
                  <c:v>10</c:v>
                </c:pt>
                <c:pt idx="97">
                  <c:v>9</c:v>
                </c:pt>
                <c:pt idx="98">
                  <c:v>13</c:v>
                </c:pt>
                <c:pt idx="99">
                  <c:v>10</c:v>
                </c:pt>
                <c:pt idx="100">
                  <c:v>7</c:v>
                </c:pt>
                <c:pt idx="101">
                  <c:v>12</c:v>
                </c:pt>
                <c:pt idx="102">
                  <c:v>9</c:v>
                </c:pt>
                <c:pt idx="103">
                  <c:v>10</c:v>
                </c:pt>
                <c:pt idx="104">
                  <c:v>11</c:v>
                </c:pt>
                <c:pt idx="105">
                  <c:v>13</c:v>
                </c:pt>
                <c:pt idx="106">
                  <c:v>11</c:v>
                </c:pt>
                <c:pt idx="107">
                  <c:v>9</c:v>
                </c:pt>
                <c:pt idx="108">
                  <c:v>11</c:v>
                </c:pt>
                <c:pt idx="109">
                  <c:v>12</c:v>
                </c:pt>
                <c:pt idx="110">
                  <c:v>14</c:v>
                </c:pt>
                <c:pt idx="111">
                  <c:v>11</c:v>
                </c:pt>
                <c:pt idx="112">
                  <c:v>9</c:v>
                </c:pt>
                <c:pt idx="113">
                  <c:v>8</c:v>
                </c:pt>
                <c:pt idx="114">
                  <c:v>12</c:v>
                </c:pt>
                <c:pt idx="115">
                  <c:v>13</c:v>
                </c:pt>
                <c:pt idx="116">
                  <c:v>10</c:v>
                </c:pt>
                <c:pt idx="117">
                  <c:v>11</c:v>
                </c:pt>
                <c:pt idx="118">
                  <c:v>8</c:v>
                </c:pt>
                <c:pt idx="119">
                  <c:v>14</c:v>
                </c:pt>
                <c:pt idx="120">
                  <c:v>10</c:v>
                </c:pt>
                <c:pt idx="121">
                  <c:v>10</c:v>
                </c:pt>
                <c:pt idx="122">
                  <c:v>8</c:v>
                </c:pt>
                <c:pt idx="123">
                  <c:v>9</c:v>
                </c:pt>
                <c:pt idx="124">
                  <c:v>11</c:v>
                </c:pt>
                <c:pt idx="125">
                  <c:v>9</c:v>
                </c:pt>
                <c:pt idx="126">
                  <c:v>12</c:v>
                </c:pt>
                <c:pt idx="127">
                  <c:v>12</c:v>
                </c:pt>
                <c:pt idx="128">
                  <c:v>7</c:v>
                </c:pt>
                <c:pt idx="129">
                  <c:v>10</c:v>
                </c:pt>
                <c:pt idx="130">
                  <c:v>9</c:v>
                </c:pt>
                <c:pt idx="131">
                  <c:v>14</c:v>
                </c:pt>
                <c:pt idx="132">
                  <c:v>11</c:v>
                </c:pt>
                <c:pt idx="133">
                  <c:v>11</c:v>
                </c:pt>
                <c:pt idx="134">
                  <c:v>11</c:v>
                </c:pt>
                <c:pt idx="135">
                  <c:v>9</c:v>
                </c:pt>
                <c:pt idx="136">
                  <c:v>10</c:v>
                </c:pt>
                <c:pt idx="137">
                  <c:v>8</c:v>
                </c:pt>
                <c:pt idx="138">
                  <c:v>12</c:v>
                </c:pt>
                <c:pt idx="139">
                  <c:v>11</c:v>
                </c:pt>
                <c:pt idx="140">
                  <c:v>10</c:v>
                </c:pt>
                <c:pt idx="141">
                  <c:v>8</c:v>
                </c:pt>
                <c:pt idx="142">
                  <c:v>7</c:v>
                </c:pt>
                <c:pt idx="143">
                  <c:v>9</c:v>
                </c:pt>
                <c:pt idx="144">
                  <c:v>9</c:v>
                </c:pt>
                <c:pt idx="145">
                  <c:v>11</c:v>
                </c:pt>
                <c:pt idx="146">
                  <c:v>9</c:v>
                </c:pt>
                <c:pt idx="147">
                  <c:v>8</c:v>
                </c:pt>
                <c:pt idx="148">
                  <c:v>8</c:v>
                </c:pt>
                <c:pt idx="149">
                  <c:v>7</c:v>
                </c:pt>
              </c:numCache>
            </c:numRef>
          </c:xVal>
          <c:yVal>
            <c:numRef>
              <c:f>X!$L$2:$L$152</c:f>
              <c:numCache>
                <c:formatCode>General</c:formatCode>
                <c:ptCount val="151"/>
                <c:pt idx="0">
                  <c:v>2.2907904295567305</c:v>
                </c:pt>
                <c:pt idx="1">
                  <c:v>1.5619456610141358</c:v>
                </c:pt>
                <c:pt idx="2">
                  <c:v>1.5931679912250871</c:v>
                </c:pt>
                <c:pt idx="3">
                  <c:v>1.8269683748228818</c:v>
                </c:pt>
                <c:pt idx="4">
                  <c:v>0.85952265202190503</c:v>
                </c:pt>
                <c:pt idx="5">
                  <c:v>2.1509680320094073</c:v>
                </c:pt>
                <c:pt idx="6">
                  <c:v>1.1231910310173769</c:v>
                </c:pt>
                <c:pt idx="7">
                  <c:v>3.0719225809783404</c:v>
                </c:pt>
                <c:pt idx="8">
                  <c:v>1.2235802737971162</c:v>
                </c:pt>
                <c:pt idx="9">
                  <c:v>1.4768297738052916</c:v>
                </c:pt>
                <c:pt idx="10">
                  <c:v>1.6782757306213725</c:v>
                </c:pt>
                <c:pt idx="11">
                  <c:v>2.8897326988053291</c:v>
                </c:pt>
                <c:pt idx="12">
                  <c:v>2.3184144047814925</c:v>
                </c:pt>
                <c:pt idx="13">
                  <c:v>3.0146366029461573</c:v>
                </c:pt>
                <c:pt idx="14">
                  <c:v>3.8964595464414322</c:v>
                </c:pt>
                <c:pt idx="15">
                  <c:v>2.6809579131995762</c:v>
                </c:pt>
                <c:pt idx="16">
                  <c:v>1.0626006890497057</c:v>
                </c:pt>
                <c:pt idx="17">
                  <c:v>1.1608981449330658</c:v>
                </c:pt>
                <c:pt idx="18">
                  <c:v>2.4018421671465822</c:v>
                </c:pt>
                <c:pt idx="19">
                  <c:v>2.1708074981035685</c:v>
                </c:pt>
                <c:pt idx="20">
                  <c:v>3.2196938580308037</c:v>
                </c:pt>
                <c:pt idx="21">
                  <c:v>3.7583108759834554</c:v>
                </c:pt>
                <c:pt idx="22">
                  <c:v>2.1622353304630555</c:v>
                </c:pt>
                <c:pt idx="23">
                  <c:v>4.9001937883097462</c:v>
                </c:pt>
                <c:pt idx="24">
                  <c:v>0.96833481146443456</c:v>
                </c:pt>
                <c:pt idx="25">
                  <c:v>3.1328539368350143</c:v>
                </c:pt>
                <c:pt idx="26">
                  <c:v>1.1112631039696095</c:v>
                </c:pt>
                <c:pt idx="27">
                  <c:v>2.8141176699960999</c:v>
                </c:pt>
                <c:pt idx="28">
                  <c:v>3.4865765878312831</c:v>
                </c:pt>
                <c:pt idx="29">
                  <c:v>1.6590208674368669</c:v>
                </c:pt>
                <c:pt idx="30">
                  <c:v>3.9511137759617077</c:v>
                </c:pt>
                <c:pt idx="31">
                  <c:v>5.4332976089897587</c:v>
                </c:pt>
                <c:pt idx="32">
                  <c:v>2.1946929151203993</c:v>
                </c:pt>
                <c:pt idx="33">
                  <c:v>4.8334828268161178</c:v>
                </c:pt>
                <c:pt idx="34">
                  <c:v>4.6826590979233584</c:v>
                </c:pt>
                <c:pt idx="35">
                  <c:v>5.6802478628331228</c:v>
                </c:pt>
                <c:pt idx="36">
                  <c:v>4.9721555925927605</c:v>
                </c:pt>
                <c:pt idx="37">
                  <c:v>0.82445582748788315</c:v>
                </c:pt>
                <c:pt idx="38">
                  <c:v>4.2841897691493873</c:v>
                </c:pt>
                <c:pt idx="39">
                  <c:v>0.96442367903808057</c:v>
                </c:pt>
                <c:pt idx="40">
                  <c:v>1.1602183172249443</c:v>
                </c:pt>
                <c:pt idx="41">
                  <c:v>5.4075990134112821</c:v>
                </c:pt>
                <c:pt idx="42">
                  <c:v>2.7760260126153584</c:v>
                </c:pt>
                <c:pt idx="43">
                  <c:v>3.9310719374042757</c:v>
                </c:pt>
                <c:pt idx="44">
                  <c:v>0.65438309504452374</c:v>
                </c:pt>
                <c:pt idx="45">
                  <c:v>0.54601064748678996</c:v>
                </c:pt>
                <c:pt idx="46">
                  <c:v>0.68300330977220414</c:v>
                </c:pt>
                <c:pt idx="47">
                  <c:v>1.5696565839036278</c:v>
                </c:pt>
                <c:pt idx="48">
                  <c:v>1.5721977037482886</c:v>
                </c:pt>
                <c:pt idx="49">
                  <c:v>5.0388452392769691</c:v>
                </c:pt>
                <c:pt idx="50">
                  <c:v>3.6110177167472797</c:v>
                </c:pt>
                <c:pt idx="51">
                  <c:v>2.3736771084020893</c:v>
                </c:pt>
                <c:pt idx="52">
                  <c:v>1.2116752952948722</c:v>
                </c:pt>
                <c:pt idx="53">
                  <c:v>4.406086976431749</c:v>
                </c:pt>
                <c:pt idx="54">
                  <c:v>2.8525101432716444</c:v>
                </c:pt>
                <c:pt idx="55">
                  <c:v>2.2789366332914103</c:v>
                </c:pt>
                <c:pt idx="56">
                  <c:v>1.4080600214967804</c:v>
                </c:pt>
                <c:pt idx="57">
                  <c:v>1.5001187061383099</c:v>
                </c:pt>
                <c:pt idx="58">
                  <c:v>5.2768618882365903</c:v>
                </c:pt>
                <c:pt idx="59">
                  <c:v>2.194072786297677</c:v>
                </c:pt>
                <c:pt idx="60">
                  <c:v>2.386017386425439</c:v>
                </c:pt>
                <c:pt idx="61">
                  <c:v>4.6162383556759741</c:v>
                </c:pt>
                <c:pt idx="62">
                  <c:v>3.8213825474228496</c:v>
                </c:pt>
                <c:pt idx="63">
                  <c:v>4.1996500513509796</c:v>
                </c:pt>
                <c:pt idx="64">
                  <c:v>1.8321168439521875</c:v>
                </c:pt>
                <c:pt idx="65">
                  <c:v>5.7009846579600527</c:v>
                </c:pt>
                <c:pt idx="66">
                  <c:v>0.73768892806209463</c:v>
                </c:pt>
                <c:pt idx="67">
                  <c:v>1.715012996780241</c:v>
                </c:pt>
                <c:pt idx="68">
                  <c:v>3.6652375544608962</c:v>
                </c:pt>
                <c:pt idx="69">
                  <c:v>3.1896994044529614</c:v>
                </c:pt>
                <c:pt idx="70">
                  <c:v>5.4060020189171691</c:v>
                </c:pt>
                <c:pt idx="71">
                  <c:v>3.2739499031828578</c:v>
                </c:pt>
                <c:pt idx="72">
                  <c:v>1.4306135042938639</c:v>
                </c:pt>
                <c:pt idx="73">
                  <c:v>1.2774503628942746</c:v>
                </c:pt>
                <c:pt idx="74">
                  <c:v>0.53701430171799625</c:v>
                </c:pt>
                <c:pt idx="75">
                  <c:v>0.56842453738613652</c:v>
                </c:pt>
                <c:pt idx="76">
                  <c:v>4.1994607877731394</c:v>
                </c:pt>
                <c:pt idx="77">
                  <c:v>5.6498602970895409</c:v>
                </c:pt>
                <c:pt idx="78">
                  <c:v>2.0575193847010387</c:v>
                </c:pt>
                <c:pt idx="79">
                  <c:v>0.57380271350542722</c:v>
                </c:pt>
                <c:pt idx="80">
                  <c:v>4.2892805620401635</c:v>
                </c:pt>
                <c:pt idx="81">
                  <c:v>1.5853236942899951</c:v>
                </c:pt>
                <c:pt idx="82">
                  <c:v>0.63208185180949261</c:v>
                </c:pt>
                <c:pt idx="83">
                  <c:v>3.0879960284363421</c:v>
                </c:pt>
                <c:pt idx="84">
                  <c:v>5.452136031392957</c:v>
                </c:pt>
                <c:pt idx="85">
                  <c:v>1.6152168715198301</c:v>
                </c:pt>
                <c:pt idx="86">
                  <c:v>2.0895796883966447</c:v>
                </c:pt>
                <c:pt idx="87">
                  <c:v>1.353354283204163</c:v>
                </c:pt>
                <c:pt idx="88">
                  <c:v>3.1324701761783809</c:v>
                </c:pt>
                <c:pt idx="89">
                  <c:v>1.7806680677970275</c:v>
                </c:pt>
                <c:pt idx="90">
                  <c:v>1.8850653110838365</c:v>
                </c:pt>
                <c:pt idx="91">
                  <c:v>4.4833751700887197</c:v>
                </c:pt>
                <c:pt idx="92">
                  <c:v>2.6533983329422894</c:v>
                </c:pt>
                <c:pt idx="93">
                  <c:v>1.4895417953405949</c:v>
                </c:pt>
                <c:pt idx="94">
                  <c:v>3.2462059922761033</c:v>
                </c:pt>
                <c:pt idx="95">
                  <c:v>1.3428781659589359</c:v>
                </c:pt>
                <c:pt idx="96">
                  <c:v>2.2786396314239941</c:v>
                </c:pt>
                <c:pt idx="97">
                  <c:v>3.7665587066260646</c:v>
                </c:pt>
                <c:pt idx="98">
                  <c:v>4.1813966936108589</c:v>
                </c:pt>
                <c:pt idx="99">
                  <c:v>3.8381267224777909</c:v>
                </c:pt>
                <c:pt idx="100">
                  <c:v>1.6977393421331453</c:v>
                </c:pt>
                <c:pt idx="101">
                  <c:v>4.611759155615335</c:v>
                </c:pt>
                <c:pt idx="102">
                  <c:v>2.7726701248311265</c:v>
                </c:pt>
                <c:pt idx="103">
                  <c:v>2.6870571385991551</c:v>
                </c:pt>
                <c:pt idx="104">
                  <c:v>3.0486049881518893</c:v>
                </c:pt>
                <c:pt idx="105">
                  <c:v>4.8286714248884506</c:v>
                </c:pt>
                <c:pt idx="106">
                  <c:v>3.873109493652628</c:v>
                </c:pt>
                <c:pt idx="107">
                  <c:v>0.51754364588721902</c:v>
                </c:pt>
                <c:pt idx="108">
                  <c:v>3.445579386051373</c:v>
                </c:pt>
                <c:pt idx="109">
                  <c:v>3.8080922481178758</c:v>
                </c:pt>
                <c:pt idx="110">
                  <c:v>4.4878555894263101</c:v>
                </c:pt>
                <c:pt idx="111">
                  <c:v>4.5175324949317091</c:v>
                </c:pt>
                <c:pt idx="112">
                  <c:v>1.2333152209482887</c:v>
                </c:pt>
                <c:pt idx="113">
                  <c:v>2.2976922333805847</c:v>
                </c:pt>
                <c:pt idx="114">
                  <c:v>3.9075250773460257</c:v>
                </c:pt>
                <c:pt idx="115">
                  <c:v>5.1159750564410347</c:v>
                </c:pt>
                <c:pt idx="116">
                  <c:v>3.6975464968833931</c:v>
                </c:pt>
                <c:pt idx="117">
                  <c:v>2.0754213130129306</c:v>
                </c:pt>
                <c:pt idx="118">
                  <c:v>1.6524445287705389</c:v>
                </c:pt>
                <c:pt idx="119">
                  <c:v>4.8602041924923611</c:v>
                </c:pt>
                <c:pt idx="120">
                  <c:v>3.2527707534103563</c:v>
                </c:pt>
                <c:pt idx="121">
                  <c:v>4.2805084833216922</c:v>
                </c:pt>
                <c:pt idx="122">
                  <c:v>3.0201743680430346</c:v>
                </c:pt>
                <c:pt idx="123">
                  <c:v>1.8397030800500114</c:v>
                </c:pt>
                <c:pt idx="124">
                  <c:v>4.2176713035229714</c:v>
                </c:pt>
                <c:pt idx="125">
                  <c:v>3.3568317187563794</c:v>
                </c:pt>
                <c:pt idx="126">
                  <c:v>4.7479183221178873</c:v>
                </c:pt>
                <c:pt idx="127">
                  <c:v>4.4314345170255693</c:v>
                </c:pt>
                <c:pt idx="128">
                  <c:v>2.2334264517364408</c:v>
                </c:pt>
                <c:pt idx="129">
                  <c:v>4.1661640727287175</c:v>
                </c:pt>
                <c:pt idx="130">
                  <c:v>2.9323702573920207</c:v>
                </c:pt>
                <c:pt idx="131">
                  <c:v>5.0837754960025574</c:v>
                </c:pt>
                <c:pt idx="132">
                  <c:v>3.1804974358330229</c:v>
                </c:pt>
                <c:pt idx="133">
                  <c:v>4.3017926366530181</c:v>
                </c:pt>
                <c:pt idx="134">
                  <c:v>4.3017812562044631</c:v>
                </c:pt>
                <c:pt idx="135">
                  <c:v>4.0279014197058265</c:v>
                </c:pt>
                <c:pt idx="136">
                  <c:v>4.5075314610990533</c:v>
                </c:pt>
                <c:pt idx="137">
                  <c:v>2.403228441924969</c:v>
                </c:pt>
                <c:pt idx="138">
                  <c:v>5.1027814095583333</c:v>
                </c:pt>
                <c:pt idx="139">
                  <c:v>4.7434359274448017</c:v>
                </c:pt>
                <c:pt idx="140">
                  <c:v>4.7303788029213436</c:v>
                </c:pt>
                <c:pt idx="141">
                  <c:v>3.2614146426422175</c:v>
                </c:pt>
                <c:pt idx="142">
                  <c:v>2.7531443074273838</c:v>
                </c:pt>
                <c:pt idx="143">
                  <c:v>3.61234365464425</c:v>
                </c:pt>
                <c:pt idx="144">
                  <c:v>3.6923518757746763</c:v>
                </c:pt>
                <c:pt idx="145">
                  <c:v>4.7840669776167566</c:v>
                </c:pt>
                <c:pt idx="146">
                  <c:v>4.021467679940308</c:v>
                </c:pt>
                <c:pt idx="147">
                  <c:v>2.0450371689436149</c:v>
                </c:pt>
                <c:pt idx="148">
                  <c:v>2.1529419361795123</c:v>
                </c:pt>
                <c:pt idx="149">
                  <c:v>0.51338723973552935</c:v>
                </c:pt>
              </c:numCache>
            </c:numRef>
          </c:yVal>
          <c:smooth val="0"/>
          <c:extLst>
            <c:ext xmlns:c16="http://schemas.microsoft.com/office/drawing/2014/chart" uri="{C3380CC4-5D6E-409C-BE32-E72D297353CC}">
              <c16:uniqueId val="{00000000-383D-4DF2-8E40-9019196DFA5A}"/>
            </c:ext>
          </c:extLst>
        </c:ser>
        <c:dLbls>
          <c:showLegendKey val="0"/>
          <c:showVal val="0"/>
          <c:showCatName val="0"/>
          <c:showSerName val="0"/>
          <c:showPercent val="0"/>
          <c:showBubbleSize val="0"/>
        </c:dLbls>
        <c:axId val="1249963152"/>
        <c:axId val="1249956496"/>
      </c:scatterChart>
      <c:valAx>
        <c:axId val="1249963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56496"/>
        <c:crosses val="autoZero"/>
        <c:crossBetween val="midCat"/>
      </c:valAx>
      <c:valAx>
        <c:axId val="124995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631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t>
            </a:r>
            <a:r>
              <a:rPr lang="en-US" baseline="0"/>
              <a:t> -&gt;X P2P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X!$H$1</c:f>
              <c:strCache>
                <c:ptCount val="1"/>
                <c:pt idx="0">
                  <c:v>t</c:v>
                </c:pt>
              </c:strCache>
            </c:strRef>
          </c:tx>
          <c:spPr>
            <a:ln w="19050" cap="rnd">
              <a:noFill/>
              <a:round/>
            </a:ln>
            <a:effectLst/>
          </c:spPr>
          <c:marker>
            <c:symbol val="circle"/>
            <c:size val="5"/>
            <c:spPr>
              <a:solidFill>
                <a:schemeClr val="accent1"/>
              </a:solidFill>
              <a:ln w="9525">
                <a:solidFill>
                  <a:schemeClr val="accent1"/>
                </a:solidFill>
              </a:ln>
              <a:effectLst/>
            </c:spPr>
          </c:marker>
          <c:xVal>
            <c:numRef>
              <c:f>X!$E$2:$E$151</c:f>
              <c:numCache>
                <c:formatCode>General</c:formatCode>
                <c:ptCount val="150"/>
                <c:pt idx="0">
                  <c:v>13</c:v>
                </c:pt>
                <c:pt idx="1">
                  <c:v>10</c:v>
                </c:pt>
                <c:pt idx="2">
                  <c:v>10</c:v>
                </c:pt>
                <c:pt idx="3">
                  <c:v>13</c:v>
                </c:pt>
                <c:pt idx="4">
                  <c:v>10</c:v>
                </c:pt>
                <c:pt idx="5">
                  <c:v>10</c:v>
                </c:pt>
                <c:pt idx="6">
                  <c:v>10</c:v>
                </c:pt>
                <c:pt idx="7">
                  <c:v>13</c:v>
                </c:pt>
                <c:pt idx="8">
                  <c:v>11</c:v>
                </c:pt>
                <c:pt idx="9">
                  <c:v>14</c:v>
                </c:pt>
                <c:pt idx="10">
                  <c:v>13</c:v>
                </c:pt>
                <c:pt idx="11">
                  <c:v>14</c:v>
                </c:pt>
                <c:pt idx="12">
                  <c:v>11</c:v>
                </c:pt>
                <c:pt idx="13">
                  <c:v>10</c:v>
                </c:pt>
                <c:pt idx="14">
                  <c:v>13</c:v>
                </c:pt>
                <c:pt idx="15">
                  <c:v>12</c:v>
                </c:pt>
                <c:pt idx="16">
                  <c:v>11</c:v>
                </c:pt>
                <c:pt idx="17">
                  <c:v>12</c:v>
                </c:pt>
                <c:pt idx="18">
                  <c:v>13</c:v>
                </c:pt>
                <c:pt idx="19">
                  <c:v>10</c:v>
                </c:pt>
                <c:pt idx="20">
                  <c:v>11</c:v>
                </c:pt>
                <c:pt idx="21">
                  <c:v>14</c:v>
                </c:pt>
                <c:pt idx="22">
                  <c:v>11</c:v>
                </c:pt>
                <c:pt idx="23">
                  <c:v>13</c:v>
                </c:pt>
                <c:pt idx="24">
                  <c:v>7</c:v>
                </c:pt>
                <c:pt idx="25">
                  <c:v>13</c:v>
                </c:pt>
                <c:pt idx="26">
                  <c:v>10</c:v>
                </c:pt>
                <c:pt idx="27">
                  <c:v>10</c:v>
                </c:pt>
                <c:pt idx="28">
                  <c:v>12</c:v>
                </c:pt>
                <c:pt idx="29">
                  <c:v>9</c:v>
                </c:pt>
                <c:pt idx="30">
                  <c:v>10</c:v>
                </c:pt>
                <c:pt idx="31">
                  <c:v>13</c:v>
                </c:pt>
                <c:pt idx="32">
                  <c:v>12</c:v>
                </c:pt>
                <c:pt idx="33">
                  <c:v>14</c:v>
                </c:pt>
                <c:pt idx="34">
                  <c:v>12</c:v>
                </c:pt>
                <c:pt idx="35">
                  <c:v>13</c:v>
                </c:pt>
                <c:pt idx="36">
                  <c:v>10</c:v>
                </c:pt>
                <c:pt idx="37">
                  <c:v>9</c:v>
                </c:pt>
                <c:pt idx="38">
                  <c:v>11</c:v>
                </c:pt>
                <c:pt idx="39">
                  <c:v>12</c:v>
                </c:pt>
                <c:pt idx="40">
                  <c:v>14</c:v>
                </c:pt>
                <c:pt idx="41">
                  <c:v>14</c:v>
                </c:pt>
                <c:pt idx="42">
                  <c:v>11</c:v>
                </c:pt>
                <c:pt idx="43">
                  <c:v>13</c:v>
                </c:pt>
                <c:pt idx="44">
                  <c:v>11</c:v>
                </c:pt>
                <c:pt idx="45">
                  <c:v>8</c:v>
                </c:pt>
                <c:pt idx="46">
                  <c:v>11</c:v>
                </c:pt>
                <c:pt idx="47">
                  <c:v>11</c:v>
                </c:pt>
                <c:pt idx="48">
                  <c:v>10</c:v>
                </c:pt>
                <c:pt idx="49">
                  <c:v>11</c:v>
                </c:pt>
                <c:pt idx="50">
                  <c:v>10</c:v>
                </c:pt>
                <c:pt idx="51">
                  <c:v>13</c:v>
                </c:pt>
                <c:pt idx="52">
                  <c:v>8</c:v>
                </c:pt>
                <c:pt idx="53">
                  <c:v>13</c:v>
                </c:pt>
                <c:pt idx="54">
                  <c:v>12</c:v>
                </c:pt>
                <c:pt idx="55">
                  <c:v>9</c:v>
                </c:pt>
                <c:pt idx="56">
                  <c:v>10</c:v>
                </c:pt>
                <c:pt idx="57">
                  <c:v>11</c:v>
                </c:pt>
                <c:pt idx="58">
                  <c:v>12</c:v>
                </c:pt>
                <c:pt idx="59">
                  <c:v>10</c:v>
                </c:pt>
                <c:pt idx="60">
                  <c:v>14</c:v>
                </c:pt>
                <c:pt idx="61">
                  <c:v>13</c:v>
                </c:pt>
                <c:pt idx="62">
                  <c:v>12</c:v>
                </c:pt>
                <c:pt idx="63">
                  <c:v>10</c:v>
                </c:pt>
                <c:pt idx="64">
                  <c:v>12</c:v>
                </c:pt>
                <c:pt idx="65">
                  <c:v>14</c:v>
                </c:pt>
                <c:pt idx="66">
                  <c:v>12</c:v>
                </c:pt>
                <c:pt idx="67">
                  <c:v>10</c:v>
                </c:pt>
                <c:pt idx="68">
                  <c:v>11</c:v>
                </c:pt>
                <c:pt idx="69">
                  <c:v>13</c:v>
                </c:pt>
                <c:pt idx="70">
                  <c:v>10</c:v>
                </c:pt>
                <c:pt idx="71">
                  <c:v>9</c:v>
                </c:pt>
                <c:pt idx="72">
                  <c:v>12</c:v>
                </c:pt>
                <c:pt idx="73">
                  <c:v>9</c:v>
                </c:pt>
                <c:pt idx="74">
                  <c:v>9</c:v>
                </c:pt>
                <c:pt idx="75">
                  <c:v>12</c:v>
                </c:pt>
                <c:pt idx="76">
                  <c:v>11</c:v>
                </c:pt>
                <c:pt idx="77">
                  <c:v>12</c:v>
                </c:pt>
                <c:pt idx="78">
                  <c:v>11</c:v>
                </c:pt>
                <c:pt idx="79">
                  <c:v>8</c:v>
                </c:pt>
                <c:pt idx="80">
                  <c:v>12</c:v>
                </c:pt>
                <c:pt idx="81">
                  <c:v>8</c:v>
                </c:pt>
                <c:pt idx="82">
                  <c:v>11</c:v>
                </c:pt>
                <c:pt idx="83">
                  <c:v>10</c:v>
                </c:pt>
                <c:pt idx="84">
                  <c:v>11</c:v>
                </c:pt>
                <c:pt idx="85">
                  <c:v>10</c:v>
                </c:pt>
                <c:pt idx="86">
                  <c:v>12</c:v>
                </c:pt>
                <c:pt idx="87">
                  <c:v>7</c:v>
                </c:pt>
                <c:pt idx="88">
                  <c:v>14</c:v>
                </c:pt>
                <c:pt idx="89">
                  <c:v>9</c:v>
                </c:pt>
                <c:pt idx="90">
                  <c:v>11</c:v>
                </c:pt>
                <c:pt idx="91">
                  <c:v>10</c:v>
                </c:pt>
                <c:pt idx="92">
                  <c:v>12</c:v>
                </c:pt>
                <c:pt idx="93">
                  <c:v>11</c:v>
                </c:pt>
                <c:pt idx="94">
                  <c:v>12</c:v>
                </c:pt>
                <c:pt idx="95">
                  <c:v>8</c:v>
                </c:pt>
                <c:pt idx="96">
                  <c:v>10</c:v>
                </c:pt>
                <c:pt idx="97">
                  <c:v>9</c:v>
                </c:pt>
                <c:pt idx="98">
                  <c:v>13</c:v>
                </c:pt>
                <c:pt idx="99">
                  <c:v>10</c:v>
                </c:pt>
                <c:pt idx="100">
                  <c:v>7</c:v>
                </c:pt>
                <c:pt idx="101">
                  <c:v>12</c:v>
                </c:pt>
                <c:pt idx="102">
                  <c:v>9</c:v>
                </c:pt>
                <c:pt idx="103">
                  <c:v>10</c:v>
                </c:pt>
                <c:pt idx="104">
                  <c:v>11</c:v>
                </c:pt>
                <c:pt idx="105">
                  <c:v>13</c:v>
                </c:pt>
                <c:pt idx="106">
                  <c:v>11</c:v>
                </c:pt>
                <c:pt idx="107">
                  <c:v>9</c:v>
                </c:pt>
                <c:pt idx="108">
                  <c:v>11</c:v>
                </c:pt>
                <c:pt idx="109">
                  <c:v>12</c:v>
                </c:pt>
                <c:pt idx="110">
                  <c:v>14</c:v>
                </c:pt>
                <c:pt idx="111">
                  <c:v>11</c:v>
                </c:pt>
                <c:pt idx="112">
                  <c:v>9</c:v>
                </c:pt>
                <c:pt idx="113">
                  <c:v>8</c:v>
                </c:pt>
                <c:pt idx="114">
                  <c:v>12</c:v>
                </c:pt>
                <c:pt idx="115">
                  <c:v>13</c:v>
                </c:pt>
                <c:pt idx="116">
                  <c:v>10</c:v>
                </c:pt>
                <c:pt idx="117">
                  <c:v>11</c:v>
                </c:pt>
                <c:pt idx="118">
                  <c:v>8</c:v>
                </c:pt>
                <c:pt idx="119">
                  <c:v>14</c:v>
                </c:pt>
                <c:pt idx="120">
                  <c:v>10</c:v>
                </c:pt>
                <c:pt idx="121">
                  <c:v>10</c:v>
                </c:pt>
                <c:pt idx="122">
                  <c:v>8</c:v>
                </c:pt>
                <c:pt idx="123">
                  <c:v>9</c:v>
                </c:pt>
                <c:pt idx="124">
                  <c:v>11</c:v>
                </c:pt>
                <c:pt idx="125">
                  <c:v>9</c:v>
                </c:pt>
                <c:pt idx="126">
                  <c:v>12</c:v>
                </c:pt>
                <c:pt idx="127">
                  <c:v>12</c:v>
                </c:pt>
                <c:pt idx="128">
                  <c:v>7</c:v>
                </c:pt>
                <c:pt idx="129">
                  <c:v>10</c:v>
                </c:pt>
                <c:pt idx="130">
                  <c:v>9</c:v>
                </c:pt>
                <c:pt idx="131">
                  <c:v>14</c:v>
                </c:pt>
                <c:pt idx="132">
                  <c:v>11</c:v>
                </c:pt>
                <c:pt idx="133">
                  <c:v>11</c:v>
                </c:pt>
                <c:pt idx="134">
                  <c:v>11</c:v>
                </c:pt>
                <c:pt idx="135">
                  <c:v>9</c:v>
                </c:pt>
                <c:pt idx="136">
                  <c:v>10</c:v>
                </c:pt>
                <c:pt idx="137">
                  <c:v>8</c:v>
                </c:pt>
                <c:pt idx="138">
                  <c:v>12</c:v>
                </c:pt>
                <c:pt idx="139">
                  <c:v>11</c:v>
                </c:pt>
                <c:pt idx="140">
                  <c:v>10</c:v>
                </c:pt>
                <c:pt idx="141">
                  <c:v>8</c:v>
                </c:pt>
                <c:pt idx="142">
                  <c:v>7</c:v>
                </c:pt>
                <c:pt idx="143">
                  <c:v>9</c:v>
                </c:pt>
                <c:pt idx="144">
                  <c:v>9</c:v>
                </c:pt>
                <c:pt idx="145">
                  <c:v>11</c:v>
                </c:pt>
                <c:pt idx="146">
                  <c:v>9</c:v>
                </c:pt>
                <c:pt idx="147">
                  <c:v>8</c:v>
                </c:pt>
                <c:pt idx="148">
                  <c:v>8</c:v>
                </c:pt>
                <c:pt idx="149">
                  <c:v>7</c:v>
                </c:pt>
              </c:numCache>
            </c:numRef>
          </c:xVal>
          <c:yVal>
            <c:numRef>
              <c:f>X!$M$2:$M$151</c:f>
              <c:numCache>
                <c:formatCode>General</c:formatCode>
                <c:ptCount val="150"/>
                <c:pt idx="0">
                  <c:v>6.6018726205376197</c:v>
                </c:pt>
                <c:pt idx="1">
                  <c:v>6.0013574702704711</c:v>
                </c:pt>
                <c:pt idx="2">
                  <c:v>6.9645128289256331</c:v>
                </c:pt>
                <c:pt idx="3">
                  <c:v>7.0827108080388586</c:v>
                </c:pt>
                <c:pt idx="4">
                  <c:v>4.9504329778667451</c:v>
                </c:pt>
                <c:pt idx="5">
                  <c:v>6.2106878578872982</c:v>
                </c:pt>
                <c:pt idx="6">
                  <c:v>7.4916516255545549</c:v>
                </c:pt>
                <c:pt idx="7">
                  <c:v>6.7580102198719096</c:v>
                </c:pt>
                <c:pt idx="8">
                  <c:v>6.7385610502455959</c:v>
                </c:pt>
                <c:pt idx="9">
                  <c:v>6.8504183808630525</c:v>
                </c:pt>
                <c:pt idx="10">
                  <c:v>6.6761181790299418</c:v>
                </c:pt>
                <c:pt idx="11">
                  <c:v>6.808521625248046</c:v>
                </c:pt>
                <c:pt idx="12">
                  <c:v>6.7563061015938874</c:v>
                </c:pt>
                <c:pt idx="13">
                  <c:v>6.7265992322369392</c:v>
                </c:pt>
                <c:pt idx="14">
                  <c:v>6.9835099227083557</c:v>
                </c:pt>
                <c:pt idx="15">
                  <c:v>6.7141290865077776</c:v>
                </c:pt>
                <c:pt idx="16">
                  <c:v>7.1375484558526949</c:v>
                </c:pt>
                <c:pt idx="17">
                  <c:v>6.8040649649880924</c:v>
                </c:pt>
                <c:pt idx="18">
                  <c:v>7.2902441986525996</c:v>
                </c:pt>
                <c:pt idx="19">
                  <c:v>7.2037511670347705</c:v>
                </c:pt>
                <c:pt idx="20">
                  <c:v>6.7908881640795062</c:v>
                </c:pt>
                <c:pt idx="21">
                  <c:v>6.9412555219690759</c:v>
                </c:pt>
                <c:pt idx="22">
                  <c:v>7.26273284671041</c:v>
                </c:pt>
                <c:pt idx="23">
                  <c:v>6.9204747019857846</c:v>
                </c:pt>
                <c:pt idx="24">
                  <c:v>7.8123542766633944</c:v>
                </c:pt>
                <c:pt idx="25">
                  <c:v>7.2976827970756322</c:v>
                </c:pt>
                <c:pt idx="26">
                  <c:v>7.9507218406247953</c:v>
                </c:pt>
                <c:pt idx="27">
                  <c:v>7.2793222090981686</c:v>
                </c:pt>
                <c:pt idx="28">
                  <c:v>6.8610167101396771</c:v>
                </c:pt>
                <c:pt idx="29">
                  <c:v>7.221957050062108</c:v>
                </c:pt>
                <c:pt idx="30">
                  <c:v>6.7319451176648988</c:v>
                </c:pt>
                <c:pt idx="31">
                  <c:v>6.8970776194484849</c:v>
                </c:pt>
                <c:pt idx="32">
                  <c:v>7.3007352146536588</c:v>
                </c:pt>
                <c:pt idx="33">
                  <c:v>6.9207461740329306</c:v>
                </c:pt>
                <c:pt idx="34">
                  <c:v>6.8892380080901532</c:v>
                </c:pt>
                <c:pt idx="35">
                  <c:v>6.8320805588194409</c:v>
                </c:pt>
                <c:pt idx="36">
                  <c:v>6.754700722777625</c:v>
                </c:pt>
                <c:pt idx="37">
                  <c:v>7.0038363594891937</c:v>
                </c:pt>
                <c:pt idx="38">
                  <c:v>6.7953277117021065</c:v>
                </c:pt>
                <c:pt idx="39">
                  <c:v>7.2322782409519881</c:v>
                </c:pt>
                <c:pt idx="40">
                  <c:v>6.929270692367993</c:v>
                </c:pt>
                <c:pt idx="41">
                  <c:v>6.9175408105489966</c:v>
                </c:pt>
                <c:pt idx="42">
                  <c:v>7.3642522785884843</c:v>
                </c:pt>
                <c:pt idx="43">
                  <c:v>7.3390022182812924</c:v>
                </c:pt>
                <c:pt idx="44">
                  <c:v>7.6007946034441893</c:v>
                </c:pt>
                <c:pt idx="45">
                  <c:v>7.4453124761020701</c:v>
                </c:pt>
                <c:pt idx="46">
                  <c:v>5.6221500680955092</c:v>
                </c:pt>
                <c:pt idx="47">
                  <c:v>6.1671504285339678</c:v>
                </c:pt>
                <c:pt idx="48">
                  <c:v>7.6578655295097242</c:v>
                </c:pt>
                <c:pt idx="49">
                  <c:v>6.812073829564838</c:v>
                </c:pt>
                <c:pt idx="50">
                  <c:v>7.2760335373867981</c:v>
                </c:pt>
                <c:pt idx="51">
                  <c:v>6.964357122613559</c:v>
                </c:pt>
                <c:pt idx="52">
                  <c:v>7.4908815615286644</c:v>
                </c:pt>
                <c:pt idx="53">
                  <c:v>7.3614083567297239</c:v>
                </c:pt>
                <c:pt idx="54">
                  <c:v>7.326598942207716</c:v>
                </c:pt>
                <c:pt idx="55">
                  <c:v>7.3546520824712571</c:v>
                </c:pt>
                <c:pt idx="56">
                  <c:v>5.4992621633717995</c:v>
                </c:pt>
                <c:pt idx="57">
                  <c:v>7.689222431896936</c:v>
                </c:pt>
                <c:pt idx="58">
                  <c:v>6.832978345891231</c:v>
                </c:pt>
                <c:pt idx="59">
                  <c:v>7.7201998336194029</c:v>
                </c:pt>
                <c:pt idx="60">
                  <c:v>6.995456625167952</c:v>
                </c:pt>
                <c:pt idx="61">
                  <c:v>7.3363665315476849</c:v>
                </c:pt>
                <c:pt idx="62">
                  <c:v>7.3424380734190624</c:v>
                </c:pt>
                <c:pt idx="63">
                  <c:v>7.2750593521198779</c:v>
                </c:pt>
                <c:pt idx="64">
                  <c:v>6.8837964156858114</c:v>
                </c:pt>
                <c:pt idx="65">
                  <c:v>6.8510695368713836</c:v>
                </c:pt>
                <c:pt idx="66">
                  <c:v>6.4314462173703113</c:v>
                </c:pt>
                <c:pt idx="67">
                  <c:v>5.87034299770899</c:v>
                </c:pt>
                <c:pt idx="68">
                  <c:v>7.3721385068440854</c:v>
                </c:pt>
                <c:pt idx="69">
                  <c:v>7.1068511329481971</c:v>
                </c:pt>
                <c:pt idx="70">
                  <c:v>6.7340236148740367</c:v>
                </c:pt>
                <c:pt idx="71">
                  <c:v>7.2484026853723531</c:v>
                </c:pt>
                <c:pt idx="72">
                  <c:v>7.6610092679347224</c:v>
                </c:pt>
                <c:pt idx="73">
                  <c:v>7.5800874393370163</c:v>
                </c:pt>
                <c:pt idx="74">
                  <c:v>7.5439225663538991</c:v>
                </c:pt>
                <c:pt idx="75">
                  <c:v>7.6567080748960743</c:v>
                </c:pt>
                <c:pt idx="76">
                  <c:v>7.3636166191531665</c:v>
                </c:pt>
                <c:pt idx="77">
                  <c:v>6.8050138923227923</c:v>
                </c:pt>
                <c:pt idx="78">
                  <c:v>7.7151331472064344</c:v>
                </c:pt>
                <c:pt idx="79">
                  <c:v>7.7801097036766622</c:v>
                </c:pt>
                <c:pt idx="80">
                  <c:v>7.3460005968613151</c:v>
                </c:pt>
                <c:pt idx="81">
                  <c:v>7.5522430394926623</c:v>
                </c:pt>
                <c:pt idx="82">
                  <c:v>8.0911394184830421</c:v>
                </c:pt>
                <c:pt idx="83">
                  <c:v>7.6923511098439423</c:v>
                </c:pt>
                <c:pt idx="84">
                  <c:v>6.7511949931598361</c:v>
                </c:pt>
                <c:pt idx="85">
                  <c:v>8.0112837314739433</c:v>
                </c:pt>
                <c:pt idx="86">
                  <c:v>7.7769753796907501</c:v>
                </c:pt>
                <c:pt idx="87">
                  <c:v>7.9258800984553108</c:v>
                </c:pt>
                <c:pt idx="88">
                  <c:v>7.1463131919219549</c:v>
                </c:pt>
                <c:pt idx="89">
                  <c:v>7.6500068213819405</c:v>
                </c:pt>
                <c:pt idx="90">
                  <c:v>6.6919723080840443</c:v>
                </c:pt>
                <c:pt idx="91">
                  <c:v>7.241879518352885</c:v>
                </c:pt>
                <c:pt idx="92">
                  <c:v>7.0216486364624773</c:v>
                </c:pt>
                <c:pt idx="93">
                  <c:v>8.1536440553817311</c:v>
                </c:pt>
                <c:pt idx="94">
                  <c:v>7.7793202782585533</c:v>
                </c:pt>
                <c:pt idx="95">
                  <c:v>7.8382432534462962</c:v>
                </c:pt>
                <c:pt idx="96">
                  <c:v>8.0713819383783356</c:v>
                </c:pt>
                <c:pt idx="97">
                  <c:v>7.2663413526008886</c:v>
                </c:pt>
                <c:pt idx="98">
                  <c:v>7.1176502996320998</c:v>
                </c:pt>
                <c:pt idx="99">
                  <c:v>7.7108508188073399</c:v>
                </c:pt>
                <c:pt idx="100">
                  <c:v>7.9939458773857535</c:v>
                </c:pt>
                <c:pt idx="101">
                  <c:v>7.3119840170564281</c:v>
                </c:pt>
                <c:pt idx="102">
                  <c:v>7.728042895670586</c:v>
                </c:pt>
                <c:pt idx="103">
                  <c:v>6.6428829117493731</c:v>
                </c:pt>
                <c:pt idx="104">
                  <c:v>7.749616276198962</c:v>
                </c:pt>
                <c:pt idx="105">
                  <c:v>7.1299708516039866</c:v>
                </c:pt>
                <c:pt idx="106">
                  <c:v>7.7297295110852353</c:v>
                </c:pt>
                <c:pt idx="107">
                  <c:v>7.9107231067130188</c:v>
                </c:pt>
                <c:pt idx="108">
                  <c:v>7.3155844388740503</c:v>
                </c:pt>
                <c:pt idx="109">
                  <c:v>7.1140664903105453</c:v>
                </c:pt>
                <c:pt idx="110">
                  <c:v>7.1416085103506957</c:v>
                </c:pt>
                <c:pt idx="111">
                  <c:v>7.2971265023876306</c:v>
                </c:pt>
                <c:pt idx="112">
                  <c:v>7.9594258661467583</c:v>
                </c:pt>
                <c:pt idx="113">
                  <c:v>7.6146976683215497</c:v>
                </c:pt>
                <c:pt idx="114">
                  <c:v>7.7204673688923453</c:v>
                </c:pt>
                <c:pt idx="115">
                  <c:v>7.0553945100520288</c:v>
                </c:pt>
                <c:pt idx="116">
                  <c:v>6.9830352506499134</c:v>
                </c:pt>
                <c:pt idx="117">
                  <c:v>8.1796357891523996</c:v>
                </c:pt>
                <c:pt idx="118">
                  <c:v>7.9110095119494668</c:v>
                </c:pt>
                <c:pt idx="119">
                  <c:v>7.1806614167794161</c:v>
                </c:pt>
                <c:pt idx="120">
                  <c:v>8.0840324986635839</c:v>
                </c:pt>
                <c:pt idx="121">
                  <c:v>7.6683420863834906</c:v>
                </c:pt>
                <c:pt idx="122">
                  <c:v>7.6154090971948705</c:v>
                </c:pt>
                <c:pt idx="123">
                  <c:v>7.9780971730290897</c:v>
                </c:pt>
                <c:pt idx="124">
                  <c:v>7.2462613534173324</c:v>
                </c:pt>
                <c:pt idx="125">
                  <c:v>7.6846955783657158</c:v>
                </c:pt>
                <c:pt idx="126">
                  <c:v>7.1023723999401254</c:v>
                </c:pt>
                <c:pt idx="127">
                  <c:v>7.6917067189926369</c:v>
                </c:pt>
                <c:pt idx="128">
                  <c:v>8.0952341666432091</c:v>
                </c:pt>
                <c:pt idx="129">
                  <c:v>8.052806061938373</c:v>
                </c:pt>
                <c:pt idx="130">
                  <c:v>7.9671155654164636</c:v>
                </c:pt>
                <c:pt idx="131">
                  <c:v>7.047551191584712</c:v>
                </c:pt>
                <c:pt idx="132">
                  <c:v>8.1620074191791439</c:v>
                </c:pt>
                <c:pt idx="133">
                  <c:v>8.1632613327592853</c:v>
                </c:pt>
                <c:pt idx="134">
                  <c:v>7.6836806018897956</c:v>
                </c:pt>
                <c:pt idx="135">
                  <c:v>7.2480987574606717</c:v>
                </c:pt>
                <c:pt idx="136">
                  <c:v>7.006623056933476</c:v>
                </c:pt>
                <c:pt idx="137">
                  <c:v>7.9147045300636121</c:v>
                </c:pt>
                <c:pt idx="138">
                  <c:v>7.0575423572595115</c:v>
                </c:pt>
                <c:pt idx="139">
                  <c:v>7.2636681345825798</c:v>
                </c:pt>
                <c:pt idx="140">
                  <c:v>8.0006160990081803</c:v>
                </c:pt>
                <c:pt idx="141">
                  <c:v>7.9148152285473587</c:v>
                </c:pt>
                <c:pt idx="142">
                  <c:v>8.0379631583012028</c:v>
                </c:pt>
                <c:pt idx="143">
                  <c:v>8.0025537060954974</c:v>
                </c:pt>
                <c:pt idx="144">
                  <c:v>7.6243777102479386</c:v>
                </c:pt>
                <c:pt idx="145">
                  <c:v>8.1215957936815961</c:v>
                </c:pt>
                <c:pt idx="146">
                  <c:v>7.9576981049188449</c:v>
                </c:pt>
                <c:pt idx="147">
                  <c:v>7.5935084820080192</c:v>
                </c:pt>
                <c:pt idx="148">
                  <c:v>7.8506953577317944</c:v>
                </c:pt>
                <c:pt idx="149">
                  <c:v>7.7791010294434288</c:v>
                </c:pt>
              </c:numCache>
            </c:numRef>
          </c:yVal>
          <c:smooth val="0"/>
          <c:extLst>
            <c:ext xmlns:c16="http://schemas.microsoft.com/office/drawing/2014/chart" uri="{C3380CC4-5D6E-409C-BE32-E72D297353CC}">
              <c16:uniqueId val="{00000000-92F8-447B-AAF3-437E55164DCB}"/>
            </c:ext>
          </c:extLst>
        </c:ser>
        <c:dLbls>
          <c:showLegendKey val="0"/>
          <c:showVal val="0"/>
          <c:showCatName val="0"/>
          <c:showSerName val="0"/>
          <c:showPercent val="0"/>
          <c:showBubbleSize val="0"/>
        </c:dLbls>
        <c:axId val="1374401104"/>
        <c:axId val="1374408592"/>
      </c:scatterChart>
      <c:valAx>
        <c:axId val="1374401104"/>
        <c:scaling>
          <c:orientation val="minMax"/>
          <c:min val="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408592"/>
        <c:crosses val="autoZero"/>
        <c:crossBetween val="midCat"/>
      </c:valAx>
      <c:valAx>
        <c:axId val="1374408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4011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Level -&gt; time Collection CPU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avg!$T$1</c:f>
              <c:strCache>
                <c:ptCount val="1"/>
                <c:pt idx="0">
                  <c:v>cpu_collection_time</c:v>
                </c:pt>
              </c:strCache>
            </c:strRef>
          </c:tx>
          <c:spPr>
            <a:ln w="19050" cap="rnd">
              <a:noFill/>
              <a:round/>
            </a:ln>
            <a:effectLst/>
          </c:spPr>
          <c:marker>
            <c:symbol val="circle"/>
            <c:size val="5"/>
            <c:spPr>
              <a:solidFill>
                <a:schemeClr val="accent1"/>
              </a:solidFill>
              <a:ln w="9525">
                <a:solidFill>
                  <a:schemeClr val="accent1"/>
                </a:solidFill>
              </a:ln>
              <a:effectLst/>
            </c:spPr>
          </c:marker>
          <c:xVal>
            <c:numRef>
              <c:f>avg!$E$2:$E$151</c:f>
              <c:numCache>
                <c:formatCode>General</c:formatCode>
                <c:ptCount val="150"/>
                <c:pt idx="0">
                  <c:v>10</c:v>
                </c:pt>
                <c:pt idx="1">
                  <c:v>10</c:v>
                </c:pt>
                <c:pt idx="2">
                  <c:v>10</c:v>
                </c:pt>
                <c:pt idx="3">
                  <c:v>10</c:v>
                </c:pt>
                <c:pt idx="4">
                  <c:v>10</c:v>
                </c:pt>
                <c:pt idx="5">
                  <c:v>9</c:v>
                </c:pt>
                <c:pt idx="6">
                  <c:v>10</c:v>
                </c:pt>
                <c:pt idx="7">
                  <c:v>7</c:v>
                </c:pt>
                <c:pt idx="8">
                  <c:v>8</c:v>
                </c:pt>
                <c:pt idx="9">
                  <c:v>9</c:v>
                </c:pt>
                <c:pt idx="10">
                  <c:v>8</c:v>
                </c:pt>
                <c:pt idx="11">
                  <c:v>9</c:v>
                </c:pt>
                <c:pt idx="12">
                  <c:v>10</c:v>
                </c:pt>
                <c:pt idx="13">
                  <c:v>10</c:v>
                </c:pt>
                <c:pt idx="14">
                  <c:v>8</c:v>
                </c:pt>
                <c:pt idx="15">
                  <c:v>7</c:v>
                </c:pt>
                <c:pt idx="16">
                  <c:v>9</c:v>
                </c:pt>
                <c:pt idx="17">
                  <c:v>10</c:v>
                </c:pt>
                <c:pt idx="18">
                  <c:v>10</c:v>
                </c:pt>
                <c:pt idx="19">
                  <c:v>7</c:v>
                </c:pt>
                <c:pt idx="20">
                  <c:v>8</c:v>
                </c:pt>
                <c:pt idx="21">
                  <c:v>9</c:v>
                </c:pt>
                <c:pt idx="22">
                  <c:v>7</c:v>
                </c:pt>
                <c:pt idx="23">
                  <c:v>8</c:v>
                </c:pt>
                <c:pt idx="24">
                  <c:v>10</c:v>
                </c:pt>
                <c:pt idx="25">
                  <c:v>10</c:v>
                </c:pt>
                <c:pt idx="26">
                  <c:v>7</c:v>
                </c:pt>
                <c:pt idx="27">
                  <c:v>9</c:v>
                </c:pt>
                <c:pt idx="28">
                  <c:v>8</c:v>
                </c:pt>
                <c:pt idx="29">
                  <c:v>7</c:v>
                </c:pt>
                <c:pt idx="30">
                  <c:v>10</c:v>
                </c:pt>
                <c:pt idx="31">
                  <c:v>11</c:v>
                </c:pt>
                <c:pt idx="32">
                  <c:v>11</c:v>
                </c:pt>
                <c:pt idx="33">
                  <c:v>11</c:v>
                </c:pt>
                <c:pt idx="34">
                  <c:v>11</c:v>
                </c:pt>
                <c:pt idx="35">
                  <c:v>10</c:v>
                </c:pt>
                <c:pt idx="36">
                  <c:v>11</c:v>
                </c:pt>
                <c:pt idx="37">
                  <c:v>11</c:v>
                </c:pt>
                <c:pt idx="38">
                  <c:v>10</c:v>
                </c:pt>
                <c:pt idx="39">
                  <c:v>9</c:v>
                </c:pt>
                <c:pt idx="40">
                  <c:v>8</c:v>
                </c:pt>
                <c:pt idx="41">
                  <c:v>9</c:v>
                </c:pt>
                <c:pt idx="42">
                  <c:v>11</c:v>
                </c:pt>
                <c:pt idx="43">
                  <c:v>11</c:v>
                </c:pt>
                <c:pt idx="44">
                  <c:v>8</c:v>
                </c:pt>
                <c:pt idx="45">
                  <c:v>9</c:v>
                </c:pt>
                <c:pt idx="46">
                  <c:v>10</c:v>
                </c:pt>
                <c:pt idx="47">
                  <c:v>11</c:v>
                </c:pt>
                <c:pt idx="48">
                  <c:v>11</c:v>
                </c:pt>
                <c:pt idx="49">
                  <c:v>8</c:v>
                </c:pt>
                <c:pt idx="50">
                  <c:v>9</c:v>
                </c:pt>
                <c:pt idx="51">
                  <c:v>10</c:v>
                </c:pt>
                <c:pt idx="52">
                  <c:v>8</c:v>
                </c:pt>
                <c:pt idx="53">
                  <c:v>9</c:v>
                </c:pt>
                <c:pt idx="54">
                  <c:v>11</c:v>
                </c:pt>
                <c:pt idx="55">
                  <c:v>11</c:v>
                </c:pt>
                <c:pt idx="56">
                  <c:v>8</c:v>
                </c:pt>
                <c:pt idx="57">
                  <c:v>10</c:v>
                </c:pt>
                <c:pt idx="58">
                  <c:v>9</c:v>
                </c:pt>
                <c:pt idx="59">
                  <c:v>8</c:v>
                </c:pt>
                <c:pt idx="60">
                  <c:v>12</c:v>
                </c:pt>
                <c:pt idx="61">
                  <c:v>12</c:v>
                </c:pt>
                <c:pt idx="62">
                  <c:v>12</c:v>
                </c:pt>
                <c:pt idx="63">
                  <c:v>11</c:v>
                </c:pt>
                <c:pt idx="64">
                  <c:v>10</c:v>
                </c:pt>
                <c:pt idx="65">
                  <c:v>12</c:v>
                </c:pt>
                <c:pt idx="66">
                  <c:v>11</c:v>
                </c:pt>
                <c:pt idx="67">
                  <c:v>12</c:v>
                </c:pt>
                <c:pt idx="68">
                  <c:v>12</c:v>
                </c:pt>
                <c:pt idx="69">
                  <c:v>10</c:v>
                </c:pt>
                <c:pt idx="70">
                  <c:v>11</c:v>
                </c:pt>
                <c:pt idx="71">
                  <c:v>12</c:v>
                </c:pt>
                <c:pt idx="72">
                  <c:v>12</c:v>
                </c:pt>
                <c:pt idx="73">
                  <c:v>9</c:v>
                </c:pt>
                <c:pt idx="74">
                  <c:v>10</c:v>
                </c:pt>
                <c:pt idx="75">
                  <c:v>9</c:v>
                </c:pt>
                <c:pt idx="76">
                  <c:v>11</c:v>
                </c:pt>
                <c:pt idx="77">
                  <c:v>12</c:v>
                </c:pt>
                <c:pt idx="78">
                  <c:v>12</c:v>
                </c:pt>
                <c:pt idx="79">
                  <c:v>9</c:v>
                </c:pt>
                <c:pt idx="80">
                  <c:v>10</c:v>
                </c:pt>
                <c:pt idx="81">
                  <c:v>11</c:v>
                </c:pt>
                <c:pt idx="82">
                  <c:v>9</c:v>
                </c:pt>
                <c:pt idx="83">
                  <c:v>10</c:v>
                </c:pt>
                <c:pt idx="84">
                  <c:v>12</c:v>
                </c:pt>
                <c:pt idx="85">
                  <c:v>12</c:v>
                </c:pt>
                <c:pt idx="86">
                  <c:v>9</c:v>
                </c:pt>
                <c:pt idx="87">
                  <c:v>11</c:v>
                </c:pt>
                <c:pt idx="88">
                  <c:v>10</c:v>
                </c:pt>
                <c:pt idx="89">
                  <c:v>9</c:v>
                </c:pt>
                <c:pt idx="90">
                  <c:v>13</c:v>
                </c:pt>
                <c:pt idx="91">
                  <c:v>13</c:v>
                </c:pt>
                <c:pt idx="92">
                  <c:v>13</c:v>
                </c:pt>
                <c:pt idx="93">
                  <c:v>13</c:v>
                </c:pt>
                <c:pt idx="94">
                  <c:v>12</c:v>
                </c:pt>
                <c:pt idx="95">
                  <c:v>13</c:v>
                </c:pt>
                <c:pt idx="96">
                  <c:v>13</c:v>
                </c:pt>
                <c:pt idx="97">
                  <c:v>11</c:v>
                </c:pt>
                <c:pt idx="98">
                  <c:v>10</c:v>
                </c:pt>
                <c:pt idx="99">
                  <c:v>12</c:v>
                </c:pt>
                <c:pt idx="100">
                  <c:v>11</c:v>
                </c:pt>
                <c:pt idx="101">
                  <c:v>12</c:v>
                </c:pt>
                <c:pt idx="102">
                  <c:v>13</c:v>
                </c:pt>
                <c:pt idx="103">
                  <c:v>13</c:v>
                </c:pt>
                <c:pt idx="104">
                  <c:v>10</c:v>
                </c:pt>
                <c:pt idx="105">
                  <c:v>11</c:v>
                </c:pt>
                <c:pt idx="106">
                  <c:v>12</c:v>
                </c:pt>
                <c:pt idx="107">
                  <c:v>10</c:v>
                </c:pt>
                <c:pt idx="108">
                  <c:v>13</c:v>
                </c:pt>
                <c:pt idx="109">
                  <c:v>13</c:v>
                </c:pt>
                <c:pt idx="110">
                  <c:v>11</c:v>
                </c:pt>
                <c:pt idx="111">
                  <c:v>12</c:v>
                </c:pt>
                <c:pt idx="112">
                  <c:v>10</c:v>
                </c:pt>
                <c:pt idx="113">
                  <c:v>11</c:v>
                </c:pt>
                <c:pt idx="114">
                  <c:v>13</c:v>
                </c:pt>
                <c:pt idx="115">
                  <c:v>13</c:v>
                </c:pt>
                <c:pt idx="116">
                  <c:v>10</c:v>
                </c:pt>
                <c:pt idx="117">
                  <c:v>12</c:v>
                </c:pt>
                <c:pt idx="118">
                  <c:v>11</c:v>
                </c:pt>
                <c:pt idx="119">
                  <c:v>10</c:v>
                </c:pt>
                <c:pt idx="120">
                  <c:v>13</c:v>
                </c:pt>
                <c:pt idx="121">
                  <c:v>14</c:v>
                </c:pt>
                <c:pt idx="122">
                  <c:v>14</c:v>
                </c:pt>
                <c:pt idx="123">
                  <c:v>14</c:v>
                </c:pt>
                <c:pt idx="124">
                  <c:v>14</c:v>
                </c:pt>
                <c:pt idx="125">
                  <c:v>13</c:v>
                </c:pt>
                <c:pt idx="126">
                  <c:v>14</c:v>
                </c:pt>
                <c:pt idx="127">
                  <c:v>14</c:v>
                </c:pt>
                <c:pt idx="128">
                  <c:v>12</c:v>
                </c:pt>
                <c:pt idx="129">
                  <c:v>13</c:v>
                </c:pt>
                <c:pt idx="130">
                  <c:v>11</c:v>
                </c:pt>
                <c:pt idx="131">
                  <c:v>12</c:v>
                </c:pt>
                <c:pt idx="132">
                  <c:v>14</c:v>
                </c:pt>
                <c:pt idx="133">
                  <c:v>14</c:v>
                </c:pt>
                <c:pt idx="134">
                  <c:v>11</c:v>
                </c:pt>
                <c:pt idx="135">
                  <c:v>12</c:v>
                </c:pt>
                <c:pt idx="136">
                  <c:v>13</c:v>
                </c:pt>
                <c:pt idx="137">
                  <c:v>14</c:v>
                </c:pt>
                <c:pt idx="138">
                  <c:v>14</c:v>
                </c:pt>
                <c:pt idx="139">
                  <c:v>11</c:v>
                </c:pt>
                <c:pt idx="140">
                  <c:v>12</c:v>
                </c:pt>
                <c:pt idx="141">
                  <c:v>13</c:v>
                </c:pt>
                <c:pt idx="142">
                  <c:v>11</c:v>
                </c:pt>
                <c:pt idx="143">
                  <c:v>12</c:v>
                </c:pt>
                <c:pt idx="144">
                  <c:v>14</c:v>
                </c:pt>
                <c:pt idx="145">
                  <c:v>14</c:v>
                </c:pt>
                <c:pt idx="146">
                  <c:v>11</c:v>
                </c:pt>
                <c:pt idx="147">
                  <c:v>13</c:v>
                </c:pt>
                <c:pt idx="148">
                  <c:v>12</c:v>
                </c:pt>
                <c:pt idx="149">
                  <c:v>11</c:v>
                </c:pt>
              </c:numCache>
            </c:numRef>
          </c:xVal>
          <c:yVal>
            <c:numRef>
              <c:f>avg!$T$2:$T$151</c:f>
              <c:numCache>
                <c:formatCode>General</c:formatCode>
                <c:ptCount val="150"/>
                <c:pt idx="0">
                  <c:v>24111600</c:v>
                </c:pt>
                <c:pt idx="1">
                  <c:v>14415300</c:v>
                </c:pt>
                <c:pt idx="2">
                  <c:v>21572166.666666668</c:v>
                </c:pt>
                <c:pt idx="3">
                  <c:v>17134400</c:v>
                </c:pt>
                <c:pt idx="4">
                  <c:v>25752566.666666668</c:v>
                </c:pt>
                <c:pt idx="5">
                  <c:v>22946066.666666668</c:v>
                </c:pt>
                <c:pt idx="6">
                  <c:v>19275266.666666668</c:v>
                </c:pt>
                <c:pt idx="7">
                  <c:v>11403900</c:v>
                </c:pt>
                <c:pt idx="8">
                  <c:v>20062233.333333332</c:v>
                </c:pt>
                <c:pt idx="9">
                  <c:v>21735300</c:v>
                </c:pt>
                <c:pt idx="10">
                  <c:v>18052433.333333332</c:v>
                </c:pt>
                <c:pt idx="11">
                  <c:v>18435000</c:v>
                </c:pt>
                <c:pt idx="12">
                  <c:v>22596325</c:v>
                </c:pt>
                <c:pt idx="13">
                  <c:v>15124725</c:v>
                </c:pt>
                <c:pt idx="14">
                  <c:v>18683200</c:v>
                </c:pt>
                <c:pt idx="15">
                  <c:v>13353266.666666666</c:v>
                </c:pt>
                <c:pt idx="16">
                  <c:v>19538175</c:v>
                </c:pt>
                <c:pt idx="17">
                  <c:v>24937633.333333332</c:v>
                </c:pt>
                <c:pt idx="18">
                  <c:v>21114500</c:v>
                </c:pt>
                <c:pt idx="19">
                  <c:v>11838266.666666666</c:v>
                </c:pt>
                <c:pt idx="20">
                  <c:v>18734725</c:v>
                </c:pt>
                <c:pt idx="21">
                  <c:v>16764166.666666666</c:v>
                </c:pt>
                <c:pt idx="22">
                  <c:v>18728850</c:v>
                </c:pt>
                <c:pt idx="23">
                  <c:v>12706033.333333334</c:v>
                </c:pt>
                <c:pt idx="24">
                  <c:v>24437233.333333332</c:v>
                </c:pt>
                <c:pt idx="25">
                  <c:v>131028766.66666667</c:v>
                </c:pt>
                <c:pt idx="26">
                  <c:v>15092000</c:v>
                </c:pt>
                <c:pt idx="27">
                  <c:v>18055333.333333332</c:v>
                </c:pt>
                <c:pt idx="28">
                  <c:v>17340700</c:v>
                </c:pt>
                <c:pt idx="29">
                  <c:v>13858900</c:v>
                </c:pt>
                <c:pt idx="30">
                  <c:v>42395833.333333336</c:v>
                </c:pt>
                <c:pt idx="31">
                  <c:v>40988566.666666664</c:v>
                </c:pt>
                <c:pt idx="32">
                  <c:v>39581933.333333336</c:v>
                </c:pt>
                <c:pt idx="33">
                  <c:v>43779033.333333336</c:v>
                </c:pt>
                <c:pt idx="34">
                  <c:v>36481366.666666664</c:v>
                </c:pt>
                <c:pt idx="35">
                  <c:v>38969433.333333336</c:v>
                </c:pt>
                <c:pt idx="36">
                  <c:v>41178333.333333336</c:v>
                </c:pt>
                <c:pt idx="37">
                  <c:v>40315333.333333336</c:v>
                </c:pt>
                <c:pt idx="38">
                  <c:v>38817500</c:v>
                </c:pt>
                <c:pt idx="39">
                  <c:v>33694000</c:v>
                </c:pt>
                <c:pt idx="40">
                  <c:v>31608333.333333332</c:v>
                </c:pt>
                <c:pt idx="41">
                  <c:v>34994733.333333336</c:v>
                </c:pt>
                <c:pt idx="42">
                  <c:v>40942600</c:v>
                </c:pt>
                <c:pt idx="43">
                  <c:v>41653300</c:v>
                </c:pt>
                <c:pt idx="44">
                  <c:v>29979400</c:v>
                </c:pt>
                <c:pt idx="45">
                  <c:v>35229933.333333336</c:v>
                </c:pt>
                <c:pt idx="46">
                  <c:v>39305025</c:v>
                </c:pt>
                <c:pt idx="47">
                  <c:v>37492466.666666664</c:v>
                </c:pt>
                <c:pt idx="48">
                  <c:v>40113700</c:v>
                </c:pt>
                <c:pt idx="49">
                  <c:v>32881466.666666668</c:v>
                </c:pt>
                <c:pt idx="50">
                  <c:v>33907200</c:v>
                </c:pt>
                <c:pt idx="51">
                  <c:v>55262733.333333336</c:v>
                </c:pt>
                <c:pt idx="52">
                  <c:v>30618750</c:v>
                </c:pt>
                <c:pt idx="53">
                  <c:v>34286133.333333336</c:v>
                </c:pt>
                <c:pt idx="54">
                  <c:v>38443433.333333336</c:v>
                </c:pt>
                <c:pt idx="55">
                  <c:v>41571800</c:v>
                </c:pt>
                <c:pt idx="56">
                  <c:v>30422000</c:v>
                </c:pt>
                <c:pt idx="57">
                  <c:v>38924866.666666664</c:v>
                </c:pt>
                <c:pt idx="58">
                  <c:v>33760300</c:v>
                </c:pt>
                <c:pt idx="59">
                  <c:v>34226866.666666664</c:v>
                </c:pt>
                <c:pt idx="60">
                  <c:v>89790066.666666672</c:v>
                </c:pt>
                <c:pt idx="61">
                  <c:v>83802166.666666672</c:v>
                </c:pt>
                <c:pt idx="62">
                  <c:v>80336033.333333328</c:v>
                </c:pt>
                <c:pt idx="63">
                  <c:v>84569366.666666672</c:v>
                </c:pt>
                <c:pt idx="64">
                  <c:v>73191666.666666672</c:v>
                </c:pt>
                <c:pt idx="65">
                  <c:v>91221600</c:v>
                </c:pt>
                <c:pt idx="66">
                  <c:v>82987900</c:v>
                </c:pt>
                <c:pt idx="67">
                  <c:v>85767033.333333328</c:v>
                </c:pt>
                <c:pt idx="68">
                  <c:v>86991866.666666672</c:v>
                </c:pt>
                <c:pt idx="69">
                  <c:v>79937466.666666672</c:v>
                </c:pt>
                <c:pt idx="70">
                  <c:v>84352366.666666672</c:v>
                </c:pt>
                <c:pt idx="71">
                  <c:v>80163300</c:v>
                </c:pt>
                <c:pt idx="72">
                  <c:v>86985125</c:v>
                </c:pt>
                <c:pt idx="73">
                  <c:v>69821833.333333328</c:v>
                </c:pt>
                <c:pt idx="74">
                  <c:v>73587900</c:v>
                </c:pt>
                <c:pt idx="75">
                  <c:v>65826966.666666664</c:v>
                </c:pt>
                <c:pt idx="76">
                  <c:v>84987300</c:v>
                </c:pt>
                <c:pt idx="77">
                  <c:v>78295866.666666672</c:v>
                </c:pt>
                <c:pt idx="78">
                  <c:v>88631233.333333328</c:v>
                </c:pt>
                <c:pt idx="79">
                  <c:v>68803900</c:v>
                </c:pt>
                <c:pt idx="80">
                  <c:v>75299775</c:v>
                </c:pt>
                <c:pt idx="81">
                  <c:v>78087966.666666672</c:v>
                </c:pt>
                <c:pt idx="82">
                  <c:v>66368325</c:v>
                </c:pt>
                <c:pt idx="83">
                  <c:v>76156266.666666672</c:v>
                </c:pt>
                <c:pt idx="84">
                  <c:v>123472033.33333333</c:v>
                </c:pt>
                <c:pt idx="85">
                  <c:v>423800066.66666669</c:v>
                </c:pt>
                <c:pt idx="86">
                  <c:v>64338333.333333336</c:v>
                </c:pt>
                <c:pt idx="87">
                  <c:v>79617300</c:v>
                </c:pt>
                <c:pt idx="88">
                  <c:v>73369033.333333328</c:v>
                </c:pt>
                <c:pt idx="89">
                  <c:v>69267833.333333328</c:v>
                </c:pt>
                <c:pt idx="90">
                  <c:v>192903066.66666666</c:v>
                </c:pt>
                <c:pt idx="91">
                  <c:v>249360700</c:v>
                </c:pt>
                <c:pt idx="92">
                  <c:v>198124066.66666666</c:v>
                </c:pt>
                <c:pt idx="93">
                  <c:v>539721400</c:v>
                </c:pt>
                <c:pt idx="94">
                  <c:v>185821233.33333334</c:v>
                </c:pt>
                <c:pt idx="95">
                  <c:v>491938100</c:v>
                </c:pt>
                <c:pt idx="96">
                  <c:v>258142933.33333334</c:v>
                </c:pt>
                <c:pt idx="97">
                  <c:v>179544500</c:v>
                </c:pt>
                <c:pt idx="98">
                  <c:v>164047533.33333334</c:v>
                </c:pt>
                <c:pt idx="99">
                  <c:v>192357733.33333334</c:v>
                </c:pt>
                <c:pt idx="100">
                  <c:v>183671433.33333334</c:v>
                </c:pt>
                <c:pt idx="101">
                  <c:v>532483100</c:v>
                </c:pt>
                <c:pt idx="102">
                  <c:v>233910625</c:v>
                </c:pt>
                <c:pt idx="103">
                  <c:v>327707450</c:v>
                </c:pt>
                <c:pt idx="104">
                  <c:v>166559666.66666666</c:v>
                </c:pt>
                <c:pt idx="105">
                  <c:v>178975600</c:v>
                </c:pt>
                <c:pt idx="106">
                  <c:v>317286900</c:v>
                </c:pt>
                <c:pt idx="107">
                  <c:v>166882533.33333334</c:v>
                </c:pt>
                <c:pt idx="108">
                  <c:v>194954800</c:v>
                </c:pt>
                <c:pt idx="109">
                  <c:v>211990533.33333334</c:v>
                </c:pt>
                <c:pt idx="110">
                  <c:v>181471450</c:v>
                </c:pt>
                <c:pt idx="111">
                  <c:v>299631166.66666669</c:v>
                </c:pt>
                <c:pt idx="112">
                  <c:v>168894050</c:v>
                </c:pt>
                <c:pt idx="113">
                  <c:v>187503800</c:v>
                </c:pt>
                <c:pt idx="114">
                  <c:v>289012700</c:v>
                </c:pt>
                <c:pt idx="115">
                  <c:v>509718166.66666669</c:v>
                </c:pt>
                <c:pt idx="116">
                  <c:v>173204166.66666666</c:v>
                </c:pt>
                <c:pt idx="117">
                  <c:v>349072400</c:v>
                </c:pt>
                <c:pt idx="118">
                  <c:v>177285933.33333334</c:v>
                </c:pt>
                <c:pt idx="119">
                  <c:v>164918766.66666666</c:v>
                </c:pt>
                <c:pt idx="120">
                  <c:v>837145766.66666663</c:v>
                </c:pt>
                <c:pt idx="121">
                  <c:v>777834000</c:v>
                </c:pt>
                <c:pt idx="122">
                  <c:v>874584300</c:v>
                </c:pt>
                <c:pt idx="123">
                  <c:v>578551633.33333337</c:v>
                </c:pt>
                <c:pt idx="124">
                  <c:v>855652700</c:v>
                </c:pt>
                <c:pt idx="125">
                  <c:v>840764633.33333337</c:v>
                </c:pt>
                <c:pt idx="126">
                  <c:v>488799933.33333331</c:v>
                </c:pt>
                <c:pt idx="127">
                  <c:v>854668600</c:v>
                </c:pt>
                <c:pt idx="128">
                  <c:v>803398833.33333337</c:v>
                </c:pt>
                <c:pt idx="129">
                  <c:v>838252433.33333337</c:v>
                </c:pt>
                <c:pt idx="130">
                  <c:v>726302000</c:v>
                </c:pt>
                <c:pt idx="131">
                  <c:v>701738933.33333337</c:v>
                </c:pt>
                <c:pt idx="132">
                  <c:v>579327600</c:v>
                </c:pt>
                <c:pt idx="133">
                  <c:v>583788950</c:v>
                </c:pt>
                <c:pt idx="134">
                  <c:v>754335366.66666663</c:v>
                </c:pt>
                <c:pt idx="135">
                  <c:v>705154966.66666663</c:v>
                </c:pt>
                <c:pt idx="136">
                  <c:v>842475350</c:v>
                </c:pt>
                <c:pt idx="137">
                  <c:v>812791633.33333337</c:v>
                </c:pt>
                <c:pt idx="138">
                  <c:v>886280966.66666663</c:v>
                </c:pt>
                <c:pt idx="139">
                  <c:v>778683933.33333337</c:v>
                </c:pt>
                <c:pt idx="140">
                  <c:v>717294700</c:v>
                </c:pt>
                <c:pt idx="141">
                  <c:v>830448066.66666663</c:v>
                </c:pt>
                <c:pt idx="142">
                  <c:v>744984800</c:v>
                </c:pt>
                <c:pt idx="143">
                  <c:v>468779766.66666669</c:v>
                </c:pt>
                <c:pt idx="144">
                  <c:v>478623933.33333331</c:v>
                </c:pt>
                <c:pt idx="145">
                  <c:v>711989533.33333337</c:v>
                </c:pt>
                <c:pt idx="146">
                  <c:v>720272366.66666663</c:v>
                </c:pt>
                <c:pt idx="147">
                  <c:v>531076233.33333331</c:v>
                </c:pt>
                <c:pt idx="148">
                  <c:v>672972533.33333337</c:v>
                </c:pt>
                <c:pt idx="149">
                  <c:v>764478733.33333337</c:v>
                </c:pt>
              </c:numCache>
            </c:numRef>
          </c:yVal>
          <c:smooth val="0"/>
          <c:extLst>
            <c:ext xmlns:c16="http://schemas.microsoft.com/office/drawing/2014/chart" uri="{C3380CC4-5D6E-409C-BE32-E72D297353CC}">
              <c16:uniqueId val="{00000000-8A2F-4624-86E1-AAA7B51CFCDB}"/>
            </c:ext>
          </c:extLst>
        </c:ser>
        <c:dLbls>
          <c:showLegendKey val="0"/>
          <c:showVal val="0"/>
          <c:showCatName val="0"/>
          <c:showSerName val="0"/>
          <c:showPercent val="0"/>
          <c:showBubbleSize val="0"/>
        </c:dLbls>
        <c:axId val="1396717280"/>
        <c:axId val="1396723936"/>
      </c:scatterChart>
      <c:valAx>
        <c:axId val="1396717280"/>
        <c:scaling>
          <c:orientation val="minMax"/>
          <c:min val="6"/>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723936"/>
        <c:crosses val="autoZero"/>
        <c:crossBetween val="midCat"/>
      </c:valAx>
      <c:valAx>
        <c:axId val="1396723936"/>
        <c:scaling>
          <c:logBase val="10"/>
          <c:orientation val="minMax"/>
          <c:min val="100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7172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Level -&gt; Update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avg!$W$1</c:f>
              <c:strCache>
                <c:ptCount val="1"/>
                <c:pt idx="0">
                  <c:v>cpu_Update_time</c:v>
                </c:pt>
              </c:strCache>
            </c:strRef>
          </c:tx>
          <c:spPr>
            <a:ln w="19050" cap="rnd">
              <a:noFill/>
              <a:round/>
            </a:ln>
            <a:effectLst/>
          </c:spPr>
          <c:marker>
            <c:symbol val="circle"/>
            <c:size val="5"/>
            <c:spPr>
              <a:solidFill>
                <a:schemeClr val="accent1"/>
              </a:solidFill>
              <a:ln w="9525">
                <a:solidFill>
                  <a:schemeClr val="accent1"/>
                </a:solidFill>
              </a:ln>
              <a:effectLst/>
            </c:spPr>
          </c:marker>
          <c:xVal>
            <c:numRef>
              <c:f>avg!$E$2:$E$151</c:f>
              <c:numCache>
                <c:formatCode>General</c:formatCode>
                <c:ptCount val="150"/>
                <c:pt idx="0">
                  <c:v>10</c:v>
                </c:pt>
                <c:pt idx="1">
                  <c:v>10</c:v>
                </c:pt>
                <c:pt idx="2">
                  <c:v>10</c:v>
                </c:pt>
                <c:pt idx="3">
                  <c:v>10</c:v>
                </c:pt>
                <c:pt idx="4">
                  <c:v>10</c:v>
                </c:pt>
                <c:pt idx="5">
                  <c:v>9</c:v>
                </c:pt>
                <c:pt idx="6">
                  <c:v>10</c:v>
                </c:pt>
                <c:pt idx="7">
                  <c:v>7</c:v>
                </c:pt>
                <c:pt idx="8">
                  <c:v>8</c:v>
                </c:pt>
                <c:pt idx="9">
                  <c:v>9</c:v>
                </c:pt>
                <c:pt idx="10">
                  <c:v>8</c:v>
                </c:pt>
                <c:pt idx="11">
                  <c:v>9</c:v>
                </c:pt>
                <c:pt idx="12">
                  <c:v>10</c:v>
                </c:pt>
                <c:pt idx="13">
                  <c:v>10</c:v>
                </c:pt>
                <c:pt idx="14">
                  <c:v>8</c:v>
                </c:pt>
                <c:pt idx="15">
                  <c:v>7</c:v>
                </c:pt>
                <c:pt idx="16">
                  <c:v>9</c:v>
                </c:pt>
                <c:pt idx="17">
                  <c:v>10</c:v>
                </c:pt>
                <c:pt idx="18">
                  <c:v>10</c:v>
                </c:pt>
                <c:pt idx="19">
                  <c:v>7</c:v>
                </c:pt>
                <c:pt idx="20">
                  <c:v>8</c:v>
                </c:pt>
                <c:pt idx="21">
                  <c:v>9</c:v>
                </c:pt>
                <c:pt idx="22">
                  <c:v>7</c:v>
                </c:pt>
                <c:pt idx="23">
                  <c:v>8</c:v>
                </c:pt>
                <c:pt idx="24">
                  <c:v>10</c:v>
                </c:pt>
                <c:pt idx="25">
                  <c:v>10</c:v>
                </c:pt>
                <c:pt idx="26">
                  <c:v>7</c:v>
                </c:pt>
                <c:pt idx="27">
                  <c:v>9</c:v>
                </c:pt>
                <c:pt idx="28">
                  <c:v>8</c:v>
                </c:pt>
                <c:pt idx="29">
                  <c:v>7</c:v>
                </c:pt>
                <c:pt idx="30">
                  <c:v>10</c:v>
                </c:pt>
                <c:pt idx="31">
                  <c:v>11</c:v>
                </c:pt>
                <c:pt idx="32">
                  <c:v>11</c:v>
                </c:pt>
                <c:pt idx="33">
                  <c:v>11</c:v>
                </c:pt>
                <c:pt idx="34">
                  <c:v>11</c:v>
                </c:pt>
                <c:pt idx="35">
                  <c:v>10</c:v>
                </c:pt>
                <c:pt idx="36">
                  <c:v>11</c:v>
                </c:pt>
                <c:pt idx="37">
                  <c:v>11</c:v>
                </c:pt>
                <c:pt idx="38">
                  <c:v>10</c:v>
                </c:pt>
                <c:pt idx="39">
                  <c:v>9</c:v>
                </c:pt>
                <c:pt idx="40">
                  <c:v>8</c:v>
                </c:pt>
                <c:pt idx="41">
                  <c:v>9</c:v>
                </c:pt>
                <c:pt idx="42">
                  <c:v>11</c:v>
                </c:pt>
                <c:pt idx="43">
                  <c:v>11</c:v>
                </c:pt>
                <c:pt idx="44">
                  <c:v>8</c:v>
                </c:pt>
                <c:pt idx="45">
                  <c:v>9</c:v>
                </c:pt>
                <c:pt idx="46">
                  <c:v>10</c:v>
                </c:pt>
                <c:pt idx="47">
                  <c:v>11</c:v>
                </c:pt>
                <c:pt idx="48">
                  <c:v>11</c:v>
                </c:pt>
                <c:pt idx="49">
                  <c:v>8</c:v>
                </c:pt>
                <c:pt idx="50">
                  <c:v>9</c:v>
                </c:pt>
                <c:pt idx="51">
                  <c:v>10</c:v>
                </c:pt>
                <c:pt idx="52">
                  <c:v>8</c:v>
                </c:pt>
                <c:pt idx="53">
                  <c:v>9</c:v>
                </c:pt>
                <c:pt idx="54">
                  <c:v>11</c:v>
                </c:pt>
                <c:pt idx="55">
                  <c:v>11</c:v>
                </c:pt>
                <c:pt idx="56">
                  <c:v>8</c:v>
                </c:pt>
                <c:pt idx="57">
                  <c:v>10</c:v>
                </c:pt>
                <c:pt idx="58">
                  <c:v>9</c:v>
                </c:pt>
                <c:pt idx="59">
                  <c:v>8</c:v>
                </c:pt>
                <c:pt idx="60">
                  <c:v>12</c:v>
                </c:pt>
                <c:pt idx="61">
                  <c:v>12</c:v>
                </c:pt>
                <c:pt idx="62">
                  <c:v>12</c:v>
                </c:pt>
                <c:pt idx="63">
                  <c:v>11</c:v>
                </c:pt>
                <c:pt idx="64">
                  <c:v>10</c:v>
                </c:pt>
                <c:pt idx="65">
                  <c:v>12</c:v>
                </c:pt>
                <c:pt idx="66">
                  <c:v>11</c:v>
                </c:pt>
                <c:pt idx="67">
                  <c:v>12</c:v>
                </c:pt>
                <c:pt idx="68">
                  <c:v>12</c:v>
                </c:pt>
                <c:pt idx="69">
                  <c:v>10</c:v>
                </c:pt>
                <c:pt idx="70">
                  <c:v>11</c:v>
                </c:pt>
                <c:pt idx="71">
                  <c:v>12</c:v>
                </c:pt>
                <c:pt idx="72">
                  <c:v>12</c:v>
                </c:pt>
                <c:pt idx="73">
                  <c:v>9</c:v>
                </c:pt>
                <c:pt idx="74">
                  <c:v>10</c:v>
                </c:pt>
                <c:pt idx="75">
                  <c:v>9</c:v>
                </c:pt>
                <c:pt idx="76">
                  <c:v>11</c:v>
                </c:pt>
                <c:pt idx="77">
                  <c:v>12</c:v>
                </c:pt>
                <c:pt idx="78">
                  <c:v>12</c:v>
                </c:pt>
                <c:pt idx="79">
                  <c:v>9</c:v>
                </c:pt>
                <c:pt idx="80">
                  <c:v>10</c:v>
                </c:pt>
                <c:pt idx="81">
                  <c:v>11</c:v>
                </c:pt>
                <c:pt idx="82">
                  <c:v>9</c:v>
                </c:pt>
                <c:pt idx="83">
                  <c:v>10</c:v>
                </c:pt>
                <c:pt idx="84">
                  <c:v>12</c:v>
                </c:pt>
                <c:pt idx="85">
                  <c:v>12</c:v>
                </c:pt>
                <c:pt idx="86">
                  <c:v>9</c:v>
                </c:pt>
                <c:pt idx="87">
                  <c:v>11</c:v>
                </c:pt>
                <c:pt idx="88">
                  <c:v>10</c:v>
                </c:pt>
                <c:pt idx="89">
                  <c:v>9</c:v>
                </c:pt>
                <c:pt idx="90">
                  <c:v>13</c:v>
                </c:pt>
                <c:pt idx="91">
                  <c:v>13</c:v>
                </c:pt>
                <c:pt idx="92">
                  <c:v>13</c:v>
                </c:pt>
                <c:pt idx="93">
                  <c:v>13</c:v>
                </c:pt>
                <c:pt idx="94">
                  <c:v>12</c:v>
                </c:pt>
                <c:pt idx="95">
                  <c:v>13</c:v>
                </c:pt>
                <c:pt idx="96">
                  <c:v>13</c:v>
                </c:pt>
                <c:pt idx="97">
                  <c:v>11</c:v>
                </c:pt>
                <c:pt idx="98">
                  <c:v>10</c:v>
                </c:pt>
                <c:pt idx="99">
                  <c:v>12</c:v>
                </c:pt>
                <c:pt idx="100">
                  <c:v>11</c:v>
                </c:pt>
                <c:pt idx="101">
                  <c:v>12</c:v>
                </c:pt>
                <c:pt idx="102">
                  <c:v>13</c:v>
                </c:pt>
                <c:pt idx="103">
                  <c:v>13</c:v>
                </c:pt>
                <c:pt idx="104">
                  <c:v>10</c:v>
                </c:pt>
                <c:pt idx="105">
                  <c:v>11</c:v>
                </c:pt>
                <c:pt idx="106">
                  <c:v>12</c:v>
                </c:pt>
                <c:pt idx="107">
                  <c:v>10</c:v>
                </c:pt>
                <c:pt idx="108">
                  <c:v>13</c:v>
                </c:pt>
                <c:pt idx="109">
                  <c:v>13</c:v>
                </c:pt>
                <c:pt idx="110">
                  <c:v>11</c:v>
                </c:pt>
                <c:pt idx="111">
                  <c:v>12</c:v>
                </c:pt>
                <c:pt idx="112">
                  <c:v>10</c:v>
                </c:pt>
                <c:pt idx="113">
                  <c:v>11</c:v>
                </c:pt>
                <c:pt idx="114">
                  <c:v>13</c:v>
                </c:pt>
                <c:pt idx="115">
                  <c:v>13</c:v>
                </c:pt>
                <c:pt idx="116">
                  <c:v>10</c:v>
                </c:pt>
                <c:pt idx="117">
                  <c:v>12</c:v>
                </c:pt>
                <c:pt idx="118">
                  <c:v>11</c:v>
                </c:pt>
                <c:pt idx="119">
                  <c:v>10</c:v>
                </c:pt>
                <c:pt idx="120">
                  <c:v>13</c:v>
                </c:pt>
                <c:pt idx="121">
                  <c:v>14</c:v>
                </c:pt>
                <c:pt idx="122">
                  <c:v>14</c:v>
                </c:pt>
                <c:pt idx="123">
                  <c:v>14</c:v>
                </c:pt>
                <c:pt idx="124">
                  <c:v>14</c:v>
                </c:pt>
                <c:pt idx="125">
                  <c:v>13</c:v>
                </c:pt>
                <c:pt idx="126">
                  <c:v>14</c:v>
                </c:pt>
                <c:pt idx="127">
                  <c:v>14</c:v>
                </c:pt>
                <c:pt idx="128">
                  <c:v>12</c:v>
                </c:pt>
                <c:pt idx="129">
                  <c:v>13</c:v>
                </c:pt>
                <c:pt idx="130">
                  <c:v>11</c:v>
                </c:pt>
                <c:pt idx="131">
                  <c:v>12</c:v>
                </c:pt>
                <c:pt idx="132">
                  <c:v>14</c:v>
                </c:pt>
                <c:pt idx="133">
                  <c:v>14</c:v>
                </c:pt>
                <c:pt idx="134">
                  <c:v>11</c:v>
                </c:pt>
                <c:pt idx="135">
                  <c:v>12</c:v>
                </c:pt>
                <c:pt idx="136">
                  <c:v>13</c:v>
                </c:pt>
                <c:pt idx="137">
                  <c:v>14</c:v>
                </c:pt>
                <c:pt idx="138">
                  <c:v>14</c:v>
                </c:pt>
                <c:pt idx="139">
                  <c:v>11</c:v>
                </c:pt>
                <c:pt idx="140">
                  <c:v>12</c:v>
                </c:pt>
                <c:pt idx="141">
                  <c:v>13</c:v>
                </c:pt>
                <c:pt idx="142">
                  <c:v>11</c:v>
                </c:pt>
                <c:pt idx="143">
                  <c:v>12</c:v>
                </c:pt>
                <c:pt idx="144">
                  <c:v>14</c:v>
                </c:pt>
                <c:pt idx="145">
                  <c:v>14</c:v>
                </c:pt>
                <c:pt idx="146">
                  <c:v>11</c:v>
                </c:pt>
                <c:pt idx="147">
                  <c:v>13</c:v>
                </c:pt>
                <c:pt idx="148">
                  <c:v>12</c:v>
                </c:pt>
                <c:pt idx="149">
                  <c:v>11</c:v>
                </c:pt>
              </c:numCache>
            </c:numRef>
          </c:xVal>
          <c:yVal>
            <c:numRef>
              <c:f>avg!$W$2:$W$151</c:f>
              <c:numCache>
                <c:formatCode>General</c:formatCode>
                <c:ptCount val="150"/>
                <c:pt idx="0">
                  <c:v>151833.33333333334</c:v>
                </c:pt>
                <c:pt idx="1">
                  <c:v>153333.33333333334</c:v>
                </c:pt>
                <c:pt idx="2">
                  <c:v>162000</c:v>
                </c:pt>
                <c:pt idx="3">
                  <c:v>143700</c:v>
                </c:pt>
                <c:pt idx="4">
                  <c:v>144233.33333333334</c:v>
                </c:pt>
                <c:pt idx="5">
                  <c:v>145000</c:v>
                </c:pt>
                <c:pt idx="6">
                  <c:v>148700</c:v>
                </c:pt>
                <c:pt idx="7">
                  <c:v>190233.33333333334</c:v>
                </c:pt>
                <c:pt idx="8">
                  <c:v>190500</c:v>
                </c:pt>
                <c:pt idx="9">
                  <c:v>165133.33333333334</c:v>
                </c:pt>
                <c:pt idx="10">
                  <c:v>151800</c:v>
                </c:pt>
                <c:pt idx="11">
                  <c:v>161700</c:v>
                </c:pt>
                <c:pt idx="12">
                  <c:v>144625</c:v>
                </c:pt>
                <c:pt idx="13">
                  <c:v>143575</c:v>
                </c:pt>
                <c:pt idx="14">
                  <c:v>155566.66666666666</c:v>
                </c:pt>
                <c:pt idx="15">
                  <c:v>156166.66666666666</c:v>
                </c:pt>
                <c:pt idx="16">
                  <c:v>165725</c:v>
                </c:pt>
                <c:pt idx="17">
                  <c:v>142866.66666666666</c:v>
                </c:pt>
                <c:pt idx="18">
                  <c:v>153400</c:v>
                </c:pt>
                <c:pt idx="19">
                  <c:v>195300</c:v>
                </c:pt>
                <c:pt idx="20">
                  <c:v>158250</c:v>
                </c:pt>
                <c:pt idx="21">
                  <c:v>156633.33333333334</c:v>
                </c:pt>
                <c:pt idx="22">
                  <c:v>160675</c:v>
                </c:pt>
                <c:pt idx="23">
                  <c:v>162633.33333333334</c:v>
                </c:pt>
                <c:pt idx="24">
                  <c:v>148466.66666666666</c:v>
                </c:pt>
                <c:pt idx="25">
                  <c:v>145266.66666666666</c:v>
                </c:pt>
                <c:pt idx="26">
                  <c:v>186133.33333333334</c:v>
                </c:pt>
                <c:pt idx="27">
                  <c:v>161300</c:v>
                </c:pt>
                <c:pt idx="28">
                  <c:v>156700</c:v>
                </c:pt>
                <c:pt idx="29">
                  <c:v>169533.33333333334</c:v>
                </c:pt>
                <c:pt idx="30">
                  <c:v>393133.33333333331</c:v>
                </c:pt>
                <c:pt idx="31">
                  <c:v>357266.66666666669</c:v>
                </c:pt>
                <c:pt idx="32">
                  <c:v>376066.66666666669</c:v>
                </c:pt>
                <c:pt idx="33">
                  <c:v>393600</c:v>
                </c:pt>
                <c:pt idx="34">
                  <c:v>364900</c:v>
                </c:pt>
                <c:pt idx="35">
                  <c:v>355366.66666666669</c:v>
                </c:pt>
                <c:pt idx="36">
                  <c:v>405266.66666666669</c:v>
                </c:pt>
                <c:pt idx="37">
                  <c:v>447900</c:v>
                </c:pt>
                <c:pt idx="38">
                  <c:v>365866.66666666669</c:v>
                </c:pt>
                <c:pt idx="39">
                  <c:v>369866.66666666669</c:v>
                </c:pt>
                <c:pt idx="40">
                  <c:v>384866.66666666669</c:v>
                </c:pt>
                <c:pt idx="41">
                  <c:v>425466.66666666669</c:v>
                </c:pt>
                <c:pt idx="42">
                  <c:v>402350</c:v>
                </c:pt>
                <c:pt idx="43">
                  <c:v>358200</c:v>
                </c:pt>
                <c:pt idx="44">
                  <c:v>393866.66666666669</c:v>
                </c:pt>
                <c:pt idx="45">
                  <c:v>390433.33333333331</c:v>
                </c:pt>
                <c:pt idx="46">
                  <c:v>395475</c:v>
                </c:pt>
                <c:pt idx="47">
                  <c:v>384666.66666666669</c:v>
                </c:pt>
                <c:pt idx="48">
                  <c:v>365533.33333333331</c:v>
                </c:pt>
                <c:pt idx="49">
                  <c:v>503800</c:v>
                </c:pt>
                <c:pt idx="50">
                  <c:v>432175</c:v>
                </c:pt>
                <c:pt idx="51">
                  <c:v>385500</c:v>
                </c:pt>
                <c:pt idx="52">
                  <c:v>419025</c:v>
                </c:pt>
                <c:pt idx="53">
                  <c:v>419300</c:v>
                </c:pt>
                <c:pt idx="54">
                  <c:v>388400</c:v>
                </c:pt>
                <c:pt idx="55">
                  <c:v>383366.66666666669</c:v>
                </c:pt>
                <c:pt idx="56">
                  <c:v>422833.33333333331</c:v>
                </c:pt>
                <c:pt idx="57">
                  <c:v>370966.66666666669</c:v>
                </c:pt>
                <c:pt idx="58">
                  <c:v>388733.33333333331</c:v>
                </c:pt>
                <c:pt idx="59">
                  <c:v>399666.66666666669</c:v>
                </c:pt>
                <c:pt idx="60">
                  <c:v>849866.66666666663</c:v>
                </c:pt>
                <c:pt idx="61">
                  <c:v>853733.33333333337</c:v>
                </c:pt>
                <c:pt idx="62">
                  <c:v>838933.33333333337</c:v>
                </c:pt>
                <c:pt idx="63">
                  <c:v>859766.66666666663</c:v>
                </c:pt>
                <c:pt idx="64">
                  <c:v>881633.33333333337</c:v>
                </c:pt>
                <c:pt idx="65">
                  <c:v>862533.33333333337</c:v>
                </c:pt>
                <c:pt idx="66">
                  <c:v>893900</c:v>
                </c:pt>
                <c:pt idx="67">
                  <c:v>846966.66666666663</c:v>
                </c:pt>
                <c:pt idx="68">
                  <c:v>863566.66666666663</c:v>
                </c:pt>
                <c:pt idx="69">
                  <c:v>898900</c:v>
                </c:pt>
                <c:pt idx="70">
                  <c:v>875533.33333333337</c:v>
                </c:pt>
                <c:pt idx="71">
                  <c:v>840950</c:v>
                </c:pt>
                <c:pt idx="72">
                  <c:v>851325</c:v>
                </c:pt>
                <c:pt idx="73">
                  <c:v>942733.33333333337</c:v>
                </c:pt>
                <c:pt idx="74">
                  <c:v>900433.33333333337</c:v>
                </c:pt>
                <c:pt idx="75">
                  <c:v>918600</c:v>
                </c:pt>
                <c:pt idx="76">
                  <c:v>872550</c:v>
                </c:pt>
                <c:pt idx="77">
                  <c:v>1057600</c:v>
                </c:pt>
                <c:pt idx="78">
                  <c:v>862833.33333333337</c:v>
                </c:pt>
                <c:pt idx="79">
                  <c:v>883900</c:v>
                </c:pt>
                <c:pt idx="80">
                  <c:v>889125</c:v>
                </c:pt>
                <c:pt idx="81">
                  <c:v>862833.33333333337</c:v>
                </c:pt>
                <c:pt idx="82">
                  <c:v>904325</c:v>
                </c:pt>
                <c:pt idx="83">
                  <c:v>914400</c:v>
                </c:pt>
                <c:pt idx="84">
                  <c:v>847800</c:v>
                </c:pt>
                <c:pt idx="85">
                  <c:v>874933.33333333337</c:v>
                </c:pt>
                <c:pt idx="86">
                  <c:v>910100</c:v>
                </c:pt>
                <c:pt idx="87">
                  <c:v>895566.66666666663</c:v>
                </c:pt>
                <c:pt idx="88">
                  <c:v>873966.66666666663</c:v>
                </c:pt>
                <c:pt idx="89">
                  <c:v>903266.66666666663</c:v>
                </c:pt>
                <c:pt idx="90">
                  <c:v>1851100</c:v>
                </c:pt>
                <c:pt idx="91">
                  <c:v>1839433.3333333333</c:v>
                </c:pt>
                <c:pt idx="92">
                  <c:v>1850666.6666666667</c:v>
                </c:pt>
                <c:pt idx="93">
                  <c:v>1903100</c:v>
                </c:pt>
                <c:pt idx="94">
                  <c:v>1863833.3333333333</c:v>
                </c:pt>
                <c:pt idx="95">
                  <c:v>1821300</c:v>
                </c:pt>
                <c:pt idx="96">
                  <c:v>1827333.3333333333</c:v>
                </c:pt>
                <c:pt idx="97">
                  <c:v>1892866.6666666667</c:v>
                </c:pt>
                <c:pt idx="98">
                  <c:v>1885466.6666666667</c:v>
                </c:pt>
                <c:pt idx="99">
                  <c:v>1840766.6666666667</c:v>
                </c:pt>
                <c:pt idx="100">
                  <c:v>1893200</c:v>
                </c:pt>
                <c:pt idx="101">
                  <c:v>1872500</c:v>
                </c:pt>
                <c:pt idx="102">
                  <c:v>1918050</c:v>
                </c:pt>
                <c:pt idx="103">
                  <c:v>1831700</c:v>
                </c:pt>
                <c:pt idx="104">
                  <c:v>1892966.6666666667</c:v>
                </c:pt>
                <c:pt idx="105">
                  <c:v>1849833.3333333333</c:v>
                </c:pt>
                <c:pt idx="106">
                  <c:v>1827300</c:v>
                </c:pt>
                <c:pt idx="107">
                  <c:v>1884900</c:v>
                </c:pt>
                <c:pt idx="108">
                  <c:v>1835533.3333333333</c:v>
                </c:pt>
                <c:pt idx="109">
                  <c:v>1835866.6666666667</c:v>
                </c:pt>
                <c:pt idx="110">
                  <c:v>1869375</c:v>
                </c:pt>
                <c:pt idx="111">
                  <c:v>1886300</c:v>
                </c:pt>
                <c:pt idx="112">
                  <c:v>1844850</c:v>
                </c:pt>
                <c:pt idx="113">
                  <c:v>2262266.6666666665</c:v>
                </c:pt>
                <c:pt idx="114">
                  <c:v>1851600</c:v>
                </c:pt>
                <c:pt idx="115">
                  <c:v>1977933.3333333333</c:v>
                </c:pt>
                <c:pt idx="116">
                  <c:v>1941800</c:v>
                </c:pt>
                <c:pt idx="117">
                  <c:v>1916866.6666666667</c:v>
                </c:pt>
                <c:pt idx="118">
                  <c:v>1834566.6666666667</c:v>
                </c:pt>
                <c:pt idx="119">
                  <c:v>1954066.6666666667</c:v>
                </c:pt>
                <c:pt idx="120">
                  <c:v>3761133.3333333335</c:v>
                </c:pt>
                <c:pt idx="121">
                  <c:v>3911266.6666666665</c:v>
                </c:pt>
                <c:pt idx="122">
                  <c:v>3795966.6666666665</c:v>
                </c:pt>
                <c:pt idx="123">
                  <c:v>3837033.3333333335</c:v>
                </c:pt>
                <c:pt idx="124">
                  <c:v>3742433.3333333335</c:v>
                </c:pt>
                <c:pt idx="125">
                  <c:v>3786500</c:v>
                </c:pt>
                <c:pt idx="126">
                  <c:v>3748866.6666666665</c:v>
                </c:pt>
                <c:pt idx="127">
                  <c:v>3814133.3333333335</c:v>
                </c:pt>
                <c:pt idx="128">
                  <c:v>3975400</c:v>
                </c:pt>
                <c:pt idx="129">
                  <c:v>3787066.6666666665</c:v>
                </c:pt>
                <c:pt idx="130">
                  <c:v>3762833.3333333335</c:v>
                </c:pt>
                <c:pt idx="131">
                  <c:v>3788100</c:v>
                </c:pt>
                <c:pt idx="132">
                  <c:v>3889675</c:v>
                </c:pt>
                <c:pt idx="133">
                  <c:v>3751025</c:v>
                </c:pt>
                <c:pt idx="134">
                  <c:v>3806766.6666666665</c:v>
                </c:pt>
                <c:pt idx="135">
                  <c:v>3829100</c:v>
                </c:pt>
                <c:pt idx="136">
                  <c:v>3829450</c:v>
                </c:pt>
                <c:pt idx="137">
                  <c:v>3860966.6666666665</c:v>
                </c:pt>
                <c:pt idx="138">
                  <c:v>3782600</c:v>
                </c:pt>
                <c:pt idx="139">
                  <c:v>4387933.333333333</c:v>
                </c:pt>
                <c:pt idx="140">
                  <c:v>3842750</c:v>
                </c:pt>
                <c:pt idx="141">
                  <c:v>3969366.6666666665</c:v>
                </c:pt>
                <c:pt idx="142">
                  <c:v>3881750</c:v>
                </c:pt>
                <c:pt idx="143">
                  <c:v>3844900</c:v>
                </c:pt>
                <c:pt idx="144">
                  <c:v>3886133.3333333335</c:v>
                </c:pt>
                <c:pt idx="145">
                  <c:v>3853100</c:v>
                </c:pt>
                <c:pt idx="146">
                  <c:v>3858433.3333333335</c:v>
                </c:pt>
                <c:pt idx="147">
                  <c:v>3780700</c:v>
                </c:pt>
                <c:pt idx="148">
                  <c:v>3945466.6666666665</c:v>
                </c:pt>
                <c:pt idx="149">
                  <c:v>3848600</c:v>
                </c:pt>
              </c:numCache>
            </c:numRef>
          </c:yVal>
          <c:smooth val="0"/>
          <c:extLst>
            <c:ext xmlns:c16="http://schemas.microsoft.com/office/drawing/2014/chart" uri="{C3380CC4-5D6E-409C-BE32-E72D297353CC}">
              <c16:uniqueId val="{00000000-9358-466B-862B-984CE89CA56D}"/>
            </c:ext>
          </c:extLst>
        </c:ser>
        <c:dLbls>
          <c:showLegendKey val="0"/>
          <c:showVal val="0"/>
          <c:showCatName val="0"/>
          <c:showSerName val="0"/>
          <c:showPercent val="0"/>
          <c:showBubbleSize val="0"/>
        </c:dLbls>
        <c:axId val="1199501728"/>
        <c:axId val="1199495904"/>
      </c:scatterChart>
      <c:valAx>
        <c:axId val="1199501728"/>
        <c:scaling>
          <c:orientation val="minMax"/>
          <c:min val="6"/>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495904"/>
        <c:crosses val="autoZero"/>
        <c:crossBetween val="midCat"/>
      </c:valAx>
      <c:valAx>
        <c:axId val="1199495904"/>
        <c:scaling>
          <c:logBase val="10"/>
          <c:orientation val="minMax"/>
          <c:min val="1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5017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Level -&gt; M2L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avg!$U$1</c:f>
              <c:strCache>
                <c:ptCount val="1"/>
                <c:pt idx="0">
                  <c:v>cpu_M2L_time</c:v>
                </c:pt>
              </c:strCache>
            </c:strRef>
          </c:tx>
          <c:spPr>
            <a:ln w="19050" cap="rnd">
              <a:noFill/>
              <a:round/>
            </a:ln>
            <a:effectLst/>
          </c:spPr>
          <c:marker>
            <c:symbol val="circle"/>
            <c:size val="5"/>
            <c:spPr>
              <a:solidFill>
                <a:schemeClr val="accent1"/>
              </a:solidFill>
              <a:ln w="9525">
                <a:solidFill>
                  <a:schemeClr val="accent1"/>
                </a:solidFill>
              </a:ln>
              <a:effectLst/>
            </c:spPr>
          </c:marker>
          <c:xVal>
            <c:numRef>
              <c:f>avg!$E$2:$E$151</c:f>
              <c:numCache>
                <c:formatCode>General</c:formatCode>
                <c:ptCount val="150"/>
                <c:pt idx="0">
                  <c:v>10</c:v>
                </c:pt>
                <c:pt idx="1">
                  <c:v>10</c:v>
                </c:pt>
                <c:pt idx="2">
                  <c:v>10</c:v>
                </c:pt>
                <c:pt idx="3">
                  <c:v>10</c:v>
                </c:pt>
                <c:pt idx="4">
                  <c:v>10</c:v>
                </c:pt>
                <c:pt idx="5">
                  <c:v>9</c:v>
                </c:pt>
                <c:pt idx="6">
                  <c:v>10</c:v>
                </c:pt>
                <c:pt idx="7">
                  <c:v>7</c:v>
                </c:pt>
                <c:pt idx="8">
                  <c:v>8</c:v>
                </c:pt>
                <c:pt idx="9">
                  <c:v>9</c:v>
                </c:pt>
                <c:pt idx="10">
                  <c:v>8</c:v>
                </c:pt>
                <c:pt idx="11">
                  <c:v>9</c:v>
                </c:pt>
                <c:pt idx="12">
                  <c:v>10</c:v>
                </c:pt>
                <c:pt idx="13">
                  <c:v>10</c:v>
                </c:pt>
                <c:pt idx="14">
                  <c:v>8</c:v>
                </c:pt>
                <c:pt idx="15">
                  <c:v>7</c:v>
                </c:pt>
                <c:pt idx="16">
                  <c:v>9</c:v>
                </c:pt>
                <c:pt idx="17">
                  <c:v>10</c:v>
                </c:pt>
                <c:pt idx="18">
                  <c:v>10</c:v>
                </c:pt>
                <c:pt idx="19">
                  <c:v>7</c:v>
                </c:pt>
                <c:pt idx="20">
                  <c:v>8</c:v>
                </c:pt>
                <c:pt idx="21">
                  <c:v>9</c:v>
                </c:pt>
                <c:pt idx="22">
                  <c:v>7</c:v>
                </c:pt>
                <c:pt idx="23">
                  <c:v>8</c:v>
                </c:pt>
                <c:pt idx="24">
                  <c:v>10</c:v>
                </c:pt>
                <c:pt idx="25">
                  <c:v>10</c:v>
                </c:pt>
                <c:pt idx="26">
                  <c:v>7</c:v>
                </c:pt>
                <c:pt idx="27">
                  <c:v>9</c:v>
                </c:pt>
                <c:pt idx="28">
                  <c:v>8</c:v>
                </c:pt>
                <c:pt idx="29">
                  <c:v>7</c:v>
                </c:pt>
                <c:pt idx="30">
                  <c:v>10</c:v>
                </c:pt>
                <c:pt idx="31">
                  <c:v>11</c:v>
                </c:pt>
                <c:pt idx="32">
                  <c:v>11</c:v>
                </c:pt>
                <c:pt idx="33">
                  <c:v>11</c:v>
                </c:pt>
                <c:pt idx="34">
                  <c:v>11</c:v>
                </c:pt>
                <c:pt idx="35">
                  <c:v>10</c:v>
                </c:pt>
                <c:pt idx="36">
                  <c:v>11</c:v>
                </c:pt>
                <c:pt idx="37">
                  <c:v>11</c:v>
                </c:pt>
                <c:pt idx="38">
                  <c:v>10</c:v>
                </c:pt>
                <c:pt idx="39">
                  <c:v>9</c:v>
                </c:pt>
                <c:pt idx="40">
                  <c:v>8</c:v>
                </c:pt>
                <c:pt idx="41">
                  <c:v>9</c:v>
                </c:pt>
                <c:pt idx="42">
                  <c:v>11</c:v>
                </c:pt>
                <c:pt idx="43">
                  <c:v>11</c:v>
                </c:pt>
                <c:pt idx="44">
                  <c:v>8</c:v>
                </c:pt>
                <c:pt idx="45">
                  <c:v>9</c:v>
                </c:pt>
                <c:pt idx="46">
                  <c:v>10</c:v>
                </c:pt>
                <c:pt idx="47">
                  <c:v>11</c:v>
                </c:pt>
                <c:pt idx="48">
                  <c:v>11</c:v>
                </c:pt>
                <c:pt idx="49">
                  <c:v>8</c:v>
                </c:pt>
                <c:pt idx="50">
                  <c:v>9</c:v>
                </c:pt>
                <c:pt idx="51">
                  <c:v>10</c:v>
                </c:pt>
                <c:pt idx="52">
                  <c:v>8</c:v>
                </c:pt>
                <c:pt idx="53">
                  <c:v>9</c:v>
                </c:pt>
                <c:pt idx="54">
                  <c:v>11</c:v>
                </c:pt>
                <c:pt idx="55">
                  <c:v>11</c:v>
                </c:pt>
                <c:pt idx="56">
                  <c:v>8</c:v>
                </c:pt>
                <c:pt idx="57">
                  <c:v>10</c:v>
                </c:pt>
                <c:pt idx="58">
                  <c:v>9</c:v>
                </c:pt>
                <c:pt idx="59">
                  <c:v>8</c:v>
                </c:pt>
                <c:pt idx="60">
                  <c:v>12</c:v>
                </c:pt>
                <c:pt idx="61">
                  <c:v>12</c:v>
                </c:pt>
                <c:pt idx="62">
                  <c:v>12</c:v>
                </c:pt>
                <c:pt idx="63">
                  <c:v>11</c:v>
                </c:pt>
                <c:pt idx="64">
                  <c:v>10</c:v>
                </c:pt>
                <c:pt idx="65">
                  <c:v>12</c:v>
                </c:pt>
                <c:pt idx="66">
                  <c:v>11</c:v>
                </c:pt>
                <c:pt idx="67">
                  <c:v>12</c:v>
                </c:pt>
                <c:pt idx="68">
                  <c:v>12</c:v>
                </c:pt>
                <c:pt idx="69">
                  <c:v>10</c:v>
                </c:pt>
                <c:pt idx="70">
                  <c:v>11</c:v>
                </c:pt>
                <c:pt idx="71">
                  <c:v>12</c:v>
                </c:pt>
                <c:pt idx="72">
                  <c:v>12</c:v>
                </c:pt>
                <c:pt idx="73">
                  <c:v>9</c:v>
                </c:pt>
                <c:pt idx="74">
                  <c:v>10</c:v>
                </c:pt>
                <c:pt idx="75">
                  <c:v>9</c:v>
                </c:pt>
                <c:pt idx="76">
                  <c:v>11</c:v>
                </c:pt>
                <c:pt idx="77">
                  <c:v>12</c:v>
                </c:pt>
                <c:pt idx="78">
                  <c:v>12</c:v>
                </c:pt>
                <c:pt idx="79">
                  <c:v>9</c:v>
                </c:pt>
                <c:pt idx="80">
                  <c:v>10</c:v>
                </c:pt>
                <c:pt idx="81">
                  <c:v>11</c:v>
                </c:pt>
                <c:pt idx="82">
                  <c:v>9</c:v>
                </c:pt>
                <c:pt idx="83">
                  <c:v>10</c:v>
                </c:pt>
                <c:pt idx="84">
                  <c:v>12</c:v>
                </c:pt>
                <c:pt idx="85">
                  <c:v>12</c:v>
                </c:pt>
                <c:pt idx="86">
                  <c:v>9</c:v>
                </c:pt>
                <c:pt idx="87">
                  <c:v>11</c:v>
                </c:pt>
                <c:pt idx="88">
                  <c:v>10</c:v>
                </c:pt>
                <c:pt idx="89">
                  <c:v>9</c:v>
                </c:pt>
                <c:pt idx="90">
                  <c:v>13</c:v>
                </c:pt>
                <c:pt idx="91">
                  <c:v>13</c:v>
                </c:pt>
                <c:pt idx="92">
                  <c:v>13</c:v>
                </c:pt>
                <c:pt idx="93">
                  <c:v>13</c:v>
                </c:pt>
                <c:pt idx="94">
                  <c:v>12</c:v>
                </c:pt>
                <c:pt idx="95">
                  <c:v>13</c:v>
                </c:pt>
                <c:pt idx="96">
                  <c:v>13</c:v>
                </c:pt>
                <c:pt idx="97">
                  <c:v>11</c:v>
                </c:pt>
                <c:pt idx="98">
                  <c:v>10</c:v>
                </c:pt>
                <c:pt idx="99">
                  <c:v>12</c:v>
                </c:pt>
                <c:pt idx="100">
                  <c:v>11</c:v>
                </c:pt>
                <c:pt idx="101">
                  <c:v>12</c:v>
                </c:pt>
                <c:pt idx="102">
                  <c:v>13</c:v>
                </c:pt>
                <c:pt idx="103">
                  <c:v>13</c:v>
                </c:pt>
                <c:pt idx="104">
                  <c:v>10</c:v>
                </c:pt>
                <c:pt idx="105">
                  <c:v>11</c:v>
                </c:pt>
                <c:pt idx="106">
                  <c:v>12</c:v>
                </c:pt>
                <c:pt idx="107">
                  <c:v>10</c:v>
                </c:pt>
                <c:pt idx="108">
                  <c:v>13</c:v>
                </c:pt>
                <c:pt idx="109">
                  <c:v>13</c:v>
                </c:pt>
                <c:pt idx="110">
                  <c:v>11</c:v>
                </c:pt>
                <c:pt idx="111">
                  <c:v>12</c:v>
                </c:pt>
                <c:pt idx="112">
                  <c:v>10</c:v>
                </c:pt>
                <c:pt idx="113">
                  <c:v>11</c:v>
                </c:pt>
                <c:pt idx="114">
                  <c:v>13</c:v>
                </c:pt>
                <c:pt idx="115">
                  <c:v>13</c:v>
                </c:pt>
                <c:pt idx="116">
                  <c:v>10</c:v>
                </c:pt>
                <c:pt idx="117">
                  <c:v>12</c:v>
                </c:pt>
                <c:pt idx="118">
                  <c:v>11</c:v>
                </c:pt>
                <c:pt idx="119">
                  <c:v>10</c:v>
                </c:pt>
                <c:pt idx="120">
                  <c:v>13</c:v>
                </c:pt>
                <c:pt idx="121">
                  <c:v>14</c:v>
                </c:pt>
                <c:pt idx="122">
                  <c:v>14</c:v>
                </c:pt>
                <c:pt idx="123">
                  <c:v>14</c:v>
                </c:pt>
                <c:pt idx="124">
                  <c:v>14</c:v>
                </c:pt>
                <c:pt idx="125">
                  <c:v>13</c:v>
                </c:pt>
                <c:pt idx="126">
                  <c:v>14</c:v>
                </c:pt>
                <c:pt idx="127">
                  <c:v>14</c:v>
                </c:pt>
                <c:pt idx="128">
                  <c:v>12</c:v>
                </c:pt>
                <c:pt idx="129">
                  <c:v>13</c:v>
                </c:pt>
                <c:pt idx="130">
                  <c:v>11</c:v>
                </c:pt>
                <c:pt idx="131">
                  <c:v>12</c:v>
                </c:pt>
                <c:pt idx="132">
                  <c:v>14</c:v>
                </c:pt>
                <c:pt idx="133">
                  <c:v>14</c:v>
                </c:pt>
                <c:pt idx="134">
                  <c:v>11</c:v>
                </c:pt>
                <c:pt idx="135">
                  <c:v>12</c:v>
                </c:pt>
                <c:pt idx="136">
                  <c:v>13</c:v>
                </c:pt>
                <c:pt idx="137">
                  <c:v>14</c:v>
                </c:pt>
                <c:pt idx="138">
                  <c:v>14</c:v>
                </c:pt>
                <c:pt idx="139">
                  <c:v>11</c:v>
                </c:pt>
                <c:pt idx="140">
                  <c:v>12</c:v>
                </c:pt>
                <c:pt idx="141">
                  <c:v>13</c:v>
                </c:pt>
                <c:pt idx="142">
                  <c:v>11</c:v>
                </c:pt>
                <c:pt idx="143">
                  <c:v>12</c:v>
                </c:pt>
                <c:pt idx="144">
                  <c:v>14</c:v>
                </c:pt>
                <c:pt idx="145">
                  <c:v>14</c:v>
                </c:pt>
                <c:pt idx="146">
                  <c:v>11</c:v>
                </c:pt>
                <c:pt idx="147">
                  <c:v>13</c:v>
                </c:pt>
                <c:pt idx="148">
                  <c:v>12</c:v>
                </c:pt>
                <c:pt idx="149">
                  <c:v>11</c:v>
                </c:pt>
              </c:numCache>
            </c:numRef>
          </c:xVal>
          <c:yVal>
            <c:numRef>
              <c:f>avg!$U$2:$U$151</c:f>
              <c:numCache>
                <c:formatCode>General</c:formatCode>
                <c:ptCount val="150"/>
                <c:pt idx="0">
                  <c:v>740865866.66666663</c:v>
                </c:pt>
                <c:pt idx="1">
                  <c:v>206740066.66666666</c:v>
                </c:pt>
                <c:pt idx="2">
                  <c:v>1201428500</c:v>
                </c:pt>
                <c:pt idx="3">
                  <c:v>332308266.66666669</c:v>
                </c:pt>
                <c:pt idx="4">
                  <c:v>2029296600</c:v>
                </c:pt>
                <c:pt idx="5">
                  <c:v>550488166.66666663</c:v>
                </c:pt>
                <c:pt idx="6">
                  <c:v>553976466.66666663</c:v>
                </c:pt>
                <c:pt idx="7">
                  <c:v>1521014100</c:v>
                </c:pt>
                <c:pt idx="8">
                  <c:v>669008100</c:v>
                </c:pt>
                <c:pt idx="9">
                  <c:v>1489700700</c:v>
                </c:pt>
                <c:pt idx="10">
                  <c:v>1771625466.6666667</c:v>
                </c:pt>
                <c:pt idx="11">
                  <c:v>2232373400</c:v>
                </c:pt>
                <c:pt idx="12">
                  <c:v>4350505000</c:v>
                </c:pt>
                <c:pt idx="13">
                  <c:v>1176931900</c:v>
                </c:pt>
                <c:pt idx="14">
                  <c:v>2526287500</c:v>
                </c:pt>
                <c:pt idx="15">
                  <c:v>2276276266.6666665</c:v>
                </c:pt>
                <c:pt idx="16">
                  <c:v>5166336900</c:v>
                </c:pt>
                <c:pt idx="17">
                  <c:v>2734121300</c:v>
                </c:pt>
                <c:pt idx="18">
                  <c:v>10327518200</c:v>
                </c:pt>
                <c:pt idx="19">
                  <c:v>3155311666.6666665</c:v>
                </c:pt>
                <c:pt idx="20">
                  <c:v>4705732400</c:v>
                </c:pt>
                <c:pt idx="21">
                  <c:v>8946639600</c:v>
                </c:pt>
                <c:pt idx="22">
                  <c:v>4823283700</c:v>
                </c:pt>
                <c:pt idx="23">
                  <c:v>8670943966.666666</c:v>
                </c:pt>
                <c:pt idx="24">
                  <c:v>6829211266.666667</c:v>
                </c:pt>
                <c:pt idx="25">
                  <c:v>25151748933.333332</c:v>
                </c:pt>
                <c:pt idx="26">
                  <c:v>7187252900</c:v>
                </c:pt>
                <c:pt idx="27">
                  <c:v>13659145800</c:v>
                </c:pt>
                <c:pt idx="28">
                  <c:v>3957610600</c:v>
                </c:pt>
                <c:pt idx="29">
                  <c:v>744533666.66666663</c:v>
                </c:pt>
                <c:pt idx="30">
                  <c:v>2161283200</c:v>
                </c:pt>
                <c:pt idx="31">
                  <c:v>736092433.33333337</c:v>
                </c:pt>
                <c:pt idx="32">
                  <c:v>198146500</c:v>
                </c:pt>
                <c:pt idx="33">
                  <c:v>2109855100</c:v>
                </c:pt>
                <c:pt idx="34">
                  <c:v>570702333.33333337</c:v>
                </c:pt>
                <c:pt idx="35">
                  <c:v>3419541066.6666665</c:v>
                </c:pt>
                <c:pt idx="36">
                  <c:v>3535021766.6666665</c:v>
                </c:pt>
                <c:pt idx="37">
                  <c:v>957828766.66666663</c:v>
                </c:pt>
                <c:pt idx="38">
                  <c:v>5927491333.333333</c:v>
                </c:pt>
                <c:pt idx="39">
                  <c:v>1152187866.6666667</c:v>
                </c:pt>
                <c:pt idx="40">
                  <c:v>1472484566.6666667</c:v>
                </c:pt>
                <c:pt idx="41">
                  <c:v>3341576333.3333335</c:v>
                </c:pt>
                <c:pt idx="42">
                  <c:v>2397195875</c:v>
                </c:pt>
                <c:pt idx="43">
                  <c:v>8535276675</c:v>
                </c:pt>
                <c:pt idx="44">
                  <c:v>4110714300</c:v>
                </c:pt>
                <c:pt idx="45">
                  <c:v>5438969533.333333</c:v>
                </c:pt>
                <c:pt idx="46">
                  <c:v>12690125175</c:v>
                </c:pt>
                <c:pt idx="47">
                  <c:v>5599651900</c:v>
                </c:pt>
                <c:pt idx="48">
                  <c:v>20203018200</c:v>
                </c:pt>
                <c:pt idx="49">
                  <c:v>5496137966.666667</c:v>
                </c:pt>
                <c:pt idx="50">
                  <c:v>12725520350</c:v>
                </c:pt>
                <c:pt idx="51">
                  <c:v>29397943866.666668</c:v>
                </c:pt>
                <c:pt idx="52">
                  <c:v>10038004625</c:v>
                </c:pt>
                <c:pt idx="53">
                  <c:v>21828530600</c:v>
                </c:pt>
                <c:pt idx="54">
                  <c:v>14579237933.333334</c:v>
                </c:pt>
                <c:pt idx="55">
                  <c:v>51854986100</c:v>
                </c:pt>
                <c:pt idx="56">
                  <c:v>19122945566.666668</c:v>
                </c:pt>
                <c:pt idx="57">
                  <c:v>71923053800</c:v>
                </c:pt>
                <c:pt idx="58">
                  <c:v>33196888933.333332</c:v>
                </c:pt>
                <c:pt idx="59">
                  <c:v>8412804333.333333</c:v>
                </c:pt>
                <c:pt idx="60">
                  <c:v>1256866266.6666667</c:v>
                </c:pt>
                <c:pt idx="61">
                  <c:v>359722866.66666669</c:v>
                </c:pt>
                <c:pt idx="62">
                  <c:v>1113804900</c:v>
                </c:pt>
                <c:pt idx="63">
                  <c:v>2155839166.6666665</c:v>
                </c:pt>
                <c:pt idx="64">
                  <c:v>5355107366.666667</c:v>
                </c:pt>
                <c:pt idx="65">
                  <c:v>4178915533.3333335</c:v>
                </c:pt>
                <c:pt idx="66">
                  <c:v>6194560033.333333</c:v>
                </c:pt>
                <c:pt idx="67">
                  <c:v>1937237366.6666667</c:v>
                </c:pt>
                <c:pt idx="68">
                  <c:v>7233045500</c:v>
                </c:pt>
                <c:pt idx="69">
                  <c:v>8517871533.333333</c:v>
                </c:pt>
                <c:pt idx="70">
                  <c:v>10296537633.333334</c:v>
                </c:pt>
                <c:pt idx="71">
                  <c:v>5279333075</c:v>
                </c:pt>
                <c:pt idx="72">
                  <c:v>19621475175</c:v>
                </c:pt>
                <c:pt idx="73">
                  <c:v>2483419866.6666665</c:v>
                </c:pt>
                <c:pt idx="74">
                  <c:v>14821607533.333334</c:v>
                </c:pt>
                <c:pt idx="75">
                  <c:v>6957224400</c:v>
                </c:pt>
                <c:pt idx="76">
                  <c:v>24712058775</c:v>
                </c:pt>
                <c:pt idx="77">
                  <c:v>12103971366.666666</c:v>
                </c:pt>
                <c:pt idx="78">
                  <c:v>44053934066.666664</c:v>
                </c:pt>
                <c:pt idx="79">
                  <c:v>12121570933.333334</c:v>
                </c:pt>
                <c:pt idx="80">
                  <c:v>31891960350</c:v>
                </c:pt>
                <c:pt idx="81">
                  <c:v>59331459100</c:v>
                </c:pt>
                <c:pt idx="82">
                  <c:v>28200945800</c:v>
                </c:pt>
                <c:pt idx="83">
                  <c:v>72766770233.333328</c:v>
                </c:pt>
                <c:pt idx="84">
                  <c:v>41094953100</c:v>
                </c:pt>
                <c:pt idx="85">
                  <c:v>151803164233.33334</c:v>
                </c:pt>
                <c:pt idx="86">
                  <c:v>48268617800</c:v>
                </c:pt>
                <c:pt idx="87">
                  <c:v>148336678300</c:v>
                </c:pt>
                <c:pt idx="88">
                  <c:v>177780761066.66666</c:v>
                </c:pt>
                <c:pt idx="89">
                  <c:v>71929015566.666672</c:v>
                </c:pt>
                <c:pt idx="90">
                  <c:v>1598450000</c:v>
                </c:pt>
                <c:pt idx="91">
                  <c:v>5859549766.666667</c:v>
                </c:pt>
                <c:pt idx="92">
                  <c:v>2650898066.6666665</c:v>
                </c:pt>
                <c:pt idx="93">
                  <c:v>9969534500</c:v>
                </c:pt>
                <c:pt idx="94">
                  <c:v>3646289766.6666665</c:v>
                </c:pt>
                <c:pt idx="95">
                  <c:v>4931815933.333333</c:v>
                </c:pt>
                <c:pt idx="96">
                  <c:v>18175099066.666668</c:v>
                </c:pt>
                <c:pt idx="97">
                  <c:v>5361996300</c:v>
                </c:pt>
                <c:pt idx="98">
                  <c:v>11892563233.333334</c:v>
                </c:pt>
                <c:pt idx="99">
                  <c:v>12137900966.666666</c:v>
                </c:pt>
                <c:pt idx="100">
                  <c:v>15462302700</c:v>
                </c:pt>
                <c:pt idx="101">
                  <c:v>20754270100</c:v>
                </c:pt>
                <c:pt idx="102">
                  <c:v>12181854600</c:v>
                </c:pt>
                <c:pt idx="103">
                  <c:v>45293936375</c:v>
                </c:pt>
                <c:pt idx="104">
                  <c:v>19563350233.333332</c:v>
                </c:pt>
                <c:pt idx="105">
                  <c:v>25605923800</c:v>
                </c:pt>
                <c:pt idx="106">
                  <c:v>57253105950</c:v>
                </c:pt>
                <c:pt idx="107">
                  <c:v>33603191233.333332</c:v>
                </c:pt>
                <c:pt idx="108">
                  <c:v>32427332466.666668</c:v>
                </c:pt>
                <c:pt idx="109">
                  <c:v>120194981200</c:v>
                </c:pt>
                <c:pt idx="110">
                  <c:v>60228201200</c:v>
                </c:pt>
                <c:pt idx="111">
                  <c:v>126629074100</c:v>
                </c:pt>
                <c:pt idx="112">
                  <c:v>70361940875</c:v>
                </c:pt>
                <c:pt idx="113">
                  <c:v>148773189100</c:v>
                </c:pt>
                <c:pt idx="114">
                  <c:v>129273141566.66667</c:v>
                </c:pt>
                <c:pt idx="115">
                  <c:v>476745840466.66669</c:v>
                </c:pt>
                <c:pt idx="116">
                  <c:v>159528872400</c:v>
                </c:pt>
                <c:pt idx="117">
                  <c:v>439010203700</c:v>
                </c:pt>
                <c:pt idx="118">
                  <c:v>364676241433.33331</c:v>
                </c:pt>
                <c:pt idx="119">
                  <c:v>389460330633.33331</c:v>
                </c:pt>
                <c:pt idx="120">
                  <c:v>17276960166.666668</c:v>
                </c:pt>
                <c:pt idx="121">
                  <c:v>1592744766.6666667</c:v>
                </c:pt>
                <c:pt idx="122">
                  <c:v>5870570500</c:v>
                </c:pt>
                <c:pt idx="123">
                  <c:v>4621143033.333333</c:v>
                </c:pt>
                <c:pt idx="124">
                  <c:v>16980788400</c:v>
                </c:pt>
                <c:pt idx="125">
                  <c:v>27823360066.666668</c:v>
                </c:pt>
                <c:pt idx="126">
                  <c:v>8243763633.333333</c:v>
                </c:pt>
                <c:pt idx="127">
                  <c:v>30805087800</c:v>
                </c:pt>
                <c:pt idx="128">
                  <c:v>9015305266.666666</c:v>
                </c:pt>
                <c:pt idx="129">
                  <c:v>53100265300</c:v>
                </c:pt>
                <c:pt idx="130">
                  <c:v>11979200633.333334</c:v>
                </c:pt>
                <c:pt idx="131">
                  <c:v>28538750333.333332</c:v>
                </c:pt>
                <c:pt idx="132">
                  <c:v>22614854975</c:v>
                </c:pt>
                <c:pt idx="133">
                  <c:v>83713967900</c:v>
                </c:pt>
                <c:pt idx="134">
                  <c:v>34390154633.333336</c:v>
                </c:pt>
                <c:pt idx="135">
                  <c:v>52067817566.666664</c:v>
                </c:pt>
                <c:pt idx="136">
                  <c:v>131471360125</c:v>
                </c:pt>
                <c:pt idx="137">
                  <c:v>59853449300</c:v>
                </c:pt>
                <c:pt idx="138">
                  <c:v>221886420933.33334</c:v>
                </c:pt>
                <c:pt idx="139">
                  <c:v>56120095733.333336</c:v>
                </c:pt>
                <c:pt idx="140">
                  <c:v>144082119000</c:v>
                </c:pt>
                <c:pt idx="141">
                  <c:v>349673386800</c:v>
                </c:pt>
                <c:pt idx="142">
                  <c:v>130392740525</c:v>
                </c:pt>
                <c:pt idx="143">
                  <c:v>313113544333.33331</c:v>
                </c:pt>
                <c:pt idx="144">
                  <c:v>223717877966.66666</c:v>
                </c:pt>
                <c:pt idx="145">
                  <c:v>826723190833.33337</c:v>
                </c:pt>
                <c:pt idx="146">
                  <c:v>338050043833.33331</c:v>
                </c:pt>
                <c:pt idx="147">
                  <c:v>1392310989966.6667</c:v>
                </c:pt>
                <c:pt idx="148">
                  <c:v>1083733622633.3334</c:v>
                </c:pt>
                <c:pt idx="149">
                  <c:v>804596223266.66663</c:v>
                </c:pt>
              </c:numCache>
            </c:numRef>
          </c:yVal>
          <c:smooth val="0"/>
          <c:extLst>
            <c:ext xmlns:c16="http://schemas.microsoft.com/office/drawing/2014/chart" uri="{C3380CC4-5D6E-409C-BE32-E72D297353CC}">
              <c16:uniqueId val="{00000000-94CB-44BA-9ADC-21FB410686A6}"/>
            </c:ext>
          </c:extLst>
        </c:ser>
        <c:dLbls>
          <c:showLegendKey val="0"/>
          <c:showVal val="0"/>
          <c:showCatName val="0"/>
          <c:showSerName val="0"/>
          <c:showPercent val="0"/>
          <c:showBubbleSize val="0"/>
        </c:dLbls>
        <c:axId val="643184624"/>
        <c:axId val="1253503104"/>
      </c:scatterChart>
      <c:valAx>
        <c:axId val="643184624"/>
        <c:scaling>
          <c:orientation val="minMax"/>
          <c:min val="6"/>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03104"/>
        <c:crosses val="autoZero"/>
        <c:crossBetween val="midCat"/>
      </c:valAx>
      <c:valAx>
        <c:axId val="1253503104"/>
        <c:scaling>
          <c:logBase val="10"/>
          <c:orientation val="minMax"/>
          <c:min val="1000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1846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Level -&gt; P2P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avg!$V$1</c:f>
              <c:strCache>
                <c:ptCount val="1"/>
                <c:pt idx="0">
                  <c:v>cpu_P2P_time</c:v>
                </c:pt>
              </c:strCache>
            </c:strRef>
          </c:tx>
          <c:spPr>
            <a:ln w="19050" cap="rnd">
              <a:noFill/>
              <a:round/>
            </a:ln>
            <a:effectLst/>
          </c:spPr>
          <c:marker>
            <c:symbol val="circle"/>
            <c:size val="5"/>
            <c:spPr>
              <a:solidFill>
                <a:schemeClr val="accent1"/>
              </a:solidFill>
              <a:ln w="9525">
                <a:solidFill>
                  <a:schemeClr val="accent1"/>
                </a:solidFill>
              </a:ln>
              <a:effectLst/>
            </c:spPr>
          </c:marker>
          <c:xVal>
            <c:numRef>
              <c:f>avg!$E$2:$E$151</c:f>
              <c:numCache>
                <c:formatCode>General</c:formatCode>
                <c:ptCount val="150"/>
                <c:pt idx="0">
                  <c:v>10</c:v>
                </c:pt>
                <c:pt idx="1">
                  <c:v>10</c:v>
                </c:pt>
                <c:pt idx="2">
                  <c:v>10</c:v>
                </c:pt>
                <c:pt idx="3">
                  <c:v>10</c:v>
                </c:pt>
                <c:pt idx="4">
                  <c:v>10</c:v>
                </c:pt>
                <c:pt idx="5">
                  <c:v>9</c:v>
                </c:pt>
                <c:pt idx="6">
                  <c:v>10</c:v>
                </c:pt>
                <c:pt idx="7">
                  <c:v>7</c:v>
                </c:pt>
                <c:pt idx="8">
                  <c:v>8</c:v>
                </c:pt>
                <c:pt idx="9">
                  <c:v>9</c:v>
                </c:pt>
                <c:pt idx="10">
                  <c:v>8</c:v>
                </c:pt>
                <c:pt idx="11">
                  <c:v>9</c:v>
                </c:pt>
                <c:pt idx="12">
                  <c:v>10</c:v>
                </c:pt>
                <c:pt idx="13">
                  <c:v>10</c:v>
                </c:pt>
                <c:pt idx="14">
                  <c:v>8</c:v>
                </c:pt>
                <c:pt idx="15">
                  <c:v>7</c:v>
                </c:pt>
                <c:pt idx="16">
                  <c:v>9</c:v>
                </c:pt>
                <c:pt idx="17">
                  <c:v>10</c:v>
                </c:pt>
                <c:pt idx="18">
                  <c:v>10</c:v>
                </c:pt>
                <c:pt idx="19">
                  <c:v>7</c:v>
                </c:pt>
                <c:pt idx="20">
                  <c:v>8</c:v>
                </c:pt>
                <c:pt idx="21">
                  <c:v>9</c:v>
                </c:pt>
                <c:pt idx="22">
                  <c:v>7</c:v>
                </c:pt>
                <c:pt idx="23">
                  <c:v>8</c:v>
                </c:pt>
                <c:pt idx="24">
                  <c:v>10</c:v>
                </c:pt>
                <c:pt idx="25">
                  <c:v>10</c:v>
                </c:pt>
                <c:pt idx="26">
                  <c:v>7</c:v>
                </c:pt>
                <c:pt idx="27">
                  <c:v>9</c:v>
                </c:pt>
                <c:pt idx="28">
                  <c:v>8</c:v>
                </c:pt>
                <c:pt idx="29">
                  <c:v>7</c:v>
                </c:pt>
                <c:pt idx="30">
                  <c:v>10</c:v>
                </c:pt>
                <c:pt idx="31">
                  <c:v>11</c:v>
                </c:pt>
                <c:pt idx="32">
                  <c:v>11</c:v>
                </c:pt>
                <c:pt idx="33">
                  <c:v>11</c:v>
                </c:pt>
                <c:pt idx="34">
                  <c:v>11</c:v>
                </c:pt>
                <c:pt idx="35">
                  <c:v>10</c:v>
                </c:pt>
                <c:pt idx="36">
                  <c:v>11</c:v>
                </c:pt>
                <c:pt idx="37">
                  <c:v>11</c:v>
                </c:pt>
                <c:pt idx="38">
                  <c:v>10</c:v>
                </c:pt>
                <c:pt idx="39">
                  <c:v>9</c:v>
                </c:pt>
                <c:pt idx="40">
                  <c:v>8</c:v>
                </c:pt>
                <c:pt idx="41">
                  <c:v>9</c:v>
                </c:pt>
                <c:pt idx="42">
                  <c:v>11</c:v>
                </c:pt>
                <c:pt idx="43">
                  <c:v>11</c:v>
                </c:pt>
                <c:pt idx="44">
                  <c:v>8</c:v>
                </c:pt>
                <c:pt idx="45">
                  <c:v>9</c:v>
                </c:pt>
                <c:pt idx="46">
                  <c:v>10</c:v>
                </c:pt>
                <c:pt idx="47">
                  <c:v>11</c:v>
                </c:pt>
                <c:pt idx="48">
                  <c:v>11</c:v>
                </c:pt>
                <c:pt idx="49">
                  <c:v>8</c:v>
                </c:pt>
                <c:pt idx="50">
                  <c:v>9</c:v>
                </c:pt>
                <c:pt idx="51">
                  <c:v>10</c:v>
                </c:pt>
                <c:pt idx="52">
                  <c:v>8</c:v>
                </c:pt>
                <c:pt idx="53">
                  <c:v>9</c:v>
                </c:pt>
                <c:pt idx="54">
                  <c:v>11</c:v>
                </c:pt>
                <c:pt idx="55">
                  <c:v>11</c:v>
                </c:pt>
                <c:pt idx="56">
                  <c:v>8</c:v>
                </c:pt>
                <c:pt idx="57">
                  <c:v>10</c:v>
                </c:pt>
                <c:pt idx="58">
                  <c:v>9</c:v>
                </c:pt>
                <c:pt idx="59">
                  <c:v>8</c:v>
                </c:pt>
                <c:pt idx="60">
                  <c:v>12</c:v>
                </c:pt>
                <c:pt idx="61">
                  <c:v>12</c:v>
                </c:pt>
                <c:pt idx="62">
                  <c:v>12</c:v>
                </c:pt>
                <c:pt idx="63">
                  <c:v>11</c:v>
                </c:pt>
                <c:pt idx="64">
                  <c:v>10</c:v>
                </c:pt>
                <c:pt idx="65">
                  <c:v>12</c:v>
                </c:pt>
                <c:pt idx="66">
                  <c:v>11</c:v>
                </c:pt>
                <c:pt idx="67">
                  <c:v>12</c:v>
                </c:pt>
                <c:pt idx="68">
                  <c:v>12</c:v>
                </c:pt>
                <c:pt idx="69">
                  <c:v>10</c:v>
                </c:pt>
                <c:pt idx="70">
                  <c:v>11</c:v>
                </c:pt>
                <c:pt idx="71">
                  <c:v>12</c:v>
                </c:pt>
                <c:pt idx="72">
                  <c:v>12</c:v>
                </c:pt>
                <c:pt idx="73">
                  <c:v>9</c:v>
                </c:pt>
                <c:pt idx="74">
                  <c:v>10</c:v>
                </c:pt>
                <c:pt idx="75">
                  <c:v>9</c:v>
                </c:pt>
                <c:pt idx="76">
                  <c:v>11</c:v>
                </c:pt>
                <c:pt idx="77">
                  <c:v>12</c:v>
                </c:pt>
                <c:pt idx="78">
                  <c:v>12</c:v>
                </c:pt>
                <c:pt idx="79">
                  <c:v>9</c:v>
                </c:pt>
                <c:pt idx="80">
                  <c:v>10</c:v>
                </c:pt>
                <c:pt idx="81">
                  <c:v>11</c:v>
                </c:pt>
                <c:pt idx="82">
                  <c:v>9</c:v>
                </c:pt>
                <c:pt idx="83">
                  <c:v>10</c:v>
                </c:pt>
                <c:pt idx="84">
                  <c:v>12</c:v>
                </c:pt>
                <c:pt idx="85">
                  <c:v>12</c:v>
                </c:pt>
                <c:pt idx="86">
                  <c:v>9</c:v>
                </c:pt>
                <c:pt idx="87">
                  <c:v>11</c:v>
                </c:pt>
                <c:pt idx="88">
                  <c:v>10</c:v>
                </c:pt>
                <c:pt idx="89">
                  <c:v>9</c:v>
                </c:pt>
                <c:pt idx="90">
                  <c:v>13</c:v>
                </c:pt>
                <c:pt idx="91">
                  <c:v>13</c:v>
                </c:pt>
                <c:pt idx="92">
                  <c:v>13</c:v>
                </c:pt>
                <c:pt idx="93">
                  <c:v>13</c:v>
                </c:pt>
                <c:pt idx="94">
                  <c:v>12</c:v>
                </c:pt>
                <c:pt idx="95">
                  <c:v>13</c:v>
                </c:pt>
                <c:pt idx="96">
                  <c:v>13</c:v>
                </c:pt>
                <c:pt idx="97">
                  <c:v>11</c:v>
                </c:pt>
                <c:pt idx="98">
                  <c:v>10</c:v>
                </c:pt>
                <c:pt idx="99">
                  <c:v>12</c:v>
                </c:pt>
                <c:pt idx="100">
                  <c:v>11</c:v>
                </c:pt>
                <c:pt idx="101">
                  <c:v>12</c:v>
                </c:pt>
                <c:pt idx="102">
                  <c:v>13</c:v>
                </c:pt>
                <c:pt idx="103">
                  <c:v>13</c:v>
                </c:pt>
                <c:pt idx="104">
                  <c:v>10</c:v>
                </c:pt>
                <c:pt idx="105">
                  <c:v>11</c:v>
                </c:pt>
                <c:pt idx="106">
                  <c:v>12</c:v>
                </c:pt>
                <c:pt idx="107">
                  <c:v>10</c:v>
                </c:pt>
                <c:pt idx="108">
                  <c:v>13</c:v>
                </c:pt>
                <c:pt idx="109">
                  <c:v>13</c:v>
                </c:pt>
                <c:pt idx="110">
                  <c:v>11</c:v>
                </c:pt>
                <c:pt idx="111">
                  <c:v>12</c:v>
                </c:pt>
                <c:pt idx="112">
                  <c:v>10</c:v>
                </c:pt>
                <c:pt idx="113">
                  <c:v>11</c:v>
                </c:pt>
                <c:pt idx="114">
                  <c:v>13</c:v>
                </c:pt>
                <c:pt idx="115">
                  <c:v>13</c:v>
                </c:pt>
                <c:pt idx="116">
                  <c:v>10</c:v>
                </c:pt>
                <c:pt idx="117">
                  <c:v>12</c:v>
                </c:pt>
                <c:pt idx="118">
                  <c:v>11</c:v>
                </c:pt>
                <c:pt idx="119">
                  <c:v>10</c:v>
                </c:pt>
                <c:pt idx="120">
                  <c:v>13</c:v>
                </c:pt>
                <c:pt idx="121">
                  <c:v>14</c:v>
                </c:pt>
                <c:pt idx="122">
                  <c:v>14</c:v>
                </c:pt>
                <c:pt idx="123">
                  <c:v>14</c:v>
                </c:pt>
                <c:pt idx="124">
                  <c:v>14</c:v>
                </c:pt>
                <c:pt idx="125">
                  <c:v>13</c:v>
                </c:pt>
                <c:pt idx="126">
                  <c:v>14</c:v>
                </c:pt>
                <c:pt idx="127">
                  <c:v>14</c:v>
                </c:pt>
                <c:pt idx="128">
                  <c:v>12</c:v>
                </c:pt>
                <c:pt idx="129">
                  <c:v>13</c:v>
                </c:pt>
                <c:pt idx="130">
                  <c:v>11</c:v>
                </c:pt>
                <c:pt idx="131">
                  <c:v>12</c:v>
                </c:pt>
                <c:pt idx="132">
                  <c:v>14</c:v>
                </c:pt>
                <c:pt idx="133">
                  <c:v>14</c:v>
                </c:pt>
                <c:pt idx="134">
                  <c:v>11</c:v>
                </c:pt>
                <c:pt idx="135">
                  <c:v>12</c:v>
                </c:pt>
                <c:pt idx="136">
                  <c:v>13</c:v>
                </c:pt>
                <c:pt idx="137">
                  <c:v>14</c:v>
                </c:pt>
                <c:pt idx="138">
                  <c:v>14</c:v>
                </c:pt>
                <c:pt idx="139">
                  <c:v>11</c:v>
                </c:pt>
                <c:pt idx="140">
                  <c:v>12</c:v>
                </c:pt>
                <c:pt idx="141">
                  <c:v>13</c:v>
                </c:pt>
                <c:pt idx="142">
                  <c:v>11</c:v>
                </c:pt>
                <c:pt idx="143">
                  <c:v>12</c:v>
                </c:pt>
                <c:pt idx="144">
                  <c:v>14</c:v>
                </c:pt>
                <c:pt idx="145">
                  <c:v>14</c:v>
                </c:pt>
                <c:pt idx="146">
                  <c:v>11</c:v>
                </c:pt>
                <c:pt idx="147">
                  <c:v>13</c:v>
                </c:pt>
                <c:pt idx="148">
                  <c:v>12</c:v>
                </c:pt>
                <c:pt idx="149">
                  <c:v>11</c:v>
                </c:pt>
              </c:numCache>
            </c:numRef>
          </c:xVal>
          <c:yVal>
            <c:numRef>
              <c:f>avg!$V$2:$V$151</c:f>
              <c:numCache>
                <c:formatCode>General</c:formatCode>
                <c:ptCount val="150"/>
                <c:pt idx="0">
                  <c:v>129092800</c:v>
                </c:pt>
                <c:pt idx="1">
                  <c:v>123157366.66666667</c:v>
                </c:pt>
                <c:pt idx="2">
                  <c:v>397075566.66666669</c:v>
                </c:pt>
                <c:pt idx="3">
                  <c:v>410796900</c:v>
                </c:pt>
                <c:pt idx="4">
                  <c:v>708847233.33333337</c:v>
                </c:pt>
                <c:pt idx="5">
                  <c:v>747176266.66666663</c:v>
                </c:pt>
                <c:pt idx="6">
                  <c:v>718308866.66666663</c:v>
                </c:pt>
                <c:pt idx="7">
                  <c:v>1105500733.3333333</c:v>
                </c:pt>
                <c:pt idx="8">
                  <c:v>1054714133.3333334</c:v>
                </c:pt>
                <c:pt idx="9">
                  <c:v>1029280300</c:v>
                </c:pt>
                <c:pt idx="10">
                  <c:v>1909187500</c:v>
                </c:pt>
                <c:pt idx="11">
                  <c:v>2065882300</c:v>
                </c:pt>
                <c:pt idx="12">
                  <c:v>1984992950</c:v>
                </c:pt>
                <c:pt idx="13">
                  <c:v>1975752475</c:v>
                </c:pt>
                <c:pt idx="14">
                  <c:v>3630843300</c:v>
                </c:pt>
                <c:pt idx="15">
                  <c:v>4131593266.6666665</c:v>
                </c:pt>
                <c:pt idx="16">
                  <c:v>4638523425</c:v>
                </c:pt>
                <c:pt idx="17">
                  <c:v>5086831133.333333</c:v>
                </c:pt>
                <c:pt idx="18">
                  <c:v>5096835533.333333</c:v>
                </c:pt>
                <c:pt idx="19">
                  <c:v>6127775466.666667</c:v>
                </c:pt>
                <c:pt idx="20">
                  <c:v>9149021175</c:v>
                </c:pt>
                <c:pt idx="21">
                  <c:v>11822253333.333334</c:v>
                </c:pt>
                <c:pt idx="22">
                  <c:v>14868157975</c:v>
                </c:pt>
                <c:pt idx="23">
                  <c:v>19874594900</c:v>
                </c:pt>
                <c:pt idx="24">
                  <c:v>19071434500</c:v>
                </c:pt>
                <c:pt idx="25">
                  <c:v>18954127200</c:v>
                </c:pt>
                <c:pt idx="26">
                  <c:v>33000440766.666668</c:v>
                </c:pt>
                <c:pt idx="27">
                  <c:v>39145319400</c:v>
                </c:pt>
                <c:pt idx="28">
                  <c:v>57333202800</c:v>
                </c:pt>
                <c:pt idx="29">
                  <c:v>66574729033.333336</c:v>
                </c:pt>
                <c:pt idx="30">
                  <c:v>509443666.66666669</c:v>
                </c:pt>
                <c:pt idx="31">
                  <c:v>494883966.66666669</c:v>
                </c:pt>
                <c:pt idx="32">
                  <c:v>496889933.33333331</c:v>
                </c:pt>
                <c:pt idx="33">
                  <c:v>881094833.33333337</c:v>
                </c:pt>
                <c:pt idx="34">
                  <c:v>885087433.33333337</c:v>
                </c:pt>
                <c:pt idx="35">
                  <c:v>1804999266.6666667</c:v>
                </c:pt>
                <c:pt idx="36">
                  <c:v>1801108333.3333333</c:v>
                </c:pt>
                <c:pt idx="37">
                  <c:v>1816913533.3333333</c:v>
                </c:pt>
                <c:pt idx="38">
                  <c:v>3033757500</c:v>
                </c:pt>
                <c:pt idx="39">
                  <c:v>3159952266.6666665</c:v>
                </c:pt>
                <c:pt idx="40">
                  <c:v>4362530800</c:v>
                </c:pt>
                <c:pt idx="41">
                  <c:v>4662921866.666667</c:v>
                </c:pt>
                <c:pt idx="42">
                  <c:v>5099242175</c:v>
                </c:pt>
                <c:pt idx="43">
                  <c:v>4869478325</c:v>
                </c:pt>
                <c:pt idx="44">
                  <c:v>8218626666.666667</c:v>
                </c:pt>
                <c:pt idx="45">
                  <c:v>8807314133.333334</c:v>
                </c:pt>
                <c:pt idx="46">
                  <c:v>8431093675</c:v>
                </c:pt>
                <c:pt idx="47">
                  <c:v>12715089433.333334</c:v>
                </c:pt>
                <c:pt idx="48">
                  <c:v>12422067766.666666</c:v>
                </c:pt>
                <c:pt idx="49">
                  <c:v>15366668700</c:v>
                </c:pt>
                <c:pt idx="50">
                  <c:v>19790182450</c:v>
                </c:pt>
                <c:pt idx="51">
                  <c:v>21916840166.666668</c:v>
                </c:pt>
                <c:pt idx="52">
                  <c:v>38870463800</c:v>
                </c:pt>
                <c:pt idx="53">
                  <c:v>50964868800</c:v>
                </c:pt>
                <c:pt idx="54">
                  <c:v>55789068466.666664</c:v>
                </c:pt>
                <c:pt idx="55">
                  <c:v>54199412100</c:v>
                </c:pt>
                <c:pt idx="56">
                  <c:v>82968689000</c:v>
                </c:pt>
                <c:pt idx="57">
                  <c:v>80681361133.333328</c:v>
                </c:pt>
                <c:pt idx="58">
                  <c:v>168005504800</c:v>
                </c:pt>
                <c:pt idx="59">
                  <c:v>239602925300</c:v>
                </c:pt>
                <c:pt idx="60">
                  <c:v>1469534466.6666667</c:v>
                </c:pt>
                <c:pt idx="61">
                  <c:v>1467883700</c:v>
                </c:pt>
                <c:pt idx="62">
                  <c:v>1939739100</c:v>
                </c:pt>
                <c:pt idx="63">
                  <c:v>2020833633.3333333</c:v>
                </c:pt>
                <c:pt idx="64">
                  <c:v>2128731333.3333333</c:v>
                </c:pt>
                <c:pt idx="65">
                  <c:v>1954929466.6666667</c:v>
                </c:pt>
                <c:pt idx="66">
                  <c:v>3737194366.6666665</c:v>
                </c:pt>
                <c:pt idx="67">
                  <c:v>4098792833.3333335</c:v>
                </c:pt>
                <c:pt idx="68">
                  <c:v>4112852933.3333335</c:v>
                </c:pt>
                <c:pt idx="69">
                  <c:v>7902263500</c:v>
                </c:pt>
                <c:pt idx="70">
                  <c:v>7611828866.666667</c:v>
                </c:pt>
                <c:pt idx="71">
                  <c:v>10397969025</c:v>
                </c:pt>
                <c:pt idx="72">
                  <c:v>10376920950</c:v>
                </c:pt>
                <c:pt idx="73">
                  <c:v>13112048600</c:v>
                </c:pt>
                <c:pt idx="74">
                  <c:v>12859529400</c:v>
                </c:pt>
                <c:pt idx="75">
                  <c:v>20419513333.333332</c:v>
                </c:pt>
                <c:pt idx="76">
                  <c:v>21054362025</c:v>
                </c:pt>
                <c:pt idx="77">
                  <c:v>29149445533.333332</c:v>
                </c:pt>
                <c:pt idx="78">
                  <c:v>29107592633.333332</c:v>
                </c:pt>
                <c:pt idx="79">
                  <c:v>36829367633.333336</c:v>
                </c:pt>
                <c:pt idx="80">
                  <c:v>35887455250</c:v>
                </c:pt>
                <c:pt idx="81">
                  <c:v>52709633966.666664</c:v>
                </c:pt>
                <c:pt idx="82">
                  <c:v>82377539200</c:v>
                </c:pt>
                <c:pt idx="83">
                  <c:v>94926396300</c:v>
                </c:pt>
                <c:pt idx="84">
                  <c:v>130187479233.33333</c:v>
                </c:pt>
                <c:pt idx="85">
                  <c:v>129976566066.66667</c:v>
                </c:pt>
                <c:pt idx="86">
                  <c:v>212939641866.66666</c:v>
                </c:pt>
                <c:pt idx="87">
                  <c:v>230566940266.66666</c:v>
                </c:pt>
                <c:pt idx="88">
                  <c:v>346785610800</c:v>
                </c:pt>
                <c:pt idx="89">
                  <c:v>710557296400</c:v>
                </c:pt>
                <c:pt idx="90">
                  <c:v>1027408300</c:v>
                </c:pt>
                <c:pt idx="91">
                  <c:v>1017498433.3333334</c:v>
                </c:pt>
                <c:pt idx="92">
                  <c:v>3311677866.6666665</c:v>
                </c:pt>
                <c:pt idx="93">
                  <c:v>3318343633.3333335</c:v>
                </c:pt>
                <c:pt idx="94">
                  <c:v>6048892133.333333</c:v>
                </c:pt>
                <c:pt idx="95">
                  <c:v>6156886633.333333</c:v>
                </c:pt>
                <c:pt idx="96">
                  <c:v>6178168066.666667</c:v>
                </c:pt>
                <c:pt idx="97">
                  <c:v>8467844100</c:v>
                </c:pt>
                <c:pt idx="98">
                  <c:v>8889022833.333334</c:v>
                </c:pt>
                <c:pt idx="99">
                  <c:v>8437616166.666667</c:v>
                </c:pt>
                <c:pt idx="100">
                  <c:v>16129497866.666666</c:v>
                </c:pt>
                <c:pt idx="101">
                  <c:v>17492215166.666668</c:v>
                </c:pt>
                <c:pt idx="102">
                  <c:v>18096516275</c:v>
                </c:pt>
                <c:pt idx="103">
                  <c:v>18140169225</c:v>
                </c:pt>
                <c:pt idx="104">
                  <c:v>32750084633.333332</c:v>
                </c:pt>
                <c:pt idx="105">
                  <c:v>32379071900</c:v>
                </c:pt>
                <c:pt idx="106">
                  <c:v>44060106450</c:v>
                </c:pt>
                <c:pt idx="107">
                  <c:v>53939214366.666664</c:v>
                </c:pt>
                <c:pt idx="108">
                  <c:v>49602540800</c:v>
                </c:pt>
                <c:pt idx="109">
                  <c:v>49448242333.333336</c:v>
                </c:pt>
                <c:pt idx="110">
                  <c:v>91401730900</c:v>
                </c:pt>
                <c:pt idx="111">
                  <c:v>124180769500</c:v>
                </c:pt>
                <c:pt idx="112">
                  <c:v>151378663725</c:v>
                </c:pt>
                <c:pt idx="113">
                  <c:v>223551719500</c:v>
                </c:pt>
                <c:pt idx="114">
                  <c:v>218939465566.66666</c:v>
                </c:pt>
                <c:pt idx="115">
                  <c:v>219128026633.33334</c:v>
                </c:pt>
                <c:pt idx="116">
                  <c:v>404262661133.33331</c:v>
                </c:pt>
                <c:pt idx="117">
                  <c:v>554288438666.66663</c:v>
                </c:pt>
                <c:pt idx="118">
                  <c:v>986033862500</c:v>
                </c:pt>
                <c:pt idx="119">
                  <c:v>1465618440466.6667</c:v>
                </c:pt>
                <c:pt idx="120">
                  <c:v>4102717133.3333335</c:v>
                </c:pt>
                <c:pt idx="121">
                  <c:v>4024293600</c:v>
                </c:pt>
                <c:pt idx="122">
                  <c:v>3986572433.3333335</c:v>
                </c:pt>
                <c:pt idx="123">
                  <c:v>7011200366.666667</c:v>
                </c:pt>
                <c:pt idx="124">
                  <c:v>7070638133.333333</c:v>
                </c:pt>
                <c:pt idx="125">
                  <c:v>14736853200</c:v>
                </c:pt>
                <c:pt idx="126">
                  <c:v>15110984533.333334</c:v>
                </c:pt>
                <c:pt idx="127">
                  <c:v>15140661733.333334</c:v>
                </c:pt>
                <c:pt idx="128">
                  <c:v>25492592500</c:v>
                </c:pt>
                <c:pt idx="129">
                  <c:v>25508537433.333332</c:v>
                </c:pt>
                <c:pt idx="130">
                  <c:v>35870692466.666664</c:v>
                </c:pt>
                <c:pt idx="131">
                  <c:v>37269485500</c:v>
                </c:pt>
                <c:pt idx="132">
                  <c:v>43275642475</c:v>
                </c:pt>
                <c:pt idx="133">
                  <c:v>43270535800</c:v>
                </c:pt>
                <c:pt idx="134">
                  <c:v>68001032933.333336</c:v>
                </c:pt>
                <c:pt idx="135">
                  <c:v>75966586100</c:v>
                </c:pt>
                <c:pt idx="136">
                  <c:v>76629582525</c:v>
                </c:pt>
                <c:pt idx="137">
                  <c:v>115588396233.33333</c:v>
                </c:pt>
                <c:pt idx="138">
                  <c:v>115467404666.66667</c:v>
                </c:pt>
                <c:pt idx="139">
                  <c:v>138152958133.33334</c:v>
                </c:pt>
                <c:pt idx="140">
                  <c:v>188944752875</c:v>
                </c:pt>
                <c:pt idx="141">
                  <c:v>213298248500</c:v>
                </c:pt>
                <c:pt idx="142">
                  <c:v>397063547000</c:v>
                </c:pt>
                <c:pt idx="143">
                  <c:v>530765447166.66669</c:v>
                </c:pt>
                <c:pt idx="144">
                  <c:v>586778147166.66663</c:v>
                </c:pt>
                <c:pt idx="145">
                  <c:v>586516914300</c:v>
                </c:pt>
                <c:pt idx="146">
                  <c:v>951532439166.66663</c:v>
                </c:pt>
                <c:pt idx="147">
                  <c:v>936263118000</c:v>
                </c:pt>
                <c:pt idx="148">
                  <c:v>2365011090066.6665</c:v>
                </c:pt>
                <c:pt idx="149">
                  <c:v>4216013898300</c:v>
                </c:pt>
              </c:numCache>
            </c:numRef>
          </c:yVal>
          <c:smooth val="0"/>
          <c:extLst>
            <c:ext xmlns:c16="http://schemas.microsoft.com/office/drawing/2014/chart" uri="{C3380CC4-5D6E-409C-BE32-E72D297353CC}">
              <c16:uniqueId val="{00000000-0BCA-4F0C-918F-54B675D3022C}"/>
            </c:ext>
          </c:extLst>
        </c:ser>
        <c:dLbls>
          <c:showLegendKey val="0"/>
          <c:showVal val="0"/>
          <c:showCatName val="0"/>
          <c:showSerName val="0"/>
          <c:showPercent val="0"/>
          <c:showBubbleSize val="0"/>
        </c:dLbls>
        <c:axId val="643184624"/>
        <c:axId val="1253503104"/>
      </c:scatterChart>
      <c:valAx>
        <c:axId val="643184624"/>
        <c:scaling>
          <c:orientation val="minMax"/>
          <c:min val="6"/>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03104"/>
        <c:crosses val="autoZero"/>
        <c:crossBetween val="midCat"/>
      </c:valAx>
      <c:valAx>
        <c:axId val="1253503104"/>
        <c:scaling>
          <c:logBase val="10"/>
          <c:orientation val="minMax"/>
          <c:min val="1000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1846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GPU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avg!$K$1</c:f>
              <c:strCache>
                <c:ptCount val="1"/>
                <c:pt idx="0">
                  <c:v>gpu_collection_time</c:v>
                </c:pt>
              </c:strCache>
            </c:strRef>
          </c:tx>
          <c:spPr>
            <a:solidFill>
              <a:schemeClr val="bg2">
                <a:lumMod val="50000"/>
              </a:schemeClr>
            </a:solidFill>
            <a:ln>
              <a:noFill/>
            </a:ln>
            <a:effectLst/>
          </c:spPr>
          <c:invertIfNegative val="0"/>
          <c:val>
            <c:numRef>
              <c:f>avg!$K$2:$K$151</c:f>
              <c:numCache>
                <c:formatCode>General</c:formatCode>
                <c:ptCount val="150"/>
                <c:pt idx="0">
                  <c:v>782133.33333333337</c:v>
                </c:pt>
                <c:pt idx="1">
                  <c:v>745333.33333333337</c:v>
                </c:pt>
                <c:pt idx="2">
                  <c:v>1560800</c:v>
                </c:pt>
                <c:pt idx="3">
                  <c:v>1662566.6666666667</c:v>
                </c:pt>
                <c:pt idx="4">
                  <c:v>2810466.6666666665</c:v>
                </c:pt>
                <c:pt idx="5">
                  <c:v>478233.33333333331</c:v>
                </c:pt>
                <c:pt idx="6">
                  <c:v>2737766.6666666665</c:v>
                </c:pt>
                <c:pt idx="7">
                  <c:v>100533.33333333333</c:v>
                </c:pt>
                <c:pt idx="8">
                  <c:v>203433.33333333334</c:v>
                </c:pt>
                <c:pt idx="9">
                  <c:v>950900</c:v>
                </c:pt>
                <c:pt idx="10">
                  <c:v>395466.66666666669</c:v>
                </c:pt>
                <c:pt idx="11">
                  <c:v>1422300</c:v>
                </c:pt>
                <c:pt idx="12">
                  <c:v>6081750</c:v>
                </c:pt>
                <c:pt idx="13">
                  <c:v>6485250</c:v>
                </c:pt>
                <c:pt idx="14">
                  <c:v>666266.66666666663</c:v>
                </c:pt>
                <c:pt idx="15">
                  <c:v>217233.33333333334</c:v>
                </c:pt>
                <c:pt idx="16">
                  <c:v>3133300</c:v>
                </c:pt>
                <c:pt idx="17">
                  <c:v>16401800</c:v>
                </c:pt>
                <c:pt idx="18">
                  <c:v>16442400</c:v>
                </c:pt>
                <c:pt idx="19">
                  <c:v>328266.66666666669</c:v>
                </c:pt>
                <c:pt idx="20">
                  <c:v>1415100</c:v>
                </c:pt>
                <c:pt idx="21">
                  <c:v>6784100</c:v>
                </c:pt>
                <c:pt idx="22">
                  <c:v>573625</c:v>
                </c:pt>
                <c:pt idx="23">
                  <c:v>2797633.3333333335</c:v>
                </c:pt>
                <c:pt idx="24">
                  <c:v>52316500</c:v>
                </c:pt>
                <c:pt idx="25">
                  <c:v>56560600</c:v>
                </c:pt>
                <c:pt idx="26">
                  <c:v>2861500</c:v>
                </c:pt>
                <c:pt idx="27">
                  <c:v>24014033.333333332</c:v>
                </c:pt>
                <c:pt idx="28">
                  <c:v>6186566.666666667</c:v>
                </c:pt>
                <c:pt idx="29">
                  <c:v>1639533.3333333333</c:v>
                </c:pt>
                <c:pt idx="30">
                  <c:v>814700</c:v>
                </c:pt>
                <c:pt idx="31">
                  <c:v>1360666.6666666667</c:v>
                </c:pt>
                <c:pt idx="32">
                  <c:v>1349066.6666666667</c:v>
                </c:pt>
                <c:pt idx="33">
                  <c:v>3016233.3333333335</c:v>
                </c:pt>
                <c:pt idx="34">
                  <c:v>7901066.666666667</c:v>
                </c:pt>
                <c:pt idx="35">
                  <c:v>1644566.6666666667</c:v>
                </c:pt>
                <c:pt idx="36">
                  <c:v>5546566.666666667</c:v>
                </c:pt>
                <c:pt idx="37">
                  <c:v>5461800</c:v>
                </c:pt>
                <c:pt idx="38">
                  <c:v>2612766.6666666665</c:v>
                </c:pt>
                <c:pt idx="39">
                  <c:v>531733.33333333337</c:v>
                </c:pt>
                <c:pt idx="40">
                  <c:v>174133.33333333334</c:v>
                </c:pt>
                <c:pt idx="41">
                  <c:v>896600</c:v>
                </c:pt>
                <c:pt idx="42">
                  <c:v>17918175</c:v>
                </c:pt>
                <c:pt idx="43">
                  <c:v>17764925</c:v>
                </c:pt>
                <c:pt idx="44">
                  <c:v>514533.33333333331</c:v>
                </c:pt>
                <c:pt idx="45">
                  <c:v>1444800</c:v>
                </c:pt>
                <c:pt idx="46">
                  <c:v>6230100</c:v>
                </c:pt>
                <c:pt idx="47">
                  <c:v>40728366.666666664</c:v>
                </c:pt>
                <c:pt idx="48">
                  <c:v>42327333.333333336</c:v>
                </c:pt>
                <c:pt idx="49">
                  <c:v>776133.33333333337</c:v>
                </c:pt>
                <c:pt idx="50">
                  <c:v>3278275</c:v>
                </c:pt>
                <c:pt idx="51">
                  <c:v>18284166.666666668</c:v>
                </c:pt>
                <c:pt idx="52">
                  <c:v>1385050</c:v>
                </c:pt>
                <c:pt idx="53">
                  <c:v>6674600</c:v>
                </c:pt>
                <c:pt idx="54">
                  <c:v>147862100</c:v>
                </c:pt>
                <c:pt idx="55">
                  <c:v>141493833.33333334</c:v>
                </c:pt>
                <c:pt idx="56">
                  <c:v>2845133.3333333335</c:v>
                </c:pt>
                <c:pt idx="57">
                  <c:v>59648900</c:v>
                </c:pt>
                <c:pt idx="58">
                  <c:v>20446833.333333332</c:v>
                </c:pt>
                <c:pt idx="59">
                  <c:v>9920133.333333334</c:v>
                </c:pt>
                <c:pt idx="60">
                  <c:v>3342633.3333333335</c:v>
                </c:pt>
                <c:pt idx="61">
                  <c:v>3246633.3333333335</c:v>
                </c:pt>
                <c:pt idx="62">
                  <c:v>10756566.666666666</c:v>
                </c:pt>
                <c:pt idx="63">
                  <c:v>1379133.3333333333</c:v>
                </c:pt>
                <c:pt idx="64">
                  <c:v>776033.33333333337</c:v>
                </c:pt>
                <c:pt idx="65">
                  <c:v>6055533.333333333</c:v>
                </c:pt>
                <c:pt idx="66">
                  <c:v>3010733.3333333335</c:v>
                </c:pt>
                <c:pt idx="67">
                  <c:v>11871133.333333334</c:v>
                </c:pt>
                <c:pt idx="68">
                  <c:v>12857900</c:v>
                </c:pt>
                <c:pt idx="69">
                  <c:v>1751566.6666666667</c:v>
                </c:pt>
                <c:pt idx="70">
                  <c:v>6099500</c:v>
                </c:pt>
                <c:pt idx="71">
                  <c:v>36633775</c:v>
                </c:pt>
                <c:pt idx="72">
                  <c:v>36833950</c:v>
                </c:pt>
                <c:pt idx="73">
                  <c:v>424600</c:v>
                </c:pt>
                <c:pt idx="74">
                  <c:v>2649066.6666666665</c:v>
                </c:pt>
                <c:pt idx="75">
                  <c:v>976100</c:v>
                </c:pt>
                <c:pt idx="76">
                  <c:v>14582700</c:v>
                </c:pt>
                <c:pt idx="77">
                  <c:v>131268933.33333333</c:v>
                </c:pt>
                <c:pt idx="78">
                  <c:v>90782400</c:v>
                </c:pt>
                <c:pt idx="79">
                  <c:v>1540933.3333333333</c:v>
                </c:pt>
                <c:pt idx="80">
                  <c:v>6589325</c:v>
                </c:pt>
                <c:pt idx="81">
                  <c:v>44226933.333333336</c:v>
                </c:pt>
                <c:pt idx="82">
                  <c:v>3187775</c:v>
                </c:pt>
                <c:pt idx="83">
                  <c:v>16456066.666666666</c:v>
                </c:pt>
                <c:pt idx="84">
                  <c:v>376161100</c:v>
                </c:pt>
                <c:pt idx="85">
                  <c:v>367592766.66666669</c:v>
                </c:pt>
                <c:pt idx="86">
                  <c:v>11656000</c:v>
                </c:pt>
                <c:pt idx="87">
                  <c:v>142934433.33333334</c:v>
                </c:pt>
                <c:pt idx="88">
                  <c:v>57505800</c:v>
                </c:pt>
                <c:pt idx="89">
                  <c:v>20840233.333333332</c:v>
                </c:pt>
                <c:pt idx="90">
                  <c:v>7434633.333333333</c:v>
                </c:pt>
                <c:pt idx="91">
                  <c:v>5268100</c:v>
                </c:pt>
                <c:pt idx="92">
                  <c:v>14900166.666666666</c:v>
                </c:pt>
                <c:pt idx="93">
                  <c:v>13292566.666666666</c:v>
                </c:pt>
                <c:pt idx="94">
                  <c:v>3155100</c:v>
                </c:pt>
                <c:pt idx="95">
                  <c:v>27832966.666666668</c:v>
                </c:pt>
                <c:pt idx="96">
                  <c:v>28878333.333333332</c:v>
                </c:pt>
                <c:pt idx="97">
                  <c:v>1409833.3333333333</c:v>
                </c:pt>
                <c:pt idx="98">
                  <c:v>790133.33333333337</c:v>
                </c:pt>
                <c:pt idx="99">
                  <c:v>6264400</c:v>
                </c:pt>
                <c:pt idx="100">
                  <c:v>3121266.6666666665</c:v>
                </c:pt>
                <c:pt idx="101">
                  <c:v>18994233.333333332</c:v>
                </c:pt>
                <c:pt idx="102">
                  <c:v>68673000</c:v>
                </c:pt>
                <c:pt idx="103">
                  <c:v>67303575</c:v>
                </c:pt>
                <c:pt idx="104">
                  <c:v>1672233.3333333333</c:v>
                </c:pt>
                <c:pt idx="105">
                  <c:v>5779400</c:v>
                </c:pt>
                <c:pt idx="106">
                  <c:v>34700300</c:v>
                </c:pt>
                <c:pt idx="107">
                  <c:v>2721133.3333333335</c:v>
                </c:pt>
                <c:pt idx="108">
                  <c:v>182239500</c:v>
                </c:pt>
                <c:pt idx="109">
                  <c:v>216063000</c:v>
                </c:pt>
                <c:pt idx="110">
                  <c:v>18508400</c:v>
                </c:pt>
                <c:pt idx="111">
                  <c:v>87453433.333333328</c:v>
                </c:pt>
                <c:pt idx="112">
                  <c:v>8162925</c:v>
                </c:pt>
                <c:pt idx="113">
                  <c:v>36983866.666666664</c:v>
                </c:pt>
                <c:pt idx="114">
                  <c:v>780712833.33333337</c:v>
                </c:pt>
                <c:pt idx="115">
                  <c:v>788597533.33333337</c:v>
                </c:pt>
                <c:pt idx="116">
                  <c:v>22170733.333333332</c:v>
                </c:pt>
                <c:pt idx="117">
                  <c:v>598803733.33333337</c:v>
                </c:pt>
                <c:pt idx="118">
                  <c:v>145862600</c:v>
                </c:pt>
                <c:pt idx="119">
                  <c:v>54570566.666666664</c:v>
                </c:pt>
                <c:pt idx="120">
                  <c:v>5316700</c:v>
                </c:pt>
                <c:pt idx="121">
                  <c:v>10393500</c:v>
                </c:pt>
                <c:pt idx="122">
                  <c:v>10320700</c:v>
                </c:pt>
                <c:pt idx="123">
                  <c:v>39338133.333333336</c:v>
                </c:pt>
                <c:pt idx="124">
                  <c:v>24299766.666666668</c:v>
                </c:pt>
                <c:pt idx="125">
                  <c:v>12261233.333333334</c:v>
                </c:pt>
                <c:pt idx="126">
                  <c:v>48683100</c:v>
                </c:pt>
                <c:pt idx="127">
                  <c:v>49067066.666666664</c:v>
                </c:pt>
                <c:pt idx="128">
                  <c:v>3303866.6666666665</c:v>
                </c:pt>
                <c:pt idx="129">
                  <c:v>23648433.333333332</c:v>
                </c:pt>
                <c:pt idx="130">
                  <c:v>1444233.3333333333</c:v>
                </c:pt>
                <c:pt idx="131">
                  <c:v>6475466.666666667</c:v>
                </c:pt>
                <c:pt idx="132">
                  <c:v>426488050</c:v>
                </c:pt>
                <c:pt idx="133">
                  <c:v>142119175</c:v>
                </c:pt>
                <c:pt idx="134">
                  <c:v>3223600</c:v>
                </c:pt>
                <c:pt idx="135">
                  <c:v>12208766.666666666</c:v>
                </c:pt>
                <c:pt idx="136">
                  <c:v>65564025</c:v>
                </c:pt>
                <c:pt idx="137">
                  <c:v>392018200</c:v>
                </c:pt>
                <c:pt idx="138">
                  <c:v>384132800</c:v>
                </c:pt>
                <c:pt idx="139">
                  <c:v>5806466.666666667</c:v>
                </c:pt>
                <c:pt idx="140">
                  <c:v>44100575</c:v>
                </c:pt>
                <c:pt idx="141">
                  <c:v>179398066.66666666</c:v>
                </c:pt>
                <c:pt idx="142">
                  <c:v>15434350</c:v>
                </c:pt>
                <c:pt idx="143">
                  <c:v>91306800</c:v>
                </c:pt>
                <c:pt idx="144">
                  <c:v>2149431633.3333335</c:v>
                </c:pt>
                <c:pt idx="145">
                  <c:v>2096299900</c:v>
                </c:pt>
                <c:pt idx="146">
                  <c:v>36771366.666666664</c:v>
                </c:pt>
                <c:pt idx="147">
                  <c:v>841258733.33333337</c:v>
                </c:pt>
                <c:pt idx="148">
                  <c:v>382893000</c:v>
                </c:pt>
                <c:pt idx="149">
                  <c:v>141157100</c:v>
                </c:pt>
              </c:numCache>
            </c:numRef>
          </c:val>
          <c:extLst>
            <c:ext xmlns:c16="http://schemas.microsoft.com/office/drawing/2014/chart" uri="{C3380CC4-5D6E-409C-BE32-E72D297353CC}">
              <c16:uniqueId val="{00000000-C6A7-4C05-8413-4CD08D8B4A0E}"/>
            </c:ext>
          </c:extLst>
        </c:ser>
        <c:ser>
          <c:idx val="1"/>
          <c:order val="1"/>
          <c:tx>
            <c:strRef>
              <c:f>avg!$L$1</c:f>
              <c:strCache>
                <c:ptCount val="1"/>
                <c:pt idx="0">
                  <c:v>gpu_M2L_transfer_time</c:v>
                </c:pt>
              </c:strCache>
            </c:strRef>
          </c:tx>
          <c:spPr>
            <a:solidFill>
              <a:schemeClr val="accent2"/>
            </a:solidFill>
            <a:ln>
              <a:noFill/>
            </a:ln>
            <a:effectLst/>
          </c:spPr>
          <c:invertIfNegative val="0"/>
          <c:val>
            <c:numRef>
              <c:f>avg!$L$2:$L$151</c:f>
              <c:numCache>
                <c:formatCode>General</c:formatCode>
                <c:ptCount val="150"/>
                <c:pt idx="0">
                  <c:v>324124133.33333331</c:v>
                </c:pt>
                <c:pt idx="1">
                  <c:v>190647133.33333334</c:v>
                </c:pt>
                <c:pt idx="2">
                  <c:v>324016266.66666669</c:v>
                </c:pt>
                <c:pt idx="3">
                  <c:v>155213533.33333334</c:v>
                </c:pt>
                <c:pt idx="4">
                  <c:v>294072600</c:v>
                </c:pt>
                <c:pt idx="5">
                  <c:v>568748366.66666663</c:v>
                </c:pt>
                <c:pt idx="6">
                  <c:v>186709100</c:v>
                </c:pt>
                <c:pt idx="7">
                  <c:v>1287387633.3333333</c:v>
                </c:pt>
                <c:pt idx="8">
                  <c:v>1082103866.6666667</c:v>
                </c:pt>
                <c:pt idx="9">
                  <c:v>583663166.66666663</c:v>
                </c:pt>
                <c:pt idx="10">
                  <c:v>1086184366.6666667</c:v>
                </c:pt>
                <c:pt idx="11">
                  <c:v>513019633.33333331</c:v>
                </c:pt>
                <c:pt idx="12">
                  <c:v>315272425</c:v>
                </c:pt>
                <c:pt idx="13">
                  <c:v>157785500</c:v>
                </c:pt>
                <c:pt idx="14">
                  <c:v>1056335200</c:v>
                </c:pt>
                <c:pt idx="15">
                  <c:v>1266466333.3333333</c:v>
                </c:pt>
                <c:pt idx="16">
                  <c:v>510691475</c:v>
                </c:pt>
                <c:pt idx="17">
                  <c:v>141321933.33333334</c:v>
                </c:pt>
                <c:pt idx="18">
                  <c:v>290709633.33333331</c:v>
                </c:pt>
                <c:pt idx="19">
                  <c:v>1267152166.6666667</c:v>
                </c:pt>
                <c:pt idx="20">
                  <c:v>1051702350</c:v>
                </c:pt>
                <c:pt idx="21">
                  <c:v>511401866.66666669</c:v>
                </c:pt>
                <c:pt idx="22">
                  <c:v>1271878700</c:v>
                </c:pt>
                <c:pt idx="23">
                  <c:v>1053441966.6666666</c:v>
                </c:pt>
                <c:pt idx="24">
                  <c:v>141562833.33333334</c:v>
                </c:pt>
                <c:pt idx="25">
                  <c:v>318376166.66666669</c:v>
                </c:pt>
                <c:pt idx="26">
                  <c:v>1264223233.3333333</c:v>
                </c:pt>
                <c:pt idx="27">
                  <c:v>536788466.66666669</c:v>
                </c:pt>
                <c:pt idx="28">
                  <c:v>1101902933.3333333</c:v>
                </c:pt>
                <c:pt idx="29">
                  <c:v>1302739600</c:v>
                </c:pt>
                <c:pt idx="30">
                  <c:v>910663133.33333337</c:v>
                </c:pt>
                <c:pt idx="31">
                  <c:v>468141600</c:v>
                </c:pt>
                <c:pt idx="32">
                  <c:v>240410300</c:v>
                </c:pt>
                <c:pt idx="33">
                  <c:v>542222833.33333337</c:v>
                </c:pt>
                <c:pt idx="34">
                  <c:v>227900666.66666666</c:v>
                </c:pt>
                <c:pt idx="35">
                  <c:v>861818566.66666663</c:v>
                </c:pt>
                <c:pt idx="36">
                  <c:v>479528900</c:v>
                </c:pt>
                <c:pt idx="37">
                  <c:v>285060533.33333331</c:v>
                </c:pt>
                <c:pt idx="38">
                  <c:v>861600666.66666663</c:v>
                </c:pt>
                <c:pt idx="39">
                  <c:v>1907691400</c:v>
                </c:pt>
                <c:pt idx="40">
                  <c:v>2286459366.6666665</c:v>
                </c:pt>
                <c:pt idx="41">
                  <c:v>1906285733.3333333</c:v>
                </c:pt>
                <c:pt idx="42">
                  <c:v>199153950</c:v>
                </c:pt>
                <c:pt idx="43">
                  <c:v>505509100</c:v>
                </c:pt>
                <c:pt idx="44">
                  <c:v>2286683800</c:v>
                </c:pt>
                <c:pt idx="45">
                  <c:v>1904422900</c:v>
                </c:pt>
                <c:pt idx="46">
                  <c:v>860050675</c:v>
                </c:pt>
                <c:pt idx="47">
                  <c:v>211565533.33333334</c:v>
                </c:pt>
                <c:pt idx="48">
                  <c:v>492633066.66666669</c:v>
                </c:pt>
                <c:pt idx="49">
                  <c:v>2286413866.6666665</c:v>
                </c:pt>
                <c:pt idx="50">
                  <c:v>1903691575</c:v>
                </c:pt>
                <c:pt idx="51">
                  <c:v>857122900</c:v>
                </c:pt>
                <c:pt idx="52">
                  <c:v>2295785700</c:v>
                </c:pt>
                <c:pt idx="53">
                  <c:v>1894458766.6666667</c:v>
                </c:pt>
                <c:pt idx="54">
                  <c:v>290444100</c:v>
                </c:pt>
                <c:pt idx="55">
                  <c:v>518650400</c:v>
                </c:pt>
                <c:pt idx="56">
                  <c:v>2276094466.6666665</c:v>
                </c:pt>
                <c:pt idx="57">
                  <c:v>890365266.66666663</c:v>
                </c:pt>
                <c:pt idx="58">
                  <c:v>1941288766.6666667</c:v>
                </c:pt>
                <c:pt idx="59">
                  <c:v>2312605200</c:v>
                </c:pt>
                <c:pt idx="60">
                  <c:v>864801433.33333337</c:v>
                </c:pt>
                <c:pt idx="61">
                  <c:v>409667166.66666669</c:v>
                </c:pt>
                <c:pt idx="62">
                  <c:v>365540933.33333331</c:v>
                </c:pt>
                <c:pt idx="63">
                  <c:v>1576273733.3333333</c:v>
                </c:pt>
                <c:pt idx="64">
                  <c:v>3624389600</c:v>
                </c:pt>
                <c:pt idx="65">
                  <c:v>831689033.33333337</c:v>
                </c:pt>
                <c:pt idx="66">
                  <c:v>1575515433.3333333</c:v>
                </c:pt>
                <c:pt idx="67">
                  <c:v>327846300</c:v>
                </c:pt>
                <c:pt idx="68">
                  <c:v>830202000</c:v>
                </c:pt>
                <c:pt idx="69">
                  <c:v>3613637500</c:v>
                </c:pt>
                <c:pt idx="70">
                  <c:v>1560727400</c:v>
                </c:pt>
                <c:pt idx="71">
                  <c:v>327745200</c:v>
                </c:pt>
                <c:pt idx="72">
                  <c:v>800013650</c:v>
                </c:pt>
                <c:pt idx="73">
                  <c:v>4330886566.666667</c:v>
                </c:pt>
                <c:pt idx="74">
                  <c:v>3612586800</c:v>
                </c:pt>
                <c:pt idx="75">
                  <c:v>4330123100</c:v>
                </c:pt>
                <c:pt idx="76">
                  <c:v>1585984050</c:v>
                </c:pt>
                <c:pt idx="77">
                  <c:v>205404466.66666666</c:v>
                </c:pt>
                <c:pt idx="78">
                  <c:v>751361366.66666663</c:v>
                </c:pt>
                <c:pt idx="79">
                  <c:v>4319387866.666667</c:v>
                </c:pt>
                <c:pt idx="80">
                  <c:v>3609872600</c:v>
                </c:pt>
                <c:pt idx="81">
                  <c:v>1623547600</c:v>
                </c:pt>
                <c:pt idx="82">
                  <c:v>4333759375</c:v>
                </c:pt>
                <c:pt idx="83">
                  <c:v>3597999400</c:v>
                </c:pt>
                <c:pt idx="84">
                  <c:v>53013133.333333336</c:v>
                </c:pt>
                <c:pt idx="85">
                  <c:v>535756633.33333331</c:v>
                </c:pt>
                <c:pt idx="86">
                  <c:v>4316327200</c:v>
                </c:pt>
                <c:pt idx="87">
                  <c:v>1608388300</c:v>
                </c:pt>
                <c:pt idx="88">
                  <c:v>3658141800</c:v>
                </c:pt>
                <c:pt idx="89">
                  <c:v>4330562066.666667</c:v>
                </c:pt>
                <c:pt idx="90">
                  <c:v>642472666.66666663</c:v>
                </c:pt>
                <c:pt idx="91">
                  <c:v>1538880600</c:v>
                </c:pt>
                <c:pt idx="92">
                  <c:v>598636933.33333337</c:v>
                </c:pt>
                <c:pt idx="93">
                  <c:v>1531753133.3333333</c:v>
                </c:pt>
                <c:pt idx="94">
                  <c:v>3019876566.6666665</c:v>
                </c:pt>
                <c:pt idx="95">
                  <c:v>586874900</c:v>
                </c:pt>
                <c:pt idx="96">
                  <c:v>1516143166.6666667</c:v>
                </c:pt>
                <c:pt idx="97">
                  <c:v>7053253033.333333</c:v>
                </c:pt>
                <c:pt idx="98">
                  <c:v>8444327100</c:v>
                </c:pt>
                <c:pt idx="99">
                  <c:v>3030052233.3333335</c:v>
                </c:pt>
                <c:pt idx="100">
                  <c:v>7050382966.666667</c:v>
                </c:pt>
                <c:pt idx="101">
                  <c:v>2971466500</c:v>
                </c:pt>
                <c:pt idx="102">
                  <c:v>544820400</c:v>
                </c:pt>
                <c:pt idx="103">
                  <c:v>1471029525</c:v>
                </c:pt>
                <c:pt idx="104">
                  <c:v>8425731566.666667</c:v>
                </c:pt>
                <c:pt idx="105">
                  <c:v>7031086200</c:v>
                </c:pt>
                <c:pt idx="106">
                  <c:v>2981155950</c:v>
                </c:pt>
                <c:pt idx="107">
                  <c:v>8421530600</c:v>
                </c:pt>
                <c:pt idx="108">
                  <c:v>433890366.66666669</c:v>
                </c:pt>
                <c:pt idx="109">
                  <c:v>1326604100</c:v>
                </c:pt>
                <c:pt idx="110">
                  <c:v>7021496400</c:v>
                </c:pt>
                <c:pt idx="111">
                  <c:v>2909847833.3333335</c:v>
                </c:pt>
                <c:pt idx="112">
                  <c:v>8414702800</c:v>
                </c:pt>
                <c:pt idx="113">
                  <c:v>7013627066.666667</c:v>
                </c:pt>
                <c:pt idx="114">
                  <c:v>18914166.666666668</c:v>
                </c:pt>
                <c:pt idx="115">
                  <c:v>780385666.66666663</c:v>
                </c:pt>
                <c:pt idx="116">
                  <c:v>8408959133.333333</c:v>
                </c:pt>
                <c:pt idx="117">
                  <c:v>2437474766.6666665</c:v>
                </c:pt>
                <c:pt idx="118">
                  <c:v>7088976233.333333</c:v>
                </c:pt>
                <c:pt idx="119">
                  <c:v>8500850433.333333</c:v>
                </c:pt>
                <c:pt idx="120">
                  <c:v>5852962200</c:v>
                </c:pt>
                <c:pt idx="121">
                  <c:v>1065085533.3333334</c:v>
                </c:pt>
                <c:pt idx="122">
                  <c:v>2961740966.6666665</c:v>
                </c:pt>
                <c:pt idx="123">
                  <c:v>1035054766.6666666</c:v>
                </c:pt>
                <c:pt idx="124">
                  <c:v>2944663533.3333335</c:v>
                </c:pt>
                <c:pt idx="125">
                  <c:v>5843744033.333333</c:v>
                </c:pt>
                <c:pt idx="126">
                  <c:v>1034230033.3333334</c:v>
                </c:pt>
                <c:pt idx="127">
                  <c:v>2902449300</c:v>
                </c:pt>
                <c:pt idx="128">
                  <c:v>13941057533.333334</c:v>
                </c:pt>
                <c:pt idx="129">
                  <c:v>5826554266.666667</c:v>
                </c:pt>
                <c:pt idx="130">
                  <c:v>16693384766.666666</c:v>
                </c:pt>
                <c:pt idx="131">
                  <c:v>13908287500</c:v>
                </c:pt>
                <c:pt idx="132">
                  <c:v>638713225</c:v>
                </c:pt>
                <c:pt idx="133">
                  <c:v>2815900400</c:v>
                </c:pt>
                <c:pt idx="134">
                  <c:v>16649216200</c:v>
                </c:pt>
                <c:pt idx="135">
                  <c:v>13890168266.666666</c:v>
                </c:pt>
                <c:pt idx="136">
                  <c:v>5800124450</c:v>
                </c:pt>
                <c:pt idx="137">
                  <c:v>678992100</c:v>
                </c:pt>
                <c:pt idx="138">
                  <c:v>2590027933.3333335</c:v>
                </c:pt>
                <c:pt idx="139">
                  <c:v>16574051666.666666</c:v>
                </c:pt>
                <c:pt idx="140">
                  <c:v>13856924350</c:v>
                </c:pt>
                <c:pt idx="141">
                  <c:v>5678315966.666667</c:v>
                </c:pt>
                <c:pt idx="142">
                  <c:v>16602629250</c:v>
                </c:pt>
                <c:pt idx="143">
                  <c:v>13809938833.333334</c:v>
                </c:pt>
                <c:pt idx="144">
                  <c:v>30628566.666666668</c:v>
                </c:pt>
                <c:pt idx="145">
                  <c:v>860025933.33333337</c:v>
                </c:pt>
                <c:pt idx="146">
                  <c:v>16533514566.666666</c:v>
                </c:pt>
                <c:pt idx="147">
                  <c:v>5035459600</c:v>
                </c:pt>
                <c:pt idx="148">
                  <c:v>13547292966.666666</c:v>
                </c:pt>
                <c:pt idx="149">
                  <c:v>16558188933.333334</c:v>
                </c:pt>
              </c:numCache>
            </c:numRef>
          </c:val>
          <c:extLst>
            <c:ext xmlns:c16="http://schemas.microsoft.com/office/drawing/2014/chart" uri="{C3380CC4-5D6E-409C-BE32-E72D297353CC}">
              <c16:uniqueId val="{00000001-C6A7-4C05-8413-4CD08D8B4A0E}"/>
            </c:ext>
          </c:extLst>
        </c:ser>
        <c:ser>
          <c:idx val="2"/>
          <c:order val="2"/>
          <c:tx>
            <c:strRef>
              <c:f>avg!$M$1</c:f>
              <c:strCache>
                <c:ptCount val="1"/>
                <c:pt idx="0">
                  <c:v>gpu_M2L_computation_time</c:v>
                </c:pt>
              </c:strCache>
            </c:strRef>
          </c:tx>
          <c:spPr>
            <a:solidFill>
              <a:srgbClr val="FF0000"/>
            </a:solidFill>
            <a:ln>
              <a:noFill/>
            </a:ln>
            <a:effectLst/>
          </c:spPr>
          <c:invertIfNegative val="0"/>
          <c:val>
            <c:numRef>
              <c:f>avg!$M$2:$M$151</c:f>
              <c:numCache>
                <c:formatCode>General</c:formatCode>
                <c:ptCount val="150"/>
                <c:pt idx="0">
                  <c:v>150198300</c:v>
                </c:pt>
                <c:pt idx="1">
                  <c:v>49881800</c:v>
                </c:pt>
                <c:pt idx="2">
                  <c:v>234536200</c:v>
                </c:pt>
                <c:pt idx="3">
                  <c:v>80790800</c:v>
                </c:pt>
                <c:pt idx="4">
                  <c:v>379075400</c:v>
                </c:pt>
                <c:pt idx="5">
                  <c:v>98950433.333333328</c:v>
                </c:pt>
                <c:pt idx="6">
                  <c:v>136306800</c:v>
                </c:pt>
                <c:pt idx="7">
                  <c:v>283364633.33333331</c:v>
                </c:pt>
                <c:pt idx="8">
                  <c:v>143161800</c:v>
                </c:pt>
                <c:pt idx="9">
                  <c:v>314276533.33333331</c:v>
                </c:pt>
                <c:pt idx="10">
                  <c:v>375944533.33333331</c:v>
                </c:pt>
                <c:pt idx="11">
                  <c:v>466548366.66666669</c:v>
                </c:pt>
                <c:pt idx="12">
                  <c:v>785810775</c:v>
                </c:pt>
                <c:pt idx="13">
                  <c:v>280214825</c:v>
                </c:pt>
                <c:pt idx="14">
                  <c:v>537211600</c:v>
                </c:pt>
                <c:pt idx="15">
                  <c:v>415485166.66666669</c:v>
                </c:pt>
                <c:pt idx="16">
                  <c:v>1067321950</c:v>
                </c:pt>
                <c:pt idx="17">
                  <c:v>598120100</c:v>
                </c:pt>
                <c:pt idx="18">
                  <c:v>1786360966.6666667</c:v>
                </c:pt>
                <c:pt idx="19">
                  <c:v>591385000</c:v>
                </c:pt>
                <c:pt idx="20">
                  <c:v>996323200</c:v>
                </c:pt>
                <c:pt idx="21">
                  <c:v>1863880266.6666667</c:v>
                </c:pt>
                <c:pt idx="22">
                  <c:v>887710525</c:v>
                </c:pt>
                <c:pt idx="23">
                  <c:v>1817565766.6666667</c:v>
                </c:pt>
                <c:pt idx="24">
                  <c:v>1373503966.6666667</c:v>
                </c:pt>
                <c:pt idx="25">
                  <c:v>4334183866.666667</c:v>
                </c:pt>
                <c:pt idx="26">
                  <c:v>1346338400</c:v>
                </c:pt>
                <c:pt idx="27">
                  <c:v>2854343633.3333335</c:v>
                </c:pt>
                <c:pt idx="28">
                  <c:v>833323800</c:v>
                </c:pt>
                <c:pt idx="29">
                  <c:v>147498366.66666666</c:v>
                </c:pt>
                <c:pt idx="30">
                  <c:v>445931533.33333331</c:v>
                </c:pt>
                <c:pt idx="31">
                  <c:v>133447400</c:v>
                </c:pt>
                <c:pt idx="32">
                  <c:v>49700300</c:v>
                </c:pt>
                <c:pt idx="33">
                  <c:v>367819433.33333331</c:v>
                </c:pt>
                <c:pt idx="34">
                  <c:v>135683533.33333334</c:v>
                </c:pt>
                <c:pt idx="35">
                  <c:v>713420633.33333337</c:v>
                </c:pt>
                <c:pt idx="36">
                  <c:v>618408333.33333337</c:v>
                </c:pt>
                <c:pt idx="37">
                  <c:v>223053833.33333334</c:v>
                </c:pt>
                <c:pt idx="38">
                  <c:v>1244740300</c:v>
                </c:pt>
                <c:pt idx="39">
                  <c:v>237852700</c:v>
                </c:pt>
                <c:pt idx="40">
                  <c:v>279726766.66666669</c:v>
                </c:pt>
                <c:pt idx="41">
                  <c:v>709531233.33333337</c:v>
                </c:pt>
                <c:pt idx="42">
                  <c:v>496576900</c:v>
                </c:pt>
                <c:pt idx="43">
                  <c:v>1486764150</c:v>
                </c:pt>
                <c:pt idx="44">
                  <c:v>774438500</c:v>
                </c:pt>
                <c:pt idx="45">
                  <c:v>1150031566.6666667</c:v>
                </c:pt>
                <c:pt idx="46">
                  <c:v>2654228725</c:v>
                </c:pt>
                <c:pt idx="47">
                  <c:v>1116098833.3333333</c:v>
                </c:pt>
                <c:pt idx="48">
                  <c:v>3516820933.3333335</c:v>
                </c:pt>
                <c:pt idx="49">
                  <c:v>1039651166.6666666</c:v>
                </c:pt>
                <c:pt idx="50">
                  <c:v>2685934950</c:v>
                </c:pt>
                <c:pt idx="51">
                  <c:v>6142970800</c:v>
                </c:pt>
                <c:pt idx="52">
                  <c:v>1881097550</c:v>
                </c:pt>
                <c:pt idx="53">
                  <c:v>4608259400</c:v>
                </c:pt>
                <c:pt idx="54">
                  <c:v>2783116533.3333335</c:v>
                </c:pt>
                <c:pt idx="55">
                  <c:v>8992298300</c:v>
                </c:pt>
                <c:pt idx="56">
                  <c:v>3587295400</c:v>
                </c:pt>
                <c:pt idx="57">
                  <c:v>15151801866.666666</c:v>
                </c:pt>
                <c:pt idx="58">
                  <c:v>7049427733.333333</c:v>
                </c:pt>
                <c:pt idx="59">
                  <c:v>1594980133.3333333</c:v>
                </c:pt>
                <c:pt idx="60">
                  <c:v>217865700</c:v>
                </c:pt>
                <c:pt idx="61">
                  <c:v>77967733.333333328</c:v>
                </c:pt>
                <c:pt idx="62">
                  <c:v>242392400</c:v>
                </c:pt>
                <c:pt idx="63">
                  <c:v>452559100</c:v>
                </c:pt>
                <c:pt idx="64">
                  <c:v>1143372266.6666667</c:v>
                </c:pt>
                <c:pt idx="65">
                  <c:v>727050666.66666663</c:v>
                </c:pt>
                <c:pt idx="66">
                  <c:v>1289371633.3333333</c:v>
                </c:pt>
                <c:pt idx="67">
                  <c:v>402250400</c:v>
                </c:pt>
                <c:pt idx="68">
                  <c:v>1244338833.3333333</c:v>
                </c:pt>
                <c:pt idx="69">
                  <c:v>1804174466.6666667</c:v>
                </c:pt>
                <c:pt idx="70">
                  <c:v>2148365233.3333335</c:v>
                </c:pt>
                <c:pt idx="71">
                  <c:v>1058600700</c:v>
                </c:pt>
                <c:pt idx="72">
                  <c:v>3390228425</c:v>
                </c:pt>
                <c:pt idx="73">
                  <c:v>467587700</c:v>
                </c:pt>
                <c:pt idx="74">
                  <c:v>3142707566.6666665</c:v>
                </c:pt>
                <c:pt idx="75">
                  <c:v>1310952500</c:v>
                </c:pt>
                <c:pt idx="76">
                  <c:v>5156296200</c:v>
                </c:pt>
                <c:pt idx="77">
                  <c:v>2343917266.6666665</c:v>
                </c:pt>
                <c:pt idx="78">
                  <c:v>7597148600</c:v>
                </c:pt>
                <c:pt idx="79">
                  <c:v>2269485666.6666665</c:v>
                </c:pt>
                <c:pt idx="80">
                  <c:v>6717848050</c:v>
                </c:pt>
                <c:pt idx="81">
                  <c:v>12504804133.333334</c:v>
                </c:pt>
                <c:pt idx="82">
                  <c:v>5283356925</c:v>
                </c:pt>
                <c:pt idx="83">
                  <c:v>15360929133.333334</c:v>
                </c:pt>
                <c:pt idx="84">
                  <c:v>8000428666.666667</c:v>
                </c:pt>
                <c:pt idx="85">
                  <c:v>26332724400</c:v>
                </c:pt>
                <c:pt idx="86">
                  <c:v>9045806200</c:v>
                </c:pt>
                <c:pt idx="87">
                  <c:v>31227386200</c:v>
                </c:pt>
                <c:pt idx="88">
                  <c:v>37874484933.333336</c:v>
                </c:pt>
                <c:pt idx="89">
                  <c:v>13555697700</c:v>
                </c:pt>
                <c:pt idx="90">
                  <c:v>309963200</c:v>
                </c:pt>
                <c:pt idx="91">
                  <c:v>1018991866.6666666</c:v>
                </c:pt>
                <c:pt idx="92">
                  <c:v>518152733.33333331</c:v>
                </c:pt>
                <c:pt idx="93">
                  <c:v>1713619833.3333333</c:v>
                </c:pt>
                <c:pt idx="94">
                  <c:v>760920033.33333337</c:v>
                </c:pt>
                <c:pt idx="95">
                  <c:v>959294600</c:v>
                </c:pt>
                <c:pt idx="96">
                  <c:v>3148373133.3333335</c:v>
                </c:pt>
                <c:pt idx="97">
                  <c:v>1140718266.6666667</c:v>
                </c:pt>
                <c:pt idx="98">
                  <c:v>2257515866.6666665</c:v>
                </c:pt>
                <c:pt idx="99">
                  <c:v>2500516933.3333335</c:v>
                </c:pt>
                <c:pt idx="100">
                  <c:v>3257003133.3333335</c:v>
                </c:pt>
                <c:pt idx="101">
                  <c:v>4304325366.666667</c:v>
                </c:pt>
                <c:pt idx="102">
                  <c:v>2368525425</c:v>
                </c:pt>
                <c:pt idx="103">
                  <c:v>7772265400</c:v>
                </c:pt>
                <c:pt idx="104">
                  <c:v>3686171533.3333335</c:v>
                </c:pt>
                <c:pt idx="105">
                  <c:v>5413960000</c:v>
                </c:pt>
                <c:pt idx="106">
                  <c:v>12001145675</c:v>
                </c:pt>
                <c:pt idx="107">
                  <c:v>6325510033.333333</c:v>
                </c:pt>
                <c:pt idx="108">
                  <c:v>6281690300</c:v>
                </c:pt>
                <c:pt idx="109">
                  <c:v>20795317033.333332</c:v>
                </c:pt>
                <c:pt idx="110">
                  <c:v>12734490825</c:v>
                </c:pt>
                <c:pt idx="111">
                  <c:v>26612369766.666668</c:v>
                </c:pt>
                <c:pt idx="112">
                  <c:v>13216683550</c:v>
                </c:pt>
                <c:pt idx="113">
                  <c:v>31398194066.666668</c:v>
                </c:pt>
                <c:pt idx="114">
                  <c:v>25249610433.333332</c:v>
                </c:pt>
                <c:pt idx="115">
                  <c:v>83150078633.333328</c:v>
                </c:pt>
                <c:pt idx="116">
                  <c:v>29882589066.666668</c:v>
                </c:pt>
                <c:pt idx="117">
                  <c:v>92756178866.666672</c:v>
                </c:pt>
                <c:pt idx="118">
                  <c:v>77684335033.333328</c:v>
                </c:pt>
                <c:pt idx="119">
                  <c:v>73830892300</c:v>
                </c:pt>
                <c:pt idx="120">
                  <c:v>3603665733.3333335</c:v>
                </c:pt>
                <c:pt idx="121">
                  <c:v>307711933.33333331</c:v>
                </c:pt>
                <c:pt idx="122">
                  <c:v>1013375600</c:v>
                </c:pt>
                <c:pt idx="123">
                  <c:v>901705233.33333337</c:v>
                </c:pt>
                <c:pt idx="124">
                  <c:v>2931585300</c:v>
                </c:pt>
                <c:pt idx="125">
                  <c:v>5740431000</c:v>
                </c:pt>
                <c:pt idx="126">
                  <c:v>1597483333.3333333</c:v>
                </c:pt>
                <c:pt idx="127">
                  <c:v>5294075366.666667</c:v>
                </c:pt>
                <c:pt idx="128">
                  <c:v>1919104500</c:v>
                </c:pt>
                <c:pt idx="129">
                  <c:v>11122932166.666666</c:v>
                </c:pt>
                <c:pt idx="130">
                  <c:v>2258592100</c:v>
                </c:pt>
                <c:pt idx="131">
                  <c:v>6040322133.333333</c:v>
                </c:pt>
                <c:pt idx="132">
                  <c:v>4400409475</c:v>
                </c:pt>
                <c:pt idx="133">
                  <c:v>14503695200</c:v>
                </c:pt>
                <c:pt idx="134">
                  <c:v>6438524433.333333</c:v>
                </c:pt>
                <c:pt idx="135">
                  <c:v>11027674233.333334</c:v>
                </c:pt>
                <c:pt idx="136">
                  <c:v>27644025700</c:v>
                </c:pt>
                <c:pt idx="137">
                  <c:v>11636015033.333334</c:v>
                </c:pt>
                <c:pt idx="138">
                  <c:v>38442308300</c:v>
                </c:pt>
                <c:pt idx="139">
                  <c:v>10466287266.666666</c:v>
                </c:pt>
                <c:pt idx="140">
                  <c:v>30527849550</c:v>
                </c:pt>
                <c:pt idx="141">
                  <c:v>73683119400</c:v>
                </c:pt>
                <c:pt idx="142">
                  <c:v>24394964100</c:v>
                </c:pt>
                <c:pt idx="143">
                  <c:v>66320972200</c:v>
                </c:pt>
                <c:pt idx="144">
                  <c:v>43975618000</c:v>
                </c:pt>
                <c:pt idx="145">
                  <c:v>144154079600</c:v>
                </c:pt>
                <c:pt idx="146">
                  <c:v>62050013833.333336</c:v>
                </c:pt>
                <c:pt idx="147">
                  <c:v>296576130333.33331</c:v>
                </c:pt>
                <c:pt idx="148">
                  <c:v>231008644500</c:v>
                </c:pt>
                <c:pt idx="149">
                  <c:v>151624285733.33334</c:v>
                </c:pt>
              </c:numCache>
            </c:numRef>
          </c:val>
          <c:extLst>
            <c:ext xmlns:c16="http://schemas.microsoft.com/office/drawing/2014/chart" uri="{C3380CC4-5D6E-409C-BE32-E72D297353CC}">
              <c16:uniqueId val="{00000002-C6A7-4C05-8413-4CD08D8B4A0E}"/>
            </c:ext>
          </c:extLst>
        </c:ser>
        <c:ser>
          <c:idx val="3"/>
          <c:order val="3"/>
          <c:tx>
            <c:strRef>
              <c:f>avg!$O$1</c:f>
              <c:strCache>
                <c:ptCount val="1"/>
                <c:pt idx="0">
                  <c:v>gpu_P2P_transfer_time</c:v>
                </c:pt>
              </c:strCache>
            </c:strRef>
          </c:tx>
          <c:spPr>
            <a:solidFill>
              <a:srgbClr val="00B050"/>
            </a:solidFill>
            <a:ln>
              <a:noFill/>
            </a:ln>
            <a:effectLst/>
          </c:spPr>
          <c:invertIfNegative val="0"/>
          <c:val>
            <c:numRef>
              <c:f>avg!$O$2:$O$151</c:f>
              <c:numCache>
                <c:formatCode>General</c:formatCode>
                <c:ptCount val="150"/>
                <c:pt idx="0">
                  <c:v>86966.666666666672</c:v>
                </c:pt>
                <c:pt idx="1">
                  <c:v>76133.333333333328</c:v>
                </c:pt>
                <c:pt idx="2">
                  <c:v>73900</c:v>
                </c:pt>
                <c:pt idx="3">
                  <c:v>57000</c:v>
                </c:pt>
                <c:pt idx="4">
                  <c:v>78133.333333333328</c:v>
                </c:pt>
                <c:pt idx="5">
                  <c:v>93700</c:v>
                </c:pt>
                <c:pt idx="6">
                  <c:v>60966.666666666664</c:v>
                </c:pt>
                <c:pt idx="7">
                  <c:v>44966.666666666664</c:v>
                </c:pt>
                <c:pt idx="8">
                  <c:v>74300</c:v>
                </c:pt>
                <c:pt idx="9">
                  <c:v>72766.666666666672</c:v>
                </c:pt>
                <c:pt idx="10">
                  <c:v>87066.666666666672</c:v>
                </c:pt>
                <c:pt idx="11">
                  <c:v>73166.666666666672</c:v>
                </c:pt>
                <c:pt idx="12">
                  <c:v>114700</c:v>
                </c:pt>
                <c:pt idx="13">
                  <c:v>108375</c:v>
                </c:pt>
                <c:pt idx="14">
                  <c:v>80200</c:v>
                </c:pt>
                <c:pt idx="15">
                  <c:v>78100</c:v>
                </c:pt>
                <c:pt idx="16">
                  <c:v>100325</c:v>
                </c:pt>
                <c:pt idx="17">
                  <c:v>186200</c:v>
                </c:pt>
                <c:pt idx="18">
                  <c:v>184966.66666666666</c:v>
                </c:pt>
                <c:pt idx="19">
                  <c:v>90266.666666666672</c:v>
                </c:pt>
                <c:pt idx="20">
                  <c:v>82075</c:v>
                </c:pt>
                <c:pt idx="21">
                  <c:v>131533.33333333334</c:v>
                </c:pt>
                <c:pt idx="22">
                  <c:v>92600</c:v>
                </c:pt>
                <c:pt idx="23">
                  <c:v>93100</c:v>
                </c:pt>
                <c:pt idx="24">
                  <c:v>848533.33333333337</c:v>
                </c:pt>
                <c:pt idx="25">
                  <c:v>2552266.6666666665</c:v>
                </c:pt>
                <c:pt idx="26">
                  <c:v>77933.333333333328</c:v>
                </c:pt>
                <c:pt idx="27">
                  <c:v>495933.33333333331</c:v>
                </c:pt>
                <c:pt idx="28">
                  <c:v>148233.33333333334</c:v>
                </c:pt>
                <c:pt idx="29">
                  <c:v>75633.333333333328</c:v>
                </c:pt>
                <c:pt idx="30">
                  <c:v>87633.333333333328</c:v>
                </c:pt>
                <c:pt idx="31">
                  <c:v>133133.33333333334</c:v>
                </c:pt>
                <c:pt idx="32">
                  <c:v>108933.33333333333</c:v>
                </c:pt>
                <c:pt idx="33">
                  <c:v>152533.33333333334</c:v>
                </c:pt>
                <c:pt idx="34">
                  <c:v>147633.33333333334</c:v>
                </c:pt>
                <c:pt idx="35">
                  <c:v>79833.333333333328</c:v>
                </c:pt>
                <c:pt idx="36">
                  <c:v>167300</c:v>
                </c:pt>
                <c:pt idx="37">
                  <c:v>179166.66666666666</c:v>
                </c:pt>
                <c:pt idx="38">
                  <c:v>82866.666666666672</c:v>
                </c:pt>
                <c:pt idx="39">
                  <c:v>73633.333333333328</c:v>
                </c:pt>
                <c:pt idx="40">
                  <c:v>67300</c:v>
                </c:pt>
                <c:pt idx="41">
                  <c:v>71966.666666666672</c:v>
                </c:pt>
                <c:pt idx="42">
                  <c:v>245925</c:v>
                </c:pt>
                <c:pt idx="43">
                  <c:v>243500</c:v>
                </c:pt>
                <c:pt idx="44">
                  <c:v>88966.666666666672</c:v>
                </c:pt>
                <c:pt idx="45">
                  <c:v>72966.666666666672</c:v>
                </c:pt>
                <c:pt idx="46">
                  <c:v>122600</c:v>
                </c:pt>
                <c:pt idx="47">
                  <c:v>607833.33333333337</c:v>
                </c:pt>
                <c:pt idx="48">
                  <c:v>590433.33333333337</c:v>
                </c:pt>
                <c:pt idx="49">
                  <c:v>88533.333333333328</c:v>
                </c:pt>
                <c:pt idx="50">
                  <c:v>104000</c:v>
                </c:pt>
                <c:pt idx="51">
                  <c:v>192366.66666666666</c:v>
                </c:pt>
                <c:pt idx="52">
                  <c:v>81750</c:v>
                </c:pt>
                <c:pt idx="53">
                  <c:v>163400</c:v>
                </c:pt>
                <c:pt idx="54">
                  <c:v>2360533.3333333335</c:v>
                </c:pt>
                <c:pt idx="55">
                  <c:v>4300133.333333333</c:v>
                </c:pt>
                <c:pt idx="56">
                  <c:v>116700</c:v>
                </c:pt>
                <c:pt idx="57">
                  <c:v>926033.33333333337</c:v>
                </c:pt>
                <c:pt idx="58">
                  <c:v>482600</c:v>
                </c:pt>
                <c:pt idx="59">
                  <c:v>171733.33333333334</c:v>
                </c:pt>
                <c:pt idx="60">
                  <c:v>135400</c:v>
                </c:pt>
                <c:pt idx="61">
                  <c:v>119666.66666666667</c:v>
                </c:pt>
                <c:pt idx="62">
                  <c:v>156933.33333333334</c:v>
                </c:pt>
                <c:pt idx="63">
                  <c:v>129033.33333333333</c:v>
                </c:pt>
                <c:pt idx="64">
                  <c:v>88433.333333333328</c:v>
                </c:pt>
                <c:pt idx="65">
                  <c:v>181000</c:v>
                </c:pt>
                <c:pt idx="66">
                  <c:v>157533.33333333334</c:v>
                </c:pt>
                <c:pt idx="67">
                  <c:v>205933.33333333334</c:v>
                </c:pt>
                <c:pt idx="68">
                  <c:v>226900</c:v>
                </c:pt>
                <c:pt idx="69">
                  <c:v>81866.666666666672</c:v>
                </c:pt>
                <c:pt idx="70">
                  <c:v>173900</c:v>
                </c:pt>
                <c:pt idx="71">
                  <c:v>555550</c:v>
                </c:pt>
                <c:pt idx="72">
                  <c:v>572375</c:v>
                </c:pt>
                <c:pt idx="73">
                  <c:v>94200</c:v>
                </c:pt>
                <c:pt idx="74">
                  <c:v>106500</c:v>
                </c:pt>
                <c:pt idx="75">
                  <c:v>71166.666666666672</c:v>
                </c:pt>
                <c:pt idx="76">
                  <c:v>259625</c:v>
                </c:pt>
                <c:pt idx="77">
                  <c:v>1271300</c:v>
                </c:pt>
                <c:pt idx="78">
                  <c:v>1268166.6666666667</c:v>
                </c:pt>
                <c:pt idx="79">
                  <c:v>116766.66666666667</c:v>
                </c:pt>
                <c:pt idx="80">
                  <c:v>133150</c:v>
                </c:pt>
                <c:pt idx="81">
                  <c:v>663366.66666666663</c:v>
                </c:pt>
                <c:pt idx="82">
                  <c:v>127425</c:v>
                </c:pt>
                <c:pt idx="83">
                  <c:v>219566.66666666666</c:v>
                </c:pt>
                <c:pt idx="84">
                  <c:v>7909366.666666667</c:v>
                </c:pt>
                <c:pt idx="85">
                  <c:v>7503366.666666667</c:v>
                </c:pt>
                <c:pt idx="86">
                  <c:v>176266.66666666666</c:v>
                </c:pt>
                <c:pt idx="87">
                  <c:v>2567300</c:v>
                </c:pt>
                <c:pt idx="88">
                  <c:v>959733.33333333337</c:v>
                </c:pt>
                <c:pt idx="89">
                  <c:v>527466.66666666663</c:v>
                </c:pt>
                <c:pt idx="90">
                  <c:v>78900</c:v>
                </c:pt>
                <c:pt idx="91">
                  <c:v>90266.666666666672</c:v>
                </c:pt>
                <c:pt idx="92">
                  <c:v>136633.33333333334</c:v>
                </c:pt>
                <c:pt idx="93">
                  <c:v>146466.66666666666</c:v>
                </c:pt>
                <c:pt idx="94">
                  <c:v>164666.66666666666</c:v>
                </c:pt>
                <c:pt idx="95">
                  <c:v>380066.66666666669</c:v>
                </c:pt>
                <c:pt idx="96">
                  <c:v>401833.33333333331</c:v>
                </c:pt>
                <c:pt idx="97">
                  <c:v>138300</c:v>
                </c:pt>
                <c:pt idx="98">
                  <c:v>99100</c:v>
                </c:pt>
                <c:pt idx="99">
                  <c:v>183500</c:v>
                </c:pt>
                <c:pt idx="100">
                  <c:v>164166.66666666666</c:v>
                </c:pt>
                <c:pt idx="101">
                  <c:v>238800</c:v>
                </c:pt>
                <c:pt idx="102">
                  <c:v>846850</c:v>
                </c:pt>
                <c:pt idx="103">
                  <c:v>854450</c:v>
                </c:pt>
                <c:pt idx="104">
                  <c:v>89400</c:v>
                </c:pt>
                <c:pt idx="105">
                  <c:v>188033.33333333334</c:v>
                </c:pt>
                <c:pt idx="106">
                  <c:v>577650</c:v>
                </c:pt>
                <c:pt idx="107">
                  <c:v>101800</c:v>
                </c:pt>
                <c:pt idx="108">
                  <c:v>2266033.3333333335</c:v>
                </c:pt>
                <c:pt idx="109">
                  <c:v>2194766.6666666665</c:v>
                </c:pt>
                <c:pt idx="110">
                  <c:v>264225</c:v>
                </c:pt>
                <c:pt idx="111">
                  <c:v>1332100</c:v>
                </c:pt>
                <c:pt idx="112">
                  <c:v>126600</c:v>
                </c:pt>
                <c:pt idx="113">
                  <c:v>651566.66666666663</c:v>
                </c:pt>
                <c:pt idx="114">
                  <c:v>10060133.333333334</c:v>
                </c:pt>
                <c:pt idx="115">
                  <c:v>10860933.333333334</c:v>
                </c:pt>
                <c:pt idx="116">
                  <c:v>200800</c:v>
                </c:pt>
                <c:pt idx="117">
                  <c:v>5664166.666666667</c:v>
                </c:pt>
                <c:pt idx="118">
                  <c:v>2606066.6666666665</c:v>
                </c:pt>
                <c:pt idx="119">
                  <c:v>919066.66666666663</c:v>
                </c:pt>
                <c:pt idx="120">
                  <c:v>114866.66666666667</c:v>
                </c:pt>
                <c:pt idx="121">
                  <c:v>151933.33333333334</c:v>
                </c:pt>
                <c:pt idx="122">
                  <c:v>157266.66666666666</c:v>
                </c:pt>
                <c:pt idx="123">
                  <c:v>410833.33333333331</c:v>
                </c:pt>
                <c:pt idx="124">
                  <c:v>443133.33333333331</c:v>
                </c:pt>
                <c:pt idx="125">
                  <c:v>163000</c:v>
                </c:pt>
                <c:pt idx="126">
                  <c:v>753100</c:v>
                </c:pt>
                <c:pt idx="127">
                  <c:v>758933.33333333337</c:v>
                </c:pt>
                <c:pt idx="128">
                  <c:v>166366.66666666666</c:v>
                </c:pt>
                <c:pt idx="129">
                  <c:v>401833.33333333331</c:v>
                </c:pt>
                <c:pt idx="130">
                  <c:v>143700</c:v>
                </c:pt>
                <c:pt idx="131">
                  <c:v>189366.66666666666</c:v>
                </c:pt>
                <c:pt idx="132">
                  <c:v>2013575</c:v>
                </c:pt>
                <c:pt idx="133">
                  <c:v>2085300</c:v>
                </c:pt>
                <c:pt idx="134">
                  <c:v>156933.33333333334</c:v>
                </c:pt>
                <c:pt idx="135">
                  <c:v>252200</c:v>
                </c:pt>
                <c:pt idx="136">
                  <c:v>894150</c:v>
                </c:pt>
                <c:pt idx="137">
                  <c:v>4897500</c:v>
                </c:pt>
                <c:pt idx="138">
                  <c:v>5193266.666666667</c:v>
                </c:pt>
                <c:pt idx="139">
                  <c:v>193866.66666666666</c:v>
                </c:pt>
                <c:pt idx="140">
                  <c:v>596625</c:v>
                </c:pt>
                <c:pt idx="141">
                  <c:v>2386533.3333333335</c:v>
                </c:pt>
                <c:pt idx="142">
                  <c:v>273275</c:v>
                </c:pt>
                <c:pt idx="143">
                  <c:v>1550866.6666666667</c:v>
                </c:pt>
                <c:pt idx="144">
                  <c:v>28451566.666666668</c:v>
                </c:pt>
                <c:pt idx="145">
                  <c:v>29017333.333333332</c:v>
                </c:pt>
                <c:pt idx="146">
                  <c:v>639733.33333333337</c:v>
                </c:pt>
                <c:pt idx="147">
                  <c:v>9633533.333333334</c:v>
                </c:pt>
                <c:pt idx="148">
                  <c:v>5930200</c:v>
                </c:pt>
                <c:pt idx="149">
                  <c:v>2563533.3333333335</c:v>
                </c:pt>
              </c:numCache>
            </c:numRef>
          </c:val>
          <c:extLst>
            <c:ext xmlns:c16="http://schemas.microsoft.com/office/drawing/2014/chart" uri="{C3380CC4-5D6E-409C-BE32-E72D297353CC}">
              <c16:uniqueId val="{00000003-C6A7-4C05-8413-4CD08D8B4A0E}"/>
            </c:ext>
          </c:extLst>
        </c:ser>
        <c:ser>
          <c:idx val="4"/>
          <c:order val="4"/>
          <c:tx>
            <c:strRef>
              <c:f>avg!$P$1</c:f>
              <c:strCache>
                <c:ptCount val="1"/>
                <c:pt idx="0">
                  <c:v>gpu_P2P_computation_time</c:v>
                </c:pt>
              </c:strCache>
            </c:strRef>
          </c:tx>
          <c:spPr>
            <a:solidFill>
              <a:srgbClr val="00B0F0"/>
            </a:solidFill>
            <a:ln>
              <a:noFill/>
            </a:ln>
            <a:effectLst/>
          </c:spPr>
          <c:invertIfNegative val="0"/>
          <c:val>
            <c:numRef>
              <c:f>avg!$P$2:$P$151</c:f>
              <c:numCache>
                <c:formatCode>General</c:formatCode>
                <c:ptCount val="150"/>
                <c:pt idx="0">
                  <c:v>21423633.333333332</c:v>
                </c:pt>
                <c:pt idx="1">
                  <c:v>24801966.666666668</c:v>
                </c:pt>
                <c:pt idx="2">
                  <c:v>63860333.333333336</c:v>
                </c:pt>
                <c:pt idx="3">
                  <c:v>74643366.666666672</c:v>
                </c:pt>
                <c:pt idx="4">
                  <c:v>105301600</c:v>
                </c:pt>
                <c:pt idx="5">
                  <c:v>106587300</c:v>
                </c:pt>
                <c:pt idx="6">
                  <c:v>122301366.66666667</c:v>
                </c:pt>
                <c:pt idx="7">
                  <c:v>141461766.66666666</c:v>
                </c:pt>
                <c:pt idx="8">
                  <c:v>141587200</c:v>
                </c:pt>
                <c:pt idx="9">
                  <c:v>142448200</c:v>
                </c:pt>
                <c:pt idx="10">
                  <c:v>254781133.33333334</c:v>
                </c:pt>
                <c:pt idx="11">
                  <c:v>280821466.66666669</c:v>
                </c:pt>
                <c:pt idx="12">
                  <c:v>294747025</c:v>
                </c:pt>
                <c:pt idx="13">
                  <c:v>297315575</c:v>
                </c:pt>
                <c:pt idx="14">
                  <c:v>480683366.66666669</c:v>
                </c:pt>
                <c:pt idx="15">
                  <c:v>521200700</c:v>
                </c:pt>
                <c:pt idx="16">
                  <c:v>639837000</c:v>
                </c:pt>
                <c:pt idx="17">
                  <c:v>728269400</c:v>
                </c:pt>
                <c:pt idx="18">
                  <c:v>754376300</c:v>
                </c:pt>
                <c:pt idx="19">
                  <c:v>766461766.66666663</c:v>
                </c:pt>
                <c:pt idx="20">
                  <c:v>1201412925</c:v>
                </c:pt>
                <c:pt idx="21">
                  <c:v>1626856900</c:v>
                </c:pt>
                <c:pt idx="22">
                  <c:v>1836563100</c:v>
                </c:pt>
                <c:pt idx="23">
                  <c:v>2609693800</c:v>
                </c:pt>
                <c:pt idx="24">
                  <c:v>2721066766.6666665</c:v>
                </c:pt>
                <c:pt idx="25">
                  <c:v>2812128566.6666665</c:v>
                </c:pt>
                <c:pt idx="26">
                  <c:v>4105494600</c:v>
                </c:pt>
                <c:pt idx="27">
                  <c:v>5400274766.666667</c:v>
                </c:pt>
                <c:pt idx="28">
                  <c:v>7550143300</c:v>
                </c:pt>
                <c:pt idx="29">
                  <c:v>8558076366.666667</c:v>
                </c:pt>
                <c:pt idx="30">
                  <c:v>73060866.666666672</c:v>
                </c:pt>
                <c:pt idx="31">
                  <c:v>73307466.666666672</c:v>
                </c:pt>
                <c:pt idx="32">
                  <c:v>88271833.333333328</c:v>
                </c:pt>
                <c:pt idx="33">
                  <c:v>130258200</c:v>
                </c:pt>
                <c:pt idx="34">
                  <c:v>143368800</c:v>
                </c:pt>
                <c:pt idx="35">
                  <c:v>250483966.66666666</c:v>
                </c:pt>
                <c:pt idx="36">
                  <c:v>265056966.66666666</c:v>
                </c:pt>
                <c:pt idx="37">
                  <c:v>271327266.66666669</c:v>
                </c:pt>
                <c:pt idx="38">
                  <c:v>416680866.66666669</c:v>
                </c:pt>
                <c:pt idx="39">
                  <c:v>418800266.66666669</c:v>
                </c:pt>
                <c:pt idx="40">
                  <c:v>560661400</c:v>
                </c:pt>
                <c:pt idx="41">
                  <c:v>615082133.33333337</c:v>
                </c:pt>
                <c:pt idx="42">
                  <c:v>696792325</c:v>
                </c:pt>
                <c:pt idx="43">
                  <c:v>716348625</c:v>
                </c:pt>
                <c:pt idx="44">
                  <c:v>1048440200</c:v>
                </c:pt>
                <c:pt idx="45">
                  <c:v>1151208900</c:v>
                </c:pt>
                <c:pt idx="46">
                  <c:v>1158626000</c:v>
                </c:pt>
                <c:pt idx="47">
                  <c:v>1754102466.6666667</c:v>
                </c:pt>
                <c:pt idx="48">
                  <c:v>1822946433.3333333</c:v>
                </c:pt>
                <c:pt idx="49">
                  <c:v>1942352400</c:v>
                </c:pt>
                <c:pt idx="50">
                  <c:v>2560723200</c:v>
                </c:pt>
                <c:pt idx="51">
                  <c:v>3012407133.3333335</c:v>
                </c:pt>
                <c:pt idx="52">
                  <c:v>4911088800</c:v>
                </c:pt>
                <c:pt idx="53">
                  <c:v>6631832400</c:v>
                </c:pt>
                <c:pt idx="54">
                  <c:v>7678203533.333333</c:v>
                </c:pt>
                <c:pt idx="55">
                  <c:v>8023821133.333333</c:v>
                </c:pt>
                <c:pt idx="56">
                  <c:v>10482590300</c:v>
                </c:pt>
                <c:pt idx="57">
                  <c:v>11140016166.666666</c:v>
                </c:pt>
                <c:pt idx="58">
                  <c:v>22034824566.666668</c:v>
                </c:pt>
                <c:pt idx="59">
                  <c:v>30519790433.333332</c:v>
                </c:pt>
                <c:pt idx="60">
                  <c:v>215843500</c:v>
                </c:pt>
                <c:pt idx="61">
                  <c:v>228115733.33333334</c:v>
                </c:pt>
                <c:pt idx="62">
                  <c:v>281626400</c:v>
                </c:pt>
                <c:pt idx="63">
                  <c:v>282998100</c:v>
                </c:pt>
                <c:pt idx="64">
                  <c:v>284058700</c:v>
                </c:pt>
                <c:pt idx="65">
                  <c:v>290985500</c:v>
                </c:pt>
                <c:pt idx="66">
                  <c:v>514413833.33333331</c:v>
                </c:pt>
                <c:pt idx="67">
                  <c:v>583530600</c:v>
                </c:pt>
                <c:pt idx="68">
                  <c:v>599225500</c:v>
                </c:pt>
                <c:pt idx="69">
                  <c:v>1031832766.6666666</c:v>
                </c:pt>
                <c:pt idx="70">
                  <c:v>1033444800</c:v>
                </c:pt>
                <c:pt idx="71">
                  <c:v>1461051400</c:v>
                </c:pt>
                <c:pt idx="72">
                  <c:v>1505678525</c:v>
                </c:pt>
                <c:pt idx="73">
                  <c:v>1657408966.6666667</c:v>
                </c:pt>
                <c:pt idx="74">
                  <c:v>1665592533.3333333</c:v>
                </c:pt>
                <c:pt idx="75">
                  <c:v>2565379366.6666665</c:v>
                </c:pt>
                <c:pt idx="76">
                  <c:v>2855677225</c:v>
                </c:pt>
                <c:pt idx="77">
                  <c:v>4102913033.3333335</c:v>
                </c:pt>
                <c:pt idx="78">
                  <c:v>4258600833.3333335</c:v>
                </c:pt>
                <c:pt idx="79">
                  <c:v>4616192966.666667</c:v>
                </c:pt>
                <c:pt idx="80">
                  <c:v>4665209700</c:v>
                </c:pt>
                <c:pt idx="81">
                  <c:v>7157454266.666667</c:v>
                </c:pt>
                <c:pt idx="82">
                  <c:v>10339566850</c:v>
                </c:pt>
                <c:pt idx="83">
                  <c:v>12310535566.666666</c:v>
                </c:pt>
                <c:pt idx="84">
                  <c:v>18438664900</c:v>
                </c:pt>
                <c:pt idx="85">
                  <c:v>19092614300</c:v>
                </c:pt>
                <c:pt idx="86">
                  <c:v>26608785033.333332</c:v>
                </c:pt>
                <c:pt idx="87">
                  <c:v>31594382566.666668</c:v>
                </c:pt>
                <c:pt idx="88">
                  <c:v>45222063300</c:v>
                </c:pt>
                <c:pt idx="89">
                  <c:v>89291286200</c:v>
                </c:pt>
                <c:pt idx="90">
                  <c:v>153814166.66666666</c:v>
                </c:pt>
                <c:pt idx="91">
                  <c:v>154032433.33333334</c:v>
                </c:pt>
                <c:pt idx="92">
                  <c:v>475381466.66666669</c:v>
                </c:pt>
                <c:pt idx="93">
                  <c:v>490877300</c:v>
                </c:pt>
                <c:pt idx="94">
                  <c:v>836209700</c:v>
                </c:pt>
                <c:pt idx="95">
                  <c:v>865951100</c:v>
                </c:pt>
                <c:pt idx="96">
                  <c:v>884277666.66666663</c:v>
                </c:pt>
                <c:pt idx="97">
                  <c:v>1113935233.3333333</c:v>
                </c:pt>
                <c:pt idx="98">
                  <c:v>1117915466.6666667</c:v>
                </c:pt>
                <c:pt idx="99">
                  <c:v>1155537933.3333333</c:v>
                </c:pt>
                <c:pt idx="100">
                  <c:v>2097511900</c:v>
                </c:pt>
                <c:pt idx="101">
                  <c:v>2387255766.6666665</c:v>
                </c:pt>
                <c:pt idx="102">
                  <c:v>2541637750</c:v>
                </c:pt>
                <c:pt idx="103">
                  <c:v>2620377475</c:v>
                </c:pt>
                <c:pt idx="104">
                  <c:v>4087905200</c:v>
                </c:pt>
                <c:pt idx="105">
                  <c:v>4196638033.3333335</c:v>
                </c:pt>
                <c:pt idx="106">
                  <c:v>6000168425</c:v>
                </c:pt>
                <c:pt idx="107">
                  <c:v>6682671333.333333</c:v>
                </c:pt>
                <c:pt idx="108">
                  <c:v>6954640500</c:v>
                </c:pt>
                <c:pt idx="109">
                  <c:v>7167253666.666667</c:v>
                </c:pt>
                <c:pt idx="110">
                  <c:v>11794091475</c:v>
                </c:pt>
                <c:pt idx="111">
                  <c:v>16903209066.666666</c:v>
                </c:pt>
                <c:pt idx="112">
                  <c:v>18725511100</c:v>
                </c:pt>
                <c:pt idx="113">
                  <c:v>28920375900</c:v>
                </c:pt>
                <c:pt idx="114">
                  <c:v>31021438566.666668</c:v>
                </c:pt>
                <c:pt idx="115">
                  <c:v>32062535266.666668</c:v>
                </c:pt>
                <c:pt idx="116">
                  <c:v>50201264133.333336</c:v>
                </c:pt>
                <c:pt idx="117">
                  <c:v>75799813166.666672</c:v>
                </c:pt>
                <c:pt idx="118">
                  <c:v>128325719066.66667</c:v>
                </c:pt>
                <c:pt idx="119">
                  <c:v>183187278233.33334</c:v>
                </c:pt>
                <c:pt idx="120">
                  <c:v>579143166.66666663</c:v>
                </c:pt>
                <c:pt idx="121">
                  <c:v>580615333.33333337</c:v>
                </c:pt>
                <c:pt idx="122">
                  <c:v>581788566.66666663</c:v>
                </c:pt>
                <c:pt idx="123">
                  <c:v>1001839733.3333334</c:v>
                </c:pt>
                <c:pt idx="124">
                  <c:v>1038055166.6666666</c:v>
                </c:pt>
                <c:pt idx="125">
                  <c:v>2021285500</c:v>
                </c:pt>
                <c:pt idx="126">
                  <c:v>2113761633.3333333</c:v>
                </c:pt>
                <c:pt idx="127">
                  <c:v>2180498000</c:v>
                </c:pt>
                <c:pt idx="128">
                  <c:v>3329279166.6666665</c:v>
                </c:pt>
                <c:pt idx="129">
                  <c:v>3495027900</c:v>
                </c:pt>
                <c:pt idx="130">
                  <c:v>4433186466.666667</c:v>
                </c:pt>
                <c:pt idx="131">
                  <c:v>4864637733.333333</c:v>
                </c:pt>
                <c:pt idx="132">
                  <c:v>6057635650</c:v>
                </c:pt>
                <c:pt idx="133">
                  <c:v>6250208125</c:v>
                </c:pt>
                <c:pt idx="134">
                  <c:v>8339799100</c:v>
                </c:pt>
                <c:pt idx="135">
                  <c:v>9767888033.333334</c:v>
                </c:pt>
                <c:pt idx="136">
                  <c:v>10440522850</c:v>
                </c:pt>
                <c:pt idx="137">
                  <c:v>16092282066.666666</c:v>
                </c:pt>
                <c:pt idx="138">
                  <c:v>16686779766.666666</c:v>
                </c:pt>
                <c:pt idx="139">
                  <c:v>16889672833.333334</c:v>
                </c:pt>
                <c:pt idx="140">
                  <c:v>24287483325</c:v>
                </c:pt>
                <c:pt idx="141">
                  <c:v>28972809266.666668</c:v>
                </c:pt>
                <c:pt idx="142">
                  <c:v>48647507425</c:v>
                </c:pt>
                <c:pt idx="143">
                  <c:v>68746288066.666672</c:v>
                </c:pt>
                <c:pt idx="144">
                  <c:v>83231411500</c:v>
                </c:pt>
                <c:pt idx="145">
                  <c:v>85580523066.666672</c:v>
                </c:pt>
                <c:pt idx="146">
                  <c:v>116562140800</c:v>
                </c:pt>
                <c:pt idx="147">
                  <c:v>127609824133.33333</c:v>
                </c:pt>
                <c:pt idx="148">
                  <c:v>307469533500</c:v>
                </c:pt>
                <c:pt idx="149">
                  <c:v>519108951666.66669</c:v>
                </c:pt>
              </c:numCache>
            </c:numRef>
          </c:val>
          <c:extLst>
            <c:ext xmlns:c16="http://schemas.microsoft.com/office/drawing/2014/chart" uri="{C3380CC4-5D6E-409C-BE32-E72D297353CC}">
              <c16:uniqueId val="{00000004-C6A7-4C05-8413-4CD08D8B4A0E}"/>
            </c:ext>
          </c:extLst>
        </c:ser>
        <c:ser>
          <c:idx val="5"/>
          <c:order val="5"/>
          <c:tx>
            <c:strRef>
              <c:f>avg!$R$1</c:f>
              <c:strCache>
                <c:ptCount val="1"/>
                <c:pt idx="0">
                  <c:v>gpu_Update_time</c:v>
                </c:pt>
              </c:strCache>
            </c:strRef>
          </c:tx>
          <c:spPr>
            <a:solidFill>
              <a:schemeClr val="tx1"/>
            </a:solidFill>
            <a:ln>
              <a:noFill/>
            </a:ln>
            <a:effectLst/>
          </c:spPr>
          <c:invertIfNegative val="0"/>
          <c:val>
            <c:numRef>
              <c:f>avg!$R$2:$R$151</c:f>
              <c:numCache>
                <c:formatCode>General</c:formatCode>
                <c:ptCount val="150"/>
                <c:pt idx="0">
                  <c:v>715166.66666666663</c:v>
                </c:pt>
                <c:pt idx="1">
                  <c:v>710800</c:v>
                </c:pt>
                <c:pt idx="2">
                  <c:v>733766.66666666663</c:v>
                </c:pt>
                <c:pt idx="3">
                  <c:v>673866.66666666663</c:v>
                </c:pt>
                <c:pt idx="4">
                  <c:v>725500</c:v>
                </c:pt>
                <c:pt idx="5">
                  <c:v>708000</c:v>
                </c:pt>
                <c:pt idx="6">
                  <c:v>719066.66666666663</c:v>
                </c:pt>
                <c:pt idx="7">
                  <c:v>718433.33333333337</c:v>
                </c:pt>
                <c:pt idx="8">
                  <c:v>684833.33333333337</c:v>
                </c:pt>
                <c:pt idx="9">
                  <c:v>793033.33333333337</c:v>
                </c:pt>
                <c:pt idx="10">
                  <c:v>720600</c:v>
                </c:pt>
                <c:pt idx="11">
                  <c:v>689300</c:v>
                </c:pt>
                <c:pt idx="12">
                  <c:v>680750</c:v>
                </c:pt>
                <c:pt idx="13">
                  <c:v>691950</c:v>
                </c:pt>
                <c:pt idx="14">
                  <c:v>758633.33333333337</c:v>
                </c:pt>
                <c:pt idx="15">
                  <c:v>721433.33333333337</c:v>
                </c:pt>
                <c:pt idx="16">
                  <c:v>779175</c:v>
                </c:pt>
                <c:pt idx="17">
                  <c:v>876300</c:v>
                </c:pt>
                <c:pt idx="18">
                  <c:v>702733.33333333337</c:v>
                </c:pt>
                <c:pt idx="19">
                  <c:v>696666.66666666663</c:v>
                </c:pt>
                <c:pt idx="20">
                  <c:v>745975</c:v>
                </c:pt>
                <c:pt idx="21">
                  <c:v>741200</c:v>
                </c:pt>
                <c:pt idx="22">
                  <c:v>759725</c:v>
                </c:pt>
                <c:pt idx="23">
                  <c:v>682433.33333333337</c:v>
                </c:pt>
                <c:pt idx="24">
                  <c:v>757166.66666666663</c:v>
                </c:pt>
                <c:pt idx="25">
                  <c:v>696033.33333333337</c:v>
                </c:pt>
                <c:pt idx="26">
                  <c:v>698133.33333333337</c:v>
                </c:pt>
                <c:pt idx="27">
                  <c:v>763233.33333333337</c:v>
                </c:pt>
                <c:pt idx="28">
                  <c:v>784700</c:v>
                </c:pt>
                <c:pt idx="29">
                  <c:v>712566.66666666663</c:v>
                </c:pt>
                <c:pt idx="30">
                  <c:v>1237566.6666666667</c:v>
                </c:pt>
                <c:pt idx="31">
                  <c:v>1289933.3333333333</c:v>
                </c:pt>
                <c:pt idx="32">
                  <c:v>1230200</c:v>
                </c:pt>
                <c:pt idx="33">
                  <c:v>1368700</c:v>
                </c:pt>
                <c:pt idx="34">
                  <c:v>1204033.3333333333</c:v>
                </c:pt>
                <c:pt idx="35">
                  <c:v>1349100</c:v>
                </c:pt>
                <c:pt idx="36">
                  <c:v>1245933.3333333333</c:v>
                </c:pt>
                <c:pt idx="37">
                  <c:v>1315766.6666666667</c:v>
                </c:pt>
                <c:pt idx="38">
                  <c:v>1237333.3333333333</c:v>
                </c:pt>
                <c:pt idx="39">
                  <c:v>1230433.3333333333</c:v>
                </c:pt>
                <c:pt idx="40">
                  <c:v>1301366.6666666667</c:v>
                </c:pt>
                <c:pt idx="41">
                  <c:v>1295800</c:v>
                </c:pt>
                <c:pt idx="42">
                  <c:v>1312400</c:v>
                </c:pt>
                <c:pt idx="43">
                  <c:v>1289875</c:v>
                </c:pt>
                <c:pt idx="44">
                  <c:v>1291566.6666666667</c:v>
                </c:pt>
                <c:pt idx="45">
                  <c:v>1322033.3333333333</c:v>
                </c:pt>
                <c:pt idx="46">
                  <c:v>1341700</c:v>
                </c:pt>
                <c:pt idx="47">
                  <c:v>1339000</c:v>
                </c:pt>
                <c:pt idx="48">
                  <c:v>1295666.6666666667</c:v>
                </c:pt>
                <c:pt idx="49">
                  <c:v>1883800</c:v>
                </c:pt>
                <c:pt idx="50">
                  <c:v>1296175</c:v>
                </c:pt>
                <c:pt idx="51">
                  <c:v>1285800</c:v>
                </c:pt>
                <c:pt idx="52">
                  <c:v>1322400</c:v>
                </c:pt>
                <c:pt idx="53">
                  <c:v>1375600</c:v>
                </c:pt>
                <c:pt idx="54">
                  <c:v>1262966.6666666667</c:v>
                </c:pt>
                <c:pt idx="55">
                  <c:v>1361700</c:v>
                </c:pt>
                <c:pt idx="56">
                  <c:v>1271633.3333333333</c:v>
                </c:pt>
                <c:pt idx="57">
                  <c:v>1303400</c:v>
                </c:pt>
                <c:pt idx="58">
                  <c:v>1263700</c:v>
                </c:pt>
                <c:pt idx="59">
                  <c:v>1442366.6666666667</c:v>
                </c:pt>
                <c:pt idx="60">
                  <c:v>2177033.3333333335</c:v>
                </c:pt>
                <c:pt idx="61">
                  <c:v>2126000</c:v>
                </c:pt>
                <c:pt idx="62">
                  <c:v>2109066.6666666665</c:v>
                </c:pt>
                <c:pt idx="63">
                  <c:v>2163233.3333333335</c:v>
                </c:pt>
                <c:pt idx="64">
                  <c:v>2116133.3333333335</c:v>
                </c:pt>
                <c:pt idx="65">
                  <c:v>2180766.6666666665</c:v>
                </c:pt>
                <c:pt idx="66">
                  <c:v>2208766.6666666665</c:v>
                </c:pt>
                <c:pt idx="67">
                  <c:v>2128233.3333333335</c:v>
                </c:pt>
                <c:pt idx="68">
                  <c:v>2129500</c:v>
                </c:pt>
                <c:pt idx="69">
                  <c:v>2216800</c:v>
                </c:pt>
                <c:pt idx="70">
                  <c:v>2210900</c:v>
                </c:pt>
                <c:pt idx="71">
                  <c:v>2248800</c:v>
                </c:pt>
                <c:pt idx="72">
                  <c:v>2287050</c:v>
                </c:pt>
                <c:pt idx="73">
                  <c:v>2215400</c:v>
                </c:pt>
                <c:pt idx="74">
                  <c:v>2136600</c:v>
                </c:pt>
                <c:pt idx="75">
                  <c:v>2276300</c:v>
                </c:pt>
                <c:pt idx="76">
                  <c:v>2278400</c:v>
                </c:pt>
                <c:pt idx="77">
                  <c:v>2220733.3333333335</c:v>
                </c:pt>
                <c:pt idx="78">
                  <c:v>2130600</c:v>
                </c:pt>
                <c:pt idx="79">
                  <c:v>2183300</c:v>
                </c:pt>
                <c:pt idx="80">
                  <c:v>2284000</c:v>
                </c:pt>
                <c:pt idx="81">
                  <c:v>2131500</c:v>
                </c:pt>
                <c:pt idx="82">
                  <c:v>2284600</c:v>
                </c:pt>
                <c:pt idx="83">
                  <c:v>2272166.6666666665</c:v>
                </c:pt>
                <c:pt idx="84">
                  <c:v>2188800</c:v>
                </c:pt>
                <c:pt idx="85">
                  <c:v>2388100</c:v>
                </c:pt>
                <c:pt idx="86">
                  <c:v>2256766.6666666665</c:v>
                </c:pt>
                <c:pt idx="87">
                  <c:v>3488666.6666666665</c:v>
                </c:pt>
                <c:pt idx="88">
                  <c:v>2273700</c:v>
                </c:pt>
                <c:pt idx="89">
                  <c:v>2477900</c:v>
                </c:pt>
                <c:pt idx="90">
                  <c:v>4136366.6666666665</c:v>
                </c:pt>
                <c:pt idx="91">
                  <c:v>4122800</c:v>
                </c:pt>
                <c:pt idx="92">
                  <c:v>4417000</c:v>
                </c:pt>
                <c:pt idx="93">
                  <c:v>4170666.6666666665</c:v>
                </c:pt>
                <c:pt idx="94">
                  <c:v>4081533.3333333335</c:v>
                </c:pt>
                <c:pt idx="95">
                  <c:v>4171833.3333333335</c:v>
                </c:pt>
                <c:pt idx="96">
                  <c:v>4188266.6666666665</c:v>
                </c:pt>
                <c:pt idx="97">
                  <c:v>4373133.333333333</c:v>
                </c:pt>
                <c:pt idx="98">
                  <c:v>4209833.333333333</c:v>
                </c:pt>
                <c:pt idx="99">
                  <c:v>4408466.666666667</c:v>
                </c:pt>
                <c:pt idx="100">
                  <c:v>4183100</c:v>
                </c:pt>
                <c:pt idx="101">
                  <c:v>4083933.3333333335</c:v>
                </c:pt>
                <c:pt idx="102">
                  <c:v>4274900</c:v>
                </c:pt>
                <c:pt idx="103">
                  <c:v>4291250</c:v>
                </c:pt>
                <c:pt idx="104">
                  <c:v>4191033.3333333335</c:v>
                </c:pt>
                <c:pt idx="105">
                  <c:v>4087366.6666666665</c:v>
                </c:pt>
                <c:pt idx="106">
                  <c:v>4215325</c:v>
                </c:pt>
                <c:pt idx="107">
                  <c:v>6416333.333333333</c:v>
                </c:pt>
                <c:pt idx="108">
                  <c:v>4558100</c:v>
                </c:pt>
                <c:pt idx="109">
                  <c:v>4226366.666666667</c:v>
                </c:pt>
                <c:pt idx="110">
                  <c:v>4238250</c:v>
                </c:pt>
                <c:pt idx="111">
                  <c:v>4061766.6666666665</c:v>
                </c:pt>
                <c:pt idx="112">
                  <c:v>4297400</c:v>
                </c:pt>
                <c:pt idx="113">
                  <c:v>4044566.6666666665</c:v>
                </c:pt>
                <c:pt idx="114">
                  <c:v>6578100</c:v>
                </c:pt>
                <c:pt idx="115">
                  <c:v>7017266.666666667</c:v>
                </c:pt>
                <c:pt idx="116">
                  <c:v>6293300</c:v>
                </c:pt>
                <c:pt idx="117">
                  <c:v>6688733.333333333</c:v>
                </c:pt>
                <c:pt idx="118">
                  <c:v>6517833.333333333</c:v>
                </c:pt>
                <c:pt idx="119">
                  <c:v>4314700</c:v>
                </c:pt>
                <c:pt idx="120">
                  <c:v>8172966.666666667</c:v>
                </c:pt>
                <c:pt idx="121">
                  <c:v>8123800</c:v>
                </c:pt>
                <c:pt idx="122">
                  <c:v>8017866.666666667</c:v>
                </c:pt>
                <c:pt idx="123">
                  <c:v>8126666.666666667</c:v>
                </c:pt>
                <c:pt idx="124">
                  <c:v>8430533.333333334</c:v>
                </c:pt>
                <c:pt idx="125">
                  <c:v>8129733.333333333</c:v>
                </c:pt>
                <c:pt idx="126">
                  <c:v>8190333.333333333</c:v>
                </c:pt>
                <c:pt idx="127">
                  <c:v>7899500</c:v>
                </c:pt>
                <c:pt idx="128">
                  <c:v>7930800</c:v>
                </c:pt>
                <c:pt idx="129">
                  <c:v>7908800</c:v>
                </c:pt>
                <c:pt idx="130">
                  <c:v>8122633.333333333</c:v>
                </c:pt>
                <c:pt idx="131">
                  <c:v>12791166.666666666</c:v>
                </c:pt>
                <c:pt idx="132">
                  <c:v>8238650</c:v>
                </c:pt>
                <c:pt idx="133">
                  <c:v>8333800</c:v>
                </c:pt>
                <c:pt idx="134">
                  <c:v>8464566.666666666</c:v>
                </c:pt>
                <c:pt idx="135">
                  <c:v>8220300</c:v>
                </c:pt>
                <c:pt idx="136">
                  <c:v>8165900</c:v>
                </c:pt>
                <c:pt idx="137">
                  <c:v>8096966.666666667</c:v>
                </c:pt>
                <c:pt idx="138">
                  <c:v>8036466.666666667</c:v>
                </c:pt>
                <c:pt idx="139">
                  <c:v>8516066.666666666</c:v>
                </c:pt>
                <c:pt idx="140">
                  <c:v>11926875</c:v>
                </c:pt>
                <c:pt idx="141">
                  <c:v>17719233.333333332</c:v>
                </c:pt>
                <c:pt idx="142">
                  <c:v>8463825</c:v>
                </c:pt>
                <c:pt idx="143">
                  <c:v>8554666.666666666</c:v>
                </c:pt>
                <c:pt idx="144">
                  <c:v>8110300</c:v>
                </c:pt>
                <c:pt idx="145">
                  <c:v>13058400</c:v>
                </c:pt>
                <c:pt idx="146">
                  <c:v>13669033.333333334</c:v>
                </c:pt>
                <c:pt idx="147">
                  <c:v>17969033.333333332</c:v>
                </c:pt>
                <c:pt idx="148">
                  <c:v>17803566.666666668</c:v>
                </c:pt>
                <c:pt idx="149">
                  <c:v>18094366.666666668</c:v>
                </c:pt>
              </c:numCache>
            </c:numRef>
          </c:val>
          <c:extLst>
            <c:ext xmlns:c16="http://schemas.microsoft.com/office/drawing/2014/chart" uri="{C3380CC4-5D6E-409C-BE32-E72D297353CC}">
              <c16:uniqueId val="{00000005-C6A7-4C05-8413-4CD08D8B4A0E}"/>
            </c:ext>
          </c:extLst>
        </c:ser>
        <c:dLbls>
          <c:showLegendKey val="0"/>
          <c:showVal val="0"/>
          <c:showCatName val="0"/>
          <c:showSerName val="0"/>
          <c:showPercent val="0"/>
          <c:showBubbleSize val="0"/>
        </c:dLbls>
        <c:gapWidth val="150"/>
        <c:overlap val="100"/>
        <c:axId val="1390516416"/>
        <c:axId val="1390518080"/>
      </c:barChart>
      <c:catAx>
        <c:axId val="1390516416"/>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518080"/>
        <c:crosses val="autoZero"/>
        <c:auto val="1"/>
        <c:lblAlgn val="ctr"/>
        <c:lblOffset val="100"/>
        <c:noMultiLvlLbl val="0"/>
      </c:catAx>
      <c:valAx>
        <c:axId val="13905180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516416"/>
        <c:crosses val="autoZero"/>
        <c:crossBetween val="between"/>
      </c:valAx>
      <c:spPr>
        <a:noFill/>
        <a:ln>
          <a:noFill/>
        </a:ln>
        <a:effectLst/>
      </c:spPr>
    </c:plotArea>
    <c:legend>
      <c:legendPos val="b"/>
      <c:layout>
        <c:manualLayout>
          <c:xMode val="edge"/>
          <c:yMode val="edge"/>
          <c:x val="2.5300087489063868E-2"/>
          <c:y val="0.8336770058438826"/>
          <c:w val="0.94384426946631672"/>
          <c:h val="0.1386986847638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447003499562558"/>
          <c:y val="5.0925925925925923E-2"/>
          <c:w val="0.73364807524059505"/>
          <c:h val="0.69318872876739468"/>
        </c:manualLayout>
      </c:layout>
      <c:scatterChart>
        <c:scatterStyle val="lineMarker"/>
        <c:varyColors val="0"/>
        <c:ser>
          <c:idx val="0"/>
          <c:order val="0"/>
          <c:tx>
            <c:v>M2L</c:v>
          </c:tx>
          <c:spPr>
            <a:ln w="19050" cap="rnd">
              <a:noFill/>
              <a:round/>
            </a:ln>
            <a:effectLst/>
          </c:spPr>
          <c:marker>
            <c:symbol val="circle"/>
            <c:size val="5"/>
            <c:spPr>
              <a:solidFill>
                <a:schemeClr val="accent1"/>
              </a:solidFill>
              <a:ln w="9525">
                <a:solidFill>
                  <a:schemeClr val="accent1"/>
                </a:solidFill>
              </a:ln>
              <a:effectLst/>
            </c:spPr>
          </c:marker>
          <c:xVal>
            <c:numRef>
              <c:f>avg!$L$2:$L$151</c:f>
              <c:numCache>
                <c:formatCode>General</c:formatCode>
                <c:ptCount val="150"/>
                <c:pt idx="0">
                  <c:v>324124133.33333331</c:v>
                </c:pt>
                <c:pt idx="1">
                  <c:v>190647133.33333334</c:v>
                </c:pt>
                <c:pt idx="2">
                  <c:v>324016266.66666669</c:v>
                </c:pt>
                <c:pt idx="3">
                  <c:v>155213533.33333334</c:v>
                </c:pt>
                <c:pt idx="4">
                  <c:v>294072600</c:v>
                </c:pt>
                <c:pt idx="5">
                  <c:v>568748366.66666663</c:v>
                </c:pt>
                <c:pt idx="6">
                  <c:v>186709100</c:v>
                </c:pt>
                <c:pt idx="7">
                  <c:v>1287387633.3333333</c:v>
                </c:pt>
                <c:pt idx="8">
                  <c:v>1082103866.6666667</c:v>
                </c:pt>
                <c:pt idx="9">
                  <c:v>583663166.66666663</c:v>
                </c:pt>
                <c:pt idx="10">
                  <c:v>1086184366.6666667</c:v>
                </c:pt>
                <c:pt idx="11">
                  <c:v>513019633.33333331</c:v>
                </c:pt>
                <c:pt idx="12">
                  <c:v>315272425</c:v>
                </c:pt>
                <c:pt idx="13">
                  <c:v>157785500</c:v>
                </c:pt>
                <c:pt idx="14">
                  <c:v>1056335200</c:v>
                </c:pt>
                <c:pt idx="15">
                  <c:v>1266466333.3333333</c:v>
                </c:pt>
                <c:pt idx="16">
                  <c:v>510691475</c:v>
                </c:pt>
                <c:pt idx="17">
                  <c:v>141321933.33333334</c:v>
                </c:pt>
                <c:pt idx="18">
                  <c:v>290709633.33333331</c:v>
                </c:pt>
                <c:pt idx="19">
                  <c:v>1267152166.6666667</c:v>
                </c:pt>
                <c:pt idx="20">
                  <c:v>1051702350</c:v>
                </c:pt>
                <c:pt idx="21">
                  <c:v>511401866.66666669</c:v>
                </c:pt>
                <c:pt idx="22">
                  <c:v>1271878700</c:v>
                </c:pt>
                <c:pt idx="23">
                  <c:v>1053441966.6666666</c:v>
                </c:pt>
                <c:pt idx="24">
                  <c:v>141562833.33333334</c:v>
                </c:pt>
                <c:pt idx="25">
                  <c:v>318376166.66666669</c:v>
                </c:pt>
                <c:pt idx="26">
                  <c:v>1264223233.3333333</c:v>
                </c:pt>
                <c:pt idx="27">
                  <c:v>536788466.66666669</c:v>
                </c:pt>
                <c:pt idx="28">
                  <c:v>1101902933.3333333</c:v>
                </c:pt>
                <c:pt idx="29">
                  <c:v>1302739600</c:v>
                </c:pt>
                <c:pt idx="30">
                  <c:v>910663133.33333337</c:v>
                </c:pt>
                <c:pt idx="31">
                  <c:v>468141600</c:v>
                </c:pt>
                <c:pt idx="32">
                  <c:v>240410300</c:v>
                </c:pt>
                <c:pt idx="33">
                  <c:v>542222833.33333337</c:v>
                </c:pt>
                <c:pt idx="34">
                  <c:v>227900666.66666666</c:v>
                </c:pt>
                <c:pt idx="35">
                  <c:v>861818566.66666663</c:v>
                </c:pt>
                <c:pt idx="36">
                  <c:v>479528900</c:v>
                </c:pt>
                <c:pt idx="37">
                  <c:v>285060533.33333331</c:v>
                </c:pt>
                <c:pt idx="38">
                  <c:v>861600666.66666663</c:v>
                </c:pt>
                <c:pt idx="39">
                  <c:v>1907691400</c:v>
                </c:pt>
                <c:pt idx="40">
                  <c:v>2286459366.6666665</c:v>
                </c:pt>
                <c:pt idx="41">
                  <c:v>1906285733.3333333</c:v>
                </c:pt>
                <c:pt idx="42">
                  <c:v>199153950</c:v>
                </c:pt>
                <c:pt idx="43">
                  <c:v>505509100</c:v>
                </c:pt>
                <c:pt idx="44">
                  <c:v>2286683800</c:v>
                </c:pt>
                <c:pt idx="45">
                  <c:v>1904422900</c:v>
                </c:pt>
                <c:pt idx="46">
                  <c:v>860050675</c:v>
                </c:pt>
                <c:pt idx="47">
                  <c:v>211565533.33333334</c:v>
                </c:pt>
                <c:pt idx="48">
                  <c:v>492633066.66666669</c:v>
                </c:pt>
                <c:pt idx="49">
                  <c:v>2286413866.6666665</c:v>
                </c:pt>
                <c:pt idx="50">
                  <c:v>1903691575</c:v>
                </c:pt>
                <c:pt idx="51">
                  <c:v>857122900</c:v>
                </c:pt>
                <c:pt idx="52">
                  <c:v>2295785700</c:v>
                </c:pt>
                <c:pt idx="53">
                  <c:v>1894458766.6666667</c:v>
                </c:pt>
                <c:pt idx="54">
                  <c:v>290444100</c:v>
                </c:pt>
                <c:pt idx="55">
                  <c:v>518650400</c:v>
                </c:pt>
                <c:pt idx="56">
                  <c:v>2276094466.6666665</c:v>
                </c:pt>
                <c:pt idx="57">
                  <c:v>890365266.66666663</c:v>
                </c:pt>
                <c:pt idx="58">
                  <c:v>1941288766.6666667</c:v>
                </c:pt>
                <c:pt idx="59">
                  <c:v>2312605200</c:v>
                </c:pt>
                <c:pt idx="60">
                  <c:v>864801433.33333337</c:v>
                </c:pt>
                <c:pt idx="61">
                  <c:v>409667166.66666669</c:v>
                </c:pt>
                <c:pt idx="62">
                  <c:v>365540933.33333331</c:v>
                </c:pt>
                <c:pt idx="63">
                  <c:v>1576273733.3333333</c:v>
                </c:pt>
                <c:pt idx="64">
                  <c:v>3624389600</c:v>
                </c:pt>
                <c:pt idx="65">
                  <c:v>831689033.33333337</c:v>
                </c:pt>
                <c:pt idx="66">
                  <c:v>1575515433.3333333</c:v>
                </c:pt>
                <c:pt idx="67">
                  <c:v>327846300</c:v>
                </c:pt>
                <c:pt idx="68">
                  <c:v>830202000</c:v>
                </c:pt>
                <c:pt idx="69">
                  <c:v>3613637500</c:v>
                </c:pt>
                <c:pt idx="70">
                  <c:v>1560727400</c:v>
                </c:pt>
                <c:pt idx="71">
                  <c:v>327745200</c:v>
                </c:pt>
                <c:pt idx="72">
                  <c:v>800013650</c:v>
                </c:pt>
                <c:pt idx="73">
                  <c:v>4330886566.666667</c:v>
                </c:pt>
                <c:pt idx="74">
                  <c:v>3612586800</c:v>
                </c:pt>
                <c:pt idx="75">
                  <c:v>4330123100</c:v>
                </c:pt>
                <c:pt idx="76">
                  <c:v>1585984050</c:v>
                </c:pt>
                <c:pt idx="77">
                  <c:v>205404466.66666666</c:v>
                </c:pt>
                <c:pt idx="78">
                  <c:v>751361366.66666663</c:v>
                </c:pt>
                <c:pt idx="79">
                  <c:v>4319387866.666667</c:v>
                </c:pt>
                <c:pt idx="80">
                  <c:v>3609872600</c:v>
                </c:pt>
                <c:pt idx="81">
                  <c:v>1623547600</c:v>
                </c:pt>
                <c:pt idx="82">
                  <c:v>4333759375</c:v>
                </c:pt>
                <c:pt idx="83">
                  <c:v>3597999400</c:v>
                </c:pt>
                <c:pt idx="84">
                  <c:v>53013133.333333336</c:v>
                </c:pt>
                <c:pt idx="85">
                  <c:v>535756633.33333331</c:v>
                </c:pt>
                <c:pt idx="86">
                  <c:v>4316327200</c:v>
                </c:pt>
                <c:pt idx="87">
                  <c:v>1608388300</c:v>
                </c:pt>
                <c:pt idx="88">
                  <c:v>3658141800</c:v>
                </c:pt>
                <c:pt idx="89">
                  <c:v>4330562066.666667</c:v>
                </c:pt>
                <c:pt idx="90">
                  <c:v>642472666.66666663</c:v>
                </c:pt>
                <c:pt idx="91">
                  <c:v>1538880600</c:v>
                </c:pt>
                <c:pt idx="92">
                  <c:v>598636933.33333337</c:v>
                </c:pt>
                <c:pt idx="93">
                  <c:v>1531753133.3333333</c:v>
                </c:pt>
                <c:pt idx="94">
                  <c:v>3019876566.6666665</c:v>
                </c:pt>
                <c:pt idx="95">
                  <c:v>586874900</c:v>
                </c:pt>
                <c:pt idx="96">
                  <c:v>1516143166.6666667</c:v>
                </c:pt>
                <c:pt idx="97">
                  <c:v>7053253033.333333</c:v>
                </c:pt>
                <c:pt idx="98">
                  <c:v>8444327100</c:v>
                </c:pt>
                <c:pt idx="99">
                  <c:v>3030052233.3333335</c:v>
                </c:pt>
                <c:pt idx="100">
                  <c:v>7050382966.666667</c:v>
                </c:pt>
                <c:pt idx="101">
                  <c:v>2971466500</c:v>
                </c:pt>
                <c:pt idx="102">
                  <c:v>544820400</c:v>
                </c:pt>
                <c:pt idx="103">
                  <c:v>1471029525</c:v>
                </c:pt>
                <c:pt idx="104">
                  <c:v>8425731566.666667</c:v>
                </c:pt>
                <c:pt idx="105">
                  <c:v>7031086200</c:v>
                </c:pt>
                <c:pt idx="106">
                  <c:v>2981155950</c:v>
                </c:pt>
                <c:pt idx="107">
                  <c:v>8421530600</c:v>
                </c:pt>
                <c:pt idx="108">
                  <c:v>433890366.66666669</c:v>
                </c:pt>
                <c:pt idx="109">
                  <c:v>1326604100</c:v>
                </c:pt>
                <c:pt idx="110">
                  <c:v>7021496400</c:v>
                </c:pt>
                <c:pt idx="111">
                  <c:v>2909847833.3333335</c:v>
                </c:pt>
                <c:pt idx="112">
                  <c:v>8414702800</c:v>
                </c:pt>
                <c:pt idx="113">
                  <c:v>7013627066.666667</c:v>
                </c:pt>
                <c:pt idx="114">
                  <c:v>18914166.666666668</c:v>
                </c:pt>
                <c:pt idx="115">
                  <c:v>780385666.66666663</c:v>
                </c:pt>
                <c:pt idx="116">
                  <c:v>8408959133.333333</c:v>
                </c:pt>
                <c:pt idx="117">
                  <c:v>2437474766.6666665</c:v>
                </c:pt>
                <c:pt idx="118">
                  <c:v>7088976233.333333</c:v>
                </c:pt>
                <c:pt idx="119">
                  <c:v>8500850433.333333</c:v>
                </c:pt>
                <c:pt idx="120">
                  <c:v>5852962200</c:v>
                </c:pt>
                <c:pt idx="121">
                  <c:v>1065085533.3333334</c:v>
                </c:pt>
                <c:pt idx="122">
                  <c:v>2961740966.6666665</c:v>
                </c:pt>
                <c:pt idx="123">
                  <c:v>1035054766.6666666</c:v>
                </c:pt>
                <c:pt idx="124">
                  <c:v>2944663533.3333335</c:v>
                </c:pt>
                <c:pt idx="125">
                  <c:v>5843744033.333333</c:v>
                </c:pt>
                <c:pt idx="126">
                  <c:v>1034230033.3333334</c:v>
                </c:pt>
                <c:pt idx="127">
                  <c:v>2902449300</c:v>
                </c:pt>
                <c:pt idx="128">
                  <c:v>13941057533.333334</c:v>
                </c:pt>
                <c:pt idx="129">
                  <c:v>5826554266.666667</c:v>
                </c:pt>
                <c:pt idx="130">
                  <c:v>16693384766.666666</c:v>
                </c:pt>
                <c:pt idx="131">
                  <c:v>13908287500</c:v>
                </c:pt>
                <c:pt idx="132">
                  <c:v>638713225</c:v>
                </c:pt>
                <c:pt idx="133">
                  <c:v>2815900400</c:v>
                </c:pt>
                <c:pt idx="134">
                  <c:v>16649216200</c:v>
                </c:pt>
                <c:pt idx="135">
                  <c:v>13890168266.666666</c:v>
                </c:pt>
                <c:pt idx="136">
                  <c:v>5800124450</c:v>
                </c:pt>
                <c:pt idx="137">
                  <c:v>678992100</c:v>
                </c:pt>
                <c:pt idx="138">
                  <c:v>2590027933.3333335</c:v>
                </c:pt>
                <c:pt idx="139">
                  <c:v>16574051666.666666</c:v>
                </c:pt>
                <c:pt idx="140">
                  <c:v>13856924350</c:v>
                </c:pt>
                <c:pt idx="141">
                  <c:v>5678315966.666667</c:v>
                </c:pt>
                <c:pt idx="142">
                  <c:v>16602629250</c:v>
                </c:pt>
                <c:pt idx="143">
                  <c:v>13809938833.333334</c:v>
                </c:pt>
                <c:pt idx="144">
                  <c:v>30628566.666666668</c:v>
                </c:pt>
                <c:pt idx="145">
                  <c:v>860025933.33333337</c:v>
                </c:pt>
                <c:pt idx="146">
                  <c:v>16533514566.666666</c:v>
                </c:pt>
                <c:pt idx="147">
                  <c:v>5035459600</c:v>
                </c:pt>
                <c:pt idx="148">
                  <c:v>13547292966.666666</c:v>
                </c:pt>
                <c:pt idx="149">
                  <c:v>16558188933.333334</c:v>
                </c:pt>
              </c:numCache>
            </c:numRef>
          </c:xVal>
          <c:yVal>
            <c:numRef>
              <c:f>avg!$M$2:$M$151</c:f>
              <c:numCache>
                <c:formatCode>General</c:formatCode>
                <c:ptCount val="150"/>
                <c:pt idx="0">
                  <c:v>150198300</c:v>
                </c:pt>
                <c:pt idx="1">
                  <c:v>49881800</c:v>
                </c:pt>
                <c:pt idx="2">
                  <c:v>234536200</c:v>
                </c:pt>
                <c:pt idx="3">
                  <c:v>80790800</c:v>
                </c:pt>
                <c:pt idx="4">
                  <c:v>379075400</c:v>
                </c:pt>
                <c:pt idx="5">
                  <c:v>98950433.333333328</c:v>
                </c:pt>
                <c:pt idx="6">
                  <c:v>136306800</c:v>
                </c:pt>
                <c:pt idx="7">
                  <c:v>283364633.33333331</c:v>
                </c:pt>
                <c:pt idx="8">
                  <c:v>143161800</c:v>
                </c:pt>
                <c:pt idx="9">
                  <c:v>314276533.33333331</c:v>
                </c:pt>
                <c:pt idx="10">
                  <c:v>375944533.33333331</c:v>
                </c:pt>
                <c:pt idx="11">
                  <c:v>466548366.66666669</c:v>
                </c:pt>
                <c:pt idx="12">
                  <c:v>785810775</c:v>
                </c:pt>
                <c:pt idx="13">
                  <c:v>280214825</c:v>
                </c:pt>
                <c:pt idx="14">
                  <c:v>537211600</c:v>
                </c:pt>
                <c:pt idx="15">
                  <c:v>415485166.66666669</c:v>
                </c:pt>
                <c:pt idx="16">
                  <c:v>1067321950</c:v>
                </c:pt>
                <c:pt idx="17">
                  <c:v>598120100</c:v>
                </c:pt>
                <c:pt idx="18">
                  <c:v>1786360966.6666667</c:v>
                </c:pt>
                <c:pt idx="19">
                  <c:v>591385000</c:v>
                </c:pt>
                <c:pt idx="20">
                  <c:v>996323200</c:v>
                </c:pt>
                <c:pt idx="21">
                  <c:v>1863880266.6666667</c:v>
                </c:pt>
                <c:pt idx="22">
                  <c:v>887710525</c:v>
                </c:pt>
                <c:pt idx="23">
                  <c:v>1817565766.6666667</c:v>
                </c:pt>
                <c:pt idx="24">
                  <c:v>1373503966.6666667</c:v>
                </c:pt>
                <c:pt idx="25">
                  <c:v>4334183866.666667</c:v>
                </c:pt>
                <c:pt idx="26">
                  <c:v>1346338400</c:v>
                </c:pt>
                <c:pt idx="27">
                  <c:v>2854343633.3333335</c:v>
                </c:pt>
                <c:pt idx="28">
                  <c:v>833323800</c:v>
                </c:pt>
                <c:pt idx="29">
                  <c:v>147498366.66666666</c:v>
                </c:pt>
                <c:pt idx="30">
                  <c:v>445931533.33333331</c:v>
                </c:pt>
                <c:pt idx="31">
                  <c:v>133447400</c:v>
                </c:pt>
                <c:pt idx="32">
                  <c:v>49700300</c:v>
                </c:pt>
                <c:pt idx="33">
                  <c:v>367819433.33333331</c:v>
                </c:pt>
                <c:pt idx="34">
                  <c:v>135683533.33333334</c:v>
                </c:pt>
                <c:pt idx="35">
                  <c:v>713420633.33333337</c:v>
                </c:pt>
                <c:pt idx="36">
                  <c:v>618408333.33333337</c:v>
                </c:pt>
                <c:pt idx="37">
                  <c:v>223053833.33333334</c:v>
                </c:pt>
                <c:pt idx="38">
                  <c:v>1244740300</c:v>
                </c:pt>
                <c:pt idx="39">
                  <c:v>237852700</c:v>
                </c:pt>
                <c:pt idx="40">
                  <c:v>279726766.66666669</c:v>
                </c:pt>
                <c:pt idx="41">
                  <c:v>709531233.33333337</c:v>
                </c:pt>
                <c:pt idx="42">
                  <c:v>496576900</c:v>
                </c:pt>
                <c:pt idx="43">
                  <c:v>1486764150</c:v>
                </c:pt>
                <c:pt idx="44">
                  <c:v>774438500</c:v>
                </c:pt>
                <c:pt idx="45">
                  <c:v>1150031566.6666667</c:v>
                </c:pt>
                <c:pt idx="46">
                  <c:v>2654228725</c:v>
                </c:pt>
                <c:pt idx="47">
                  <c:v>1116098833.3333333</c:v>
                </c:pt>
                <c:pt idx="48">
                  <c:v>3516820933.3333335</c:v>
                </c:pt>
                <c:pt idx="49">
                  <c:v>1039651166.6666666</c:v>
                </c:pt>
                <c:pt idx="50">
                  <c:v>2685934950</c:v>
                </c:pt>
                <c:pt idx="51">
                  <c:v>6142970800</c:v>
                </c:pt>
                <c:pt idx="52">
                  <c:v>1881097550</c:v>
                </c:pt>
                <c:pt idx="53">
                  <c:v>4608259400</c:v>
                </c:pt>
                <c:pt idx="54">
                  <c:v>2783116533.3333335</c:v>
                </c:pt>
                <c:pt idx="55">
                  <c:v>8992298300</c:v>
                </c:pt>
                <c:pt idx="56">
                  <c:v>3587295400</c:v>
                </c:pt>
                <c:pt idx="57">
                  <c:v>15151801866.666666</c:v>
                </c:pt>
                <c:pt idx="58">
                  <c:v>7049427733.333333</c:v>
                </c:pt>
                <c:pt idx="59">
                  <c:v>1594980133.3333333</c:v>
                </c:pt>
                <c:pt idx="60">
                  <c:v>217865700</c:v>
                </c:pt>
                <c:pt idx="61">
                  <c:v>77967733.333333328</c:v>
                </c:pt>
                <c:pt idx="62">
                  <c:v>242392400</c:v>
                </c:pt>
                <c:pt idx="63">
                  <c:v>452559100</c:v>
                </c:pt>
                <c:pt idx="64">
                  <c:v>1143372266.6666667</c:v>
                </c:pt>
                <c:pt idx="65">
                  <c:v>727050666.66666663</c:v>
                </c:pt>
                <c:pt idx="66">
                  <c:v>1289371633.3333333</c:v>
                </c:pt>
                <c:pt idx="67">
                  <c:v>402250400</c:v>
                </c:pt>
                <c:pt idx="68">
                  <c:v>1244338833.3333333</c:v>
                </c:pt>
                <c:pt idx="69">
                  <c:v>1804174466.6666667</c:v>
                </c:pt>
                <c:pt idx="70">
                  <c:v>2148365233.3333335</c:v>
                </c:pt>
                <c:pt idx="71">
                  <c:v>1058600700</c:v>
                </c:pt>
                <c:pt idx="72">
                  <c:v>3390228425</c:v>
                </c:pt>
                <c:pt idx="73">
                  <c:v>467587700</c:v>
                </c:pt>
                <c:pt idx="74">
                  <c:v>3142707566.6666665</c:v>
                </c:pt>
                <c:pt idx="75">
                  <c:v>1310952500</c:v>
                </c:pt>
                <c:pt idx="76">
                  <c:v>5156296200</c:v>
                </c:pt>
                <c:pt idx="77">
                  <c:v>2343917266.6666665</c:v>
                </c:pt>
                <c:pt idx="78">
                  <c:v>7597148600</c:v>
                </c:pt>
                <c:pt idx="79">
                  <c:v>2269485666.6666665</c:v>
                </c:pt>
                <c:pt idx="80">
                  <c:v>6717848050</c:v>
                </c:pt>
                <c:pt idx="81">
                  <c:v>12504804133.333334</c:v>
                </c:pt>
                <c:pt idx="82">
                  <c:v>5283356925</c:v>
                </c:pt>
                <c:pt idx="83">
                  <c:v>15360929133.333334</c:v>
                </c:pt>
                <c:pt idx="84">
                  <c:v>8000428666.666667</c:v>
                </c:pt>
                <c:pt idx="85">
                  <c:v>26332724400</c:v>
                </c:pt>
                <c:pt idx="86">
                  <c:v>9045806200</c:v>
                </c:pt>
                <c:pt idx="87">
                  <c:v>31227386200</c:v>
                </c:pt>
                <c:pt idx="88">
                  <c:v>37874484933.333336</c:v>
                </c:pt>
                <c:pt idx="89">
                  <c:v>13555697700</c:v>
                </c:pt>
                <c:pt idx="90">
                  <c:v>309963200</c:v>
                </c:pt>
                <c:pt idx="91">
                  <c:v>1018991866.6666666</c:v>
                </c:pt>
                <c:pt idx="92">
                  <c:v>518152733.33333331</c:v>
                </c:pt>
                <c:pt idx="93">
                  <c:v>1713619833.3333333</c:v>
                </c:pt>
                <c:pt idx="94">
                  <c:v>760920033.33333337</c:v>
                </c:pt>
                <c:pt idx="95">
                  <c:v>959294600</c:v>
                </c:pt>
                <c:pt idx="96">
                  <c:v>3148373133.3333335</c:v>
                </c:pt>
                <c:pt idx="97">
                  <c:v>1140718266.6666667</c:v>
                </c:pt>
                <c:pt idx="98">
                  <c:v>2257515866.6666665</c:v>
                </c:pt>
                <c:pt idx="99">
                  <c:v>2500516933.3333335</c:v>
                </c:pt>
                <c:pt idx="100">
                  <c:v>3257003133.3333335</c:v>
                </c:pt>
                <c:pt idx="101">
                  <c:v>4304325366.666667</c:v>
                </c:pt>
                <c:pt idx="102">
                  <c:v>2368525425</c:v>
                </c:pt>
                <c:pt idx="103">
                  <c:v>7772265400</c:v>
                </c:pt>
                <c:pt idx="104">
                  <c:v>3686171533.3333335</c:v>
                </c:pt>
                <c:pt idx="105">
                  <c:v>5413960000</c:v>
                </c:pt>
                <c:pt idx="106">
                  <c:v>12001145675</c:v>
                </c:pt>
                <c:pt idx="107">
                  <c:v>6325510033.333333</c:v>
                </c:pt>
                <c:pt idx="108">
                  <c:v>6281690300</c:v>
                </c:pt>
                <c:pt idx="109">
                  <c:v>20795317033.333332</c:v>
                </c:pt>
                <c:pt idx="110">
                  <c:v>12734490825</c:v>
                </c:pt>
                <c:pt idx="111">
                  <c:v>26612369766.666668</c:v>
                </c:pt>
                <c:pt idx="112">
                  <c:v>13216683550</c:v>
                </c:pt>
                <c:pt idx="113">
                  <c:v>31398194066.666668</c:v>
                </c:pt>
                <c:pt idx="114">
                  <c:v>25249610433.333332</c:v>
                </c:pt>
                <c:pt idx="115">
                  <c:v>83150078633.333328</c:v>
                </c:pt>
                <c:pt idx="116">
                  <c:v>29882589066.666668</c:v>
                </c:pt>
                <c:pt idx="117">
                  <c:v>92756178866.666672</c:v>
                </c:pt>
                <c:pt idx="118">
                  <c:v>77684335033.333328</c:v>
                </c:pt>
                <c:pt idx="119">
                  <c:v>73830892300</c:v>
                </c:pt>
                <c:pt idx="120">
                  <c:v>3603665733.3333335</c:v>
                </c:pt>
                <c:pt idx="121">
                  <c:v>307711933.33333331</c:v>
                </c:pt>
                <c:pt idx="122">
                  <c:v>1013375600</c:v>
                </c:pt>
                <c:pt idx="123">
                  <c:v>901705233.33333337</c:v>
                </c:pt>
                <c:pt idx="124">
                  <c:v>2931585300</c:v>
                </c:pt>
                <c:pt idx="125">
                  <c:v>5740431000</c:v>
                </c:pt>
                <c:pt idx="126">
                  <c:v>1597483333.3333333</c:v>
                </c:pt>
                <c:pt idx="127">
                  <c:v>5294075366.666667</c:v>
                </c:pt>
                <c:pt idx="128">
                  <c:v>1919104500</c:v>
                </c:pt>
                <c:pt idx="129">
                  <c:v>11122932166.666666</c:v>
                </c:pt>
                <c:pt idx="130">
                  <c:v>2258592100</c:v>
                </c:pt>
                <c:pt idx="131">
                  <c:v>6040322133.333333</c:v>
                </c:pt>
                <c:pt idx="132">
                  <c:v>4400409475</c:v>
                </c:pt>
                <c:pt idx="133">
                  <c:v>14503695200</c:v>
                </c:pt>
                <c:pt idx="134">
                  <c:v>6438524433.333333</c:v>
                </c:pt>
                <c:pt idx="135">
                  <c:v>11027674233.333334</c:v>
                </c:pt>
                <c:pt idx="136">
                  <c:v>27644025700</c:v>
                </c:pt>
                <c:pt idx="137">
                  <c:v>11636015033.333334</c:v>
                </c:pt>
                <c:pt idx="138">
                  <c:v>38442308300</c:v>
                </c:pt>
                <c:pt idx="139">
                  <c:v>10466287266.666666</c:v>
                </c:pt>
                <c:pt idx="140">
                  <c:v>30527849550</c:v>
                </c:pt>
                <c:pt idx="141">
                  <c:v>73683119400</c:v>
                </c:pt>
                <c:pt idx="142">
                  <c:v>24394964100</c:v>
                </c:pt>
                <c:pt idx="143">
                  <c:v>66320972200</c:v>
                </c:pt>
                <c:pt idx="144">
                  <c:v>43975618000</c:v>
                </c:pt>
                <c:pt idx="145">
                  <c:v>144154079600</c:v>
                </c:pt>
                <c:pt idx="146">
                  <c:v>62050013833.333336</c:v>
                </c:pt>
                <c:pt idx="147">
                  <c:v>296576130333.33331</c:v>
                </c:pt>
                <c:pt idx="148">
                  <c:v>231008644500</c:v>
                </c:pt>
                <c:pt idx="149">
                  <c:v>151624285733.33334</c:v>
                </c:pt>
              </c:numCache>
            </c:numRef>
          </c:yVal>
          <c:smooth val="0"/>
          <c:extLst>
            <c:ext xmlns:c16="http://schemas.microsoft.com/office/drawing/2014/chart" uri="{C3380CC4-5D6E-409C-BE32-E72D297353CC}">
              <c16:uniqueId val="{00000000-C5BA-47BF-B1F8-6A59A21BB48A}"/>
            </c:ext>
          </c:extLst>
        </c:ser>
        <c:ser>
          <c:idx val="1"/>
          <c:order val="1"/>
          <c:tx>
            <c:v>P2P</c:v>
          </c:tx>
          <c:spPr>
            <a:ln w="25400" cap="rnd">
              <a:noFill/>
              <a:round/>
            </a:ln>
            <a:effectLst/>
          </c:spPr>
          <c:marker>
            <c:symbol val="circle"/>
            <c:size val="5"/>
            <c:spPr>
              <a:solidFill>
                <a:schemeClr val="accent2"/>
              </a:solidFill>
              <a:ln w="9525">
                <a:solidFill>
                  <a:schemeClr val="accent2"/>
                </a:solidFill>
              </a:ln>
              <a:effectLst/>
            </c:spPr>
          </c:marker>
          <c:xVal>
            <c:numRef>
              <c:f>avg!$O$2:$O$151</c:f>
              <c:numCache>
                <c:formatCode>General</c:formatCode>
                <c:ptCount val="150"/>
                <c:pt idx="0">
                  <c:v>86966.666666666672</c:v>
                </c:pt>
                <c:pt idx="1">
                  <c:v>76133.333333333328</c:v>
                </c:pt>
                <c:pt idx="2">
                  <c:v>73900</c:v>
                </c:pt>
                <c:pt idx="3">
                  <c:v>57000</c:v>
                </c:pt>
                <c:pt idx="4">
                  <c:v>78133.333333333328</c:v>
                </c:pt>
                <c:pt idx="5">
                  <c:v>93700</c:v>
                </c:pt>
                <c:pt idx="6">
                  <c:v>60966.666666666664</c:v>
                </c:pt>
                <c:pt idx="7">
                  <c:v>44966.666666666664</c:v>
                </c:pt>
                <c:pt idx="8">
                  <c:v>74300</c:v>
                </c:pt>
                <c:pt idx="9">
                  <c:v>72766.666666666672</c:v>
                </c:pt>
                <c:pt idx="10">
                  <c:v>87066.666666666672</c:v>
                </c:pt>
                <c:pt idx="11">
                  <c:v>73166.666666666672</c:v>
                </c:pt>
                <c:pt idx="12">
                  <c:v>114700</c:v>
                </c:pt>
                <c:pt idx="13">
                  <c:v>108375</c:v>
                </c:pt>
                <c:pt idx="14">
                  <c:v>80200</c:v>
                </c:pt>
                <c:pt idx="15">
                  <c:v>78100</c:v>
                </c:pt>
                <c:pt idx="16">
                  <c:v>100325</c:v>
                </c:pt>
                <c:pt idx="17">
                  <c:v>186200</c:v>
                </c:pt>
                <c:pt idx="18">
                  <c:v>184966.66666666666</c:v>
                </c:pt>
                <c:pt idx="19">
                  <c:v>90266.666666666672</c:v>
                </c:pt>
                <c:pt idx="20">
                  <c:v>82075</c:v>
                </c:pt>
                <c:pt idx="21">
                  <c:v>131533.33333333334</c:v>
                </c:pt>
                <c:pt idx="22">
                  <c:v>92600</c:v>
                </c:pt>
                <c:pt idx="23">
                  <c:v>93100</c:v>
                </c:pt>
                <c:pt idx="24">
                  <c:v>848533.33333333337</c:v>
                </c:pt>
                <c:pt idx="25">
                  <c:v>2552266.6666666665</c:v>
                </c:pt>
                <c:pt idx="26">
                  <c:v>77933.333333333328</c:v>
                </c:pt>
                <c:pt idx="27">
                  <c:v>495933.33333333331</c:v>
                </c:pt>
                <c:pt idx="28">
                  <c:v>148233.33333333334</c:v>
                </c:pt>
                <c:pt idx="29">
                  <c:v>75633.333333333328</c:v>
                </c:pt>
                <c:pt idx="30">
                  <c:v>87633.333333333328</c:v>
                </c:pt>
                <c:pt idx="31">
                  <c:v>133133.33333333334</c:v>
                </c:pt>
                <c:pt idx="32">
                  <c:v>108933.33333333333</c:v>
                </c:pt>
                <c:pt idx="33">
                  <c:v>152533.33333333334</c:v>
                </c:pt>
                <c:pt idx="34">
                  <c:v>147633.33333333334</c:v>
                </c:pt>
                <c:pt idx="35">
                  <c:v>79833.333333333328</c:v>
                </c:pt>
                <c:pt idx="36">
                  <c:v>167300</c:v>
                </c:pt>
                <c:pt idx="37">
                  <c:v>179166.66666666666</c:v>
                </c:pt>
                <c:pt idx="38">
                  <c:v>82866.666666666672</c:v>
                </c:pt>
                <c:pt idx="39">
                  <c:v>73633.333333333328</c:v>
                </c:pt>
                <c:pt idx="40">
                  <c:v>67300</c:v>
                </c:pt>
                <c:pt idx="41">
                  <c:v>71966.666666666672</c:v>
                </c:pt>
                <c:pt idx="42">
                  <c:v>245925</c:v>
                </c:pt>
                <c:pt idx="43">
                  <c:v>243500</c:v>
                </c:pt>
                <c:pt idx="44">
                  <c:v>88966.666666666672</c:v>
                </c:pt>
                <c:pt idx="45">
                  <c:v>72966.666666666672</c:v>
                </c:pt>
                <c:pt idx="46">
                  <c:v>122600</c:v>
                </c:pt>
                <c:pt idx="47">
                  <c:v>607833.33333333337</c:v>
                </c:pt>
                <c:pt idx="48">
                  <c:v>590433.33333333337</c:v>
                </c:pt>
                <c:pt idx="49">
                  <c:v>88533.333333333328</c:v>
                </c:pt>
                <c:pt idx="50">
                  <c:v>104000</c:v>
                </c:pt>
                <c:pt idx="51">
                  <c:v>192366.66666666666</c:v>
                </c:pt>
                <c:pt idx="52">
                  <c:v>81750</c:v>
                </c:pt>
                <c:pt idx="53">
                  <c:v>163400</c:v>
                </c:pt>
                <c:pt idx="54">
                  <c:v>2360533.3333333335</c:v>
                </c:pt>
                <c:pt idx="55">
                  <c:v>4300133.333333333</c:v>
                </c:pt>
                <c:pt idx="56">
                  <c:v>116700</c:v>
                </c:pt>
                <c:pt idx="57">
                  <c:v>926033.33333333337</c:v>
                </c:pt>
                <c:pt idx="58">
                  <c:v>482600</c:v>
                </c:pt>
                <c:pt idx="59">
                  <c:v>171733.33333333334</c:v>
                </c:pt>
                <c:pt idx="60">
                  <c:v>135400</c:v>
                </c:pt>
                <c:pt idx="61">
                  <c:v>119666.66666666667</c:v>
                </c:pt>
                <c:pt idx="62">
                  <c:v>156933.33333333334</c:v>
                </c:pt>
                <c:pt idx="63">
                  <c:v>129033.33333333333</c:v>
                </c:pt>
                <c:pt idx="64">
                  <c:v>88433.333333333328</c:v>
                </c:pt>
                <c:pt idx="65">
                  <c:v>181000</c:v>
                </c:pt>
                <c:pt idx="66">
                  <c:v>157533.33333333334</c:v>
                </c:pt>
                <c:pt idx="67">
                  <c:v>205933.33333333334</c:v>
                </c:pt>
                <c:pt idx="68">
                  <c:v>226900</c:v>
                </c:pt>
                <c:pt idx="69">
                  <c:v>81866.666666666672</c:v>
                </c:pt>
                <c:pt idx="70">
                  <c:v>173900</c:v>
                </c:pt>
                <c:pt idx="71">
                  <c:v>555550</c:v>
                </c:pt>
                <c:pt idx="72">
                  <c:v>572375</c:v>
                </c:pt>
                <c:pt idx="73">
                  <c:v>94200</c:v>
                </c:pt>
                <c:pt idx="74">
                  <c:v>106500</c:v>
                </c:pt>
                <c:pt idx="75">
                  <c:v>71166.666666666672</c:v>
                </c:pt>
                <c:pt idx="76">
                  <c:v>259625</c:v>
                </c:pt>
                <c:pt idx="77">
                  <c:v>1271300</c:v>
                </c:pt>
                <c:pt idx="78">
                  <c:v>1268166.6666666667</c:v>
                </c:pt>
                <c:pt idx="79">
                  <c:v>116766.66666666667</c:v>
                </c:pt>
                <c:pt idx="80">
                  <c:v>133150</c:v>
                </c:pt>
                <c:pt idx="81">
                  <c:v>663366.66666666663</c:v>
                </c:pt>
                <c:pt idx="82">
                  <c:v>127425</c:v>
                </c:pt>
                <c:pt idx="83">
                  <c:v>219566.66666666666</c:v>
                </c:pt>
                <c:pt idx="84">
                  <c:v>7909366.666666667</c:v>
                </c:pt>
                <c:pt idx="85">
                  <c:v>7503366.666666667</c:v>
                </c:pt>
                <c:pt idx="86">
                  <c:v>176266.66666666666</c:v>
                </c:pt>
                <c:pt idx="87">
                  <c:v>2567300</c:v>
                </c:pt>
                <c:pt idx="88">
                  <c:v>959733.33333333337</c:v>
                </c:pt>
                <c:pt idx="89">
                  <c:v>527466.66666666663</c:v>
                </c:pt>
                <c:pt idx="90">
                  <c:v>78900</c:v>
                </c:pt>
                <c:pt idx="91">
                  <c:v>90266.666666666672</c:v>
                </c:pt>
                <c:pt idx="92">
                  <c:v>136633.33333333334</c:v>
                </c:pt>
                <c:pt idx="93">
                  <c:v>146466.66666666666</c:v>
                </c:pt>
                <c:pt idx="94">
                  <c:v>164666.66666666666</c:v>
                </c:pt>
                <c:pt idx="95">
                  <c:v>380066.66666666669</c:v>
                </c:pt>
                <c:pt idx="96">
                  <c:v>401833.33333333331</c:v>
                </c:pt>
                <c:pt idx="97">
                  <c:v>138300</c:v>
                </c:pt>
                <c:pt idx="98">
                  <c:v>99100</c:v>
                </c:pt>
                <c:pt idx="99">
                  <c:v>183500</c:v>
                </c:pt>
                <c:pt idx="100">
                  <c:v>164166.66666666666</c:v>
                </c:pt>
                <c:pt idx="101">
                  <c:v>238800</c:v>
                </c:pt>
                <c:pt idx="102">
                  <c:v>846850</c:v>
                </c:pt>
                <c:pt idx="103">
                  <c:v>854450</c:v>
                </c:pt>
                <c:pt idx="104">
                  <c:v>89400</c:v>
                </c:pt>
                <c:pt idx="105">
                  <c:v>188033.33333333334</c:v>
                </c:pt>
                <c:pt idx="106">
                  <c:v>577650</c:v>
                </c:pt>
                <c:pt idx="107">
                  <c:v>101800</c:v>
                </c:pt>
                <c:pt idx="108">
                  <c:v>2266033.3333333335</c:v>
                </c:pt>
                <c:pt idx="109">
                  <c:v>2194766.6666666665</c:v>
                </c:pt>
                <c:pt idx="110">
                  <c:v>264225</c:v>
                </c:pt>
                <c:pt idx="111">
                  <c:v>1332100</c:v>
                </c:pt>
                <c:pt idx="112">
                  <c:v>126600</c:v>
                </c:pt>
                <c:pt idx="113">
                  <c:v>651566.66666666663</c:v>
                </c:pt>
                <c:pt idx="114">
                  <c:v>10060133.333333334</c:v>
                </c:pt>
                <c:pt idx="115">
                  <c:v>10860933.333333334</c:v>
                </c:pt>
                <c:pt idx="116">
                  <c:v>200800</c:v>
                </c:pt>
                <c:pt idx="117">
                  <c:v>5664166.666666667</c:v>
                </c:pt>
                <c:pt idx="118">
                  <c:v>2606066.6666666665</c:v>
                </c:pt>
                <c:pt idx="119">
                  <c:v>919066.66666666663</c:v>
                </c:pt>
                <c:pt idx="120">
                  <c:v>114866.66666666667</c:v>
                </c:pt>
                <c:pt idx="121">
                  <c:v>151933.33333333334</c:v>
                </c:pt>
                <c:pt idx="122">
                  <c:v>157266.66666666666</c:v>
                </c:pt>
                <c:pt idx="123">
                  <c:v>410833.33333333331</c:v>
                </c:pt>
                <c:pt idx="124">
                  <c:v>443133.33333333331</c:v>
                </c:pt>
                <c:pt idx="125">
                  <c:v>163000</c:v>
                </c:pt>
                <c:pt idx="126">
                  <c:v>753100</c:v>
                </c:pt>
                <c:pt idx="127">
                  <c:v>758933.33333333337</c:v>
                </c:pt>
                <c:pt idx="128">
                  <c:v>166366.66666666666</c:v>
                </c:pt>
                <c:pt idx="129">
                  <c:v>401833.33333333331</c:v>
                </c:pt>
                <c:pt idx="130">
                  <c:v>143700</c:v>
                </c:pt>
                <c:pt idx="131">
                  <c:v>189366.66666666666</c:v>
                </c:pt>
                <c:pt idx="132">
                  <c:v>2013575</c:v>
                </c:pt>
                <c:pt idx="133">
                  <c:v>2085300</c:v>
                </c:pt>
                <c:pt idx="134">
                  <c:v>156933.33333333334</c:v>
                </c:pt>
                <c:pt idx="135">
                  <c:v>252200</c:v>
                </c:pt>
                <c:pt idx="136">
                  <c:v>894150</c:v>
                </c:pt>
                <c:pt idx="137">
                  <c:v>4897500</c:v>
                </c:pt>
                <c:pt idx="138">
                  <c:v>5193266.666666667</c:v>
                </c:pt>
                <c:pt idx="139">
                  <c:v>193866.66666666666</c:v>
                </c:pt>
                <c:pt idx="140">
                  <c:v>596625</c:v>
                </c:pt>
                <c:pt idx="141">
                  <c:v>2386533.3333333335</c:v>
                </c:pt>
                <c:pt idx="142">
                  <c:v>273275</c:v>
                </c:pt>
                <c:pt idx="143">
                  <c:v>1550866.6666666667</c:v>
                </c:pt>
                <c:pt idx="144">
                  <c:v>28451566.666666668</c:v>
                </c:pt>
                <c:pt idx="145">
                  <c:v>29017333.333333332</c:v>
                </c:pt>
                <c:pt idx="146">
                  <c:v>639733.33333333337</c:v>
                </c:pt>
                <c:pt idx="147">
                  <c:v>9633533.333333334</c:v>
                </c:pt>
                <c:pt idx="148">
                  <c:v>5930200</c:v>
                </c:pt>
                <c:pt idx="149">
                  <c:v>2563533.3333333335</c:v>
                </c:pt>
              </c:numCache>
            </c:numRef>
          </c:xVal>
          <c:yVal>
            <c:numRef>
              <c:f>avg!$P$2:$P$151</c:f>
              <c:numCache>
                <c:formatCode>General</c:formatCode>
                <c:ptCount val="150"/>
                <c:pt idx="0">
                  <c:v>21423633.333333332</c:v>
                </c:pt>
                <c:pt idx="1">
                  <c:v>24801966.666666668</c:v>
                </c:pt>
                <c:pt idx="2">
                  <c:v>63860333.333333336</c:v>
                </c:pt>
                <c:pt idx="3">
                  <c:v>74643366.666666672</c:v>
                </c:pt>
                <c:pt idx="4">
                  <c:v>105301600</c:v>
                </c:pt>
                <c:pt idx="5">
                  <c:v>106587300</c:v>
                </c:pt>
                <c:pt idx="6">
                  <c:v>122301366.66666667</c:v>
                </c:pt>
                <c:pt idx="7">
                  <c:v>141461766.66666666</c:v>
                </c:pt>
                <c:pt idx="8">
                  <c:v>141587200</c:v>
                </c:pt>
                <c:pt idx="9">
                  <c:v>142448200</c:v>
                </c:pt>
                <c:pt idx="10">
                  <c:v>254781133.33333334</c:v>
                </c:pt>
                <c:pt idx="11">
                  <c:v>280821466.66666669</c:v>
                </c:pt>
                <c:pt idx="12">
                  <c:v>294747025</c:v>
                </c:pt>
                <c:pt idx="13">
                  <c:v>297315575</c:v>
                </c:pt>
                <c:pt idx="14">
                  <c:v>480683366.66666669</c:v>
                </c:pt>
                <c:pt idx="15">
                  <c:v>521200700</c:v>
                </c:pt>
                <c:pt idx="16">
                  <c:v>639837000</c:v>
                </c:pt>
                <c:pt idx="17">
                  <c:v>728269400</c:v>
                </c:pt>
                <c:pt idx="18">
                  <c:v>754376300</c:v>
                </c:pt>
                <c:pt idx="19">
                  <c:v>766461766.66666663</c:v>
                </c:pt>
                <c:pt idx="20">
                  <c:v>1201412925</c:v>
                </c:pt>
                <c:pt idx="21">
                  <c:v>1626856900</c:v>
                </c:pt>
                <c:pt idx="22">
                  <c:v>1836563100</c:v>
                </c:pt>
                <c:pt idx="23">
                  <c:v>2609693800</c:v>
                </c:pt>
                <c:pt idx="24">
                  <c:v>2721066766.6666665</c:v>
                </c:pt>
                <c:pt idx="25">
                  <c:v>2812128566.6666665</c:v>
                </c:pt>
                <c:pt idx="26">
                  <c:v>4105494600</c:v>
                </c:pt>
                <c:pt idx="27">
                  <c:v>5400274766.666667</c:v>
                </c:pt>
                <c:pt idx="28">
                  <c:v>7550143300</c:v>
                </c:pt>
                <c:pt idx="29">
                  <c:v>8558076366.666667</c:v>
                </c:pt>
                <c:pt idx="30">
                  <c:v>73060866.666666672</c:v>
                </c:pt>
                <c:pt idx="31">
                  <c:v>73307466.666666672</c:v>
                </c:pt>
                <c:pt idx="32">
                  <c:v>88271833.333333328</c:v>
                </c:pt>
                <c:pt idx="33">
                  <c:v>130258200</c:v>
                </c:pt>
                <c:pt idx="34">
                  <c:v>143368800</c:v>
                </c:pt>
                <c:pt idx="35">
                  <c:v>250483966.66666666</c:v>
                </c:pt>
                <c:pt idx="36">
                  <c:v>265056966.66666666</c:v>
                </c:pt>
                <c:pt idx="37">
                  <c:v>271327266.66666669</c:v>
                </c:pt>
                <c:pt idx="38">
                  <c:v>416680866.66666669</c:v>
                </c:pt>
                <c:pt idx="39">
                  <c:v>418800266.66666669</c:v>
                </c:pt>
                <c:pt idx="40">
                  <c:v>560661400</c:v>
                </c:pt>
                <c:pt idx="41">
                  <c:v>615082133.33333337</c:v>
                </c:pt>
                <c:pt idx="42">
                  <c:v>696792325</c:v>
                </c:pt>
                <c:pt idx="43">
                  <c:v>716348625</c:v>
                </c:pt>
                <c:pt idx="44">
                  <c:v>1048440200</c:v>
                </c:pt>
                <c:pt idx="45">
                  <c:v>1151208900</c:v>
                </c:pt>
                <c:pt idx="46">
                  <c:v>1158626000</c:v>
                </c:pt>
                <c:pt idx="47">
                  <c:v>1754102466.6666667</c:v>
                </c:pt>
                <c:pt idx="48">
                  <c:v>1822946433.3333333</c:v>
                </c:pt>
                <c:pt idx="49">
                  <c:v>1942352400</c:v>
                </c:pt>
                <c:pt idx="50">
                  <c:v>2560723200</c:v>
                </c:pt>
                <c:pt idx="51">
                  <c:v>3012407133.3333335</c:v>
                </c:pt>
                <c:pt idx="52">
                  <c:v>4911088800</c:v>
                </c:pt>
                <c:pt idx="53">
                  <c:v>6631832400</c:v>
                </c:pt>
                <c:pt idx="54">
                  <c:v>7678203533.333333</c:v>
                </c:pt>
                <c:pt idx="55">
                  <c:v>8023821133.333333</c:v>
                </c:pt>
                <c:pt idx="56">
                  <c:v>10482590300</c:v>
                </c:pt>
                <c:pt idx="57">
                  <c:v>11140016166.666666</c:v>
                </c:pt>
                <c:pt idx="58">
                  <c:v>22034824566.666668</c:v>
                </c:pt>
                <c:pt idx="59">
                  <c:v>30519790433.333332</c:v>
                </c:pt>
                <c:pt idx="60">
                  <c:v>215843500</c:v>
                </c:pt>
                <c:pt idx="61">
                  <c:v>228115733.33333334</c:v>
                </c:pt>
                <c:pt idx="62">
                  <c:v>281626400</c:v>
                </c:pt>
                <c:pt idx="63">
                  <c:v>282998100</c:v>
                </c:pt>
                <c:pt idx="64">
                  <c:v>284058700</c:v>
                </c:pt>
                <c:pt idx="65">
                  <c:v>290985500</c:v>
                </c:pt>
                <c:pt idx="66">
                  <c:v>514413833.33333331</c:v>
                </c:pt>
                <c:pt idx="67">
                  <c:v>583530600</c:v>
                </c:pt>
                <c:pt idx="68">
                  <c:v>599225500</c:v>
                </c:pt>
                <c:pt idx="69">
                  <c:v>1031832766.6666666</c:v>
                </c:pt>
                <c:pt idx="70">
                  <c:v>1033444800</c:v>
                </c:pt>
                <c:pt idx="71">
                  <c:v>1461051400</c:v>
                </c:pt>
                <c:pt idx="72">
                  <c:v>1505678525</c:v>
                </c:pt>
                <c:pt idx="73">
                  <c:v>1657408966.6666667</c:v>
                </c:pt>
                <c:pt idx="74">
                  <c:v>1665592533.3333333</c:v>
                </c:pt>
                <c:pt idx="75">
                  <c:v>2565379366.6666665</c:v>
                </c:pt>
                <c:pt idx="76">
                  <c:v>2855677225</c:v>
                </c:pt>
                <c:pt idx="77">
                  <c:v>4102913033.3333335</c:v>
                </c:pt>
                <c:pt idx="78">
                  <c:v>4258600833.3333335</c:v>
                </c:pt>
                <c:pt idx="79">
                  <c:v>4616192966.666667</c:v>
                </c:pt>
                <c:pt idx="80">
                  <c:v>4665209700</c:v>
                </c:pt>
                <c:pt idx="81">
                  <c:v>7157454266.666667</c:v>
                </c:pt>
                <c:pt idx="82">
                  <c:v>10339566850</c:v>
                </c:pt>
                <c:pt idx="83">
                  <c:v>12310535566.666666</c:v>
                </c:pt>
                <c:pt idx="84">
                  <c:v>18438664900</c:v>
                </c:pt>
                <c:pt idx="85">
                  <c:v>19092614300</c:v>
                </c:pt>
                <c:pt idx="86">
                  <c:v>26608785033.333332</c:v>
                </c:pt>
                <c:pt idx="87">
                  <c:v>31594382566.666668</c:v>
                </c:pt>
                <c:pt idx="88">
                  <c:v>45222063300</c:v>
                </c:pt>
                <c:pt idx="89">
                  <c:v>89291286200</c:v>
                </c:pt>
                <c:pt idx="90">
                  <c:v>153814166.66666666</c:v>
                </c:pt>
                <c:pt idx="91">
                  <c:v>154032433.33333334</c:v>
                </c:pt>
                <c:pt idx="92">
                  <c:v>475381466.66666669</c:v>
                </c:pt>
                <c:pt idx="93">
                  <c:v>490877300</c:v>
                </c:pt>
                <c:pt idx="94">
                  <c:v>836209700</c:v>
                </c:pt>
                <c:pt idx="95">
                  <c:v>865951100</c:v>
                </c:pt>
                <c:pt idx="96">
                  <c:v>884277666.66666663</c:v>
                </c:pt>
                <c:pt idx="97">
                  <c:v>1113935233.3333333</c:v>
                </c:pt>
                <c:pt idx="98">
                  <c:v>1117915466.6666667</c:v>
                </c:pt>
                <c:pt idx="99">
                  <c:v>1155537933.3333333</c:v>
                </c:pt>
                <c:pt idx="100">
                  <c:v>2097511900</c:v>
                </c:pt>
                <c:pt idx="101">
                  <c:v>2387255766.6666665</c:v>
                </c:pt>
                <c:pt idx="102">
                  <c:v>2541637750</c:v>
                </c:pt>
                <c:pt idx="103">
                  <c:v>2620377475</c:v>
                </c:pt>
                <c:pt idx="104">
                  <c:v>4087905200</c:v>
                </c:pt>
                <c:pt idx="105">
                  <c:v>4196638033.3333335</c:v>
                </c:pt>
                <c:pt idx="106">
                  <c:v>6000168425</c:v>
                </c:pt>
                <c:pt idx="107">
                  <c:v>6682671333.333333</c:v>
                </c:pt>
                <c:pt idx="108">
                  <c:v>6954640500</c:v>
                </c:pt>
                <c:pt idx="109">
                  <c:v>7167253666.666667</c:v>
                </c:pt>
                <c:pt idx="110">
                  <c:v>11794091475</c:v>
                </c:pt>
                <c:pt idx="111">
                  <c:v>16903209066.666666</c:v>
                </c:pt>
                <c:pt idx="112">
                  <c:v>18725511100</c:v>
                </c:pt>
                <c:pt idx="113">
                  <c:v>28920375900</c:v>
                </c:pt>
                <c:pt idx="114">
                  <c:v>31021438566.666668</c:v>
                </c:pt>
                <c:pt idx="115">
                  <c:v>32062535266.666668</c:v>
                </c:pt>
                <c:pt idx="116">
                  <c:v>50201264133.333336</c:v>
                </c:pt>
                <c:pt idx="117">
                  <c:v>75799813166.666672</c:v>
                </c:pt>
                <c:pt idx="118">
                  <c:v>128325719066.66667</c:v>
                </c:pt>
                <c:pt idx="119">
                  <c:v>183187278233.33334</c:v>
                </c:pt>
                <c:pt idx="120">
                  <c:v>579143166.66666663</c:v>
                </c:pt>
                <c:pt idx="121">
                  <c:v>580615333.33333337</c:v>
                </c:pt>
                <c:pt idx="122">
                  <c:v>581788566.66666663</c:v>
                </c:pt>
                <c:pt idx="123">
                  <c:v>1001839733.3333334</c:v>
                </c:pt>
                <c:pt idx="124">
                  <c:v>1038055166.6666666</c:v>
                </c:pt>
                <c:pt idx="125">
                  <c:v>2021285500</c:v>
                </c:pt>
                <c:pt idx="126">
                  <c:v>2113761633.3333333</c:v>
                </c:pt>
                <c:pt idx="127">
                  <c:v>2180498000</c:v>
                </c:pt>
                <c:pt idx="128">
                  <c:v>3329279166.6666665</c:v>
                </c:pt>
                <c:pt idx="129">
                  <c:v>3495027900</c:v>
                </c:pt>
                <c:pt idx="130">
                  <c:v>4433186466.666667</c:v>
                </c:pt>
                <c:pt idx="131">
                  <c:v>4864637733.333333</c:v>
                </c:pt>
                <c:pt idx="132">
                  <c:v>6057635650</c:v>
                </c:pt>
                <c:pt idx="133">
                  <c:v>6250208125</c:v>
                </c:pt>
                <c:pt idx="134">
                  <c:v>8339799100</c:v>
                </c:pt>
                <c:pt idx="135">
                  <c:v>9767888033.333334</c:v>
                </c:pt>
                <c:pt idx="136">
                  <c:v>10440522850</c:v>
                </c:pt>
                <c:pt idx="137">
                  <c:v>16092282066.666666</c:v>
                </c:pt>
                <c:pt idx="138">
                  <c:v>16686779766.666666</c:v>
                </c:pt>
                <c:pt idx="139">
                  <c:v>16889672833.333334</c:v>
                </c:pt>
                <c:pt idx="140">
                  <c:v>24287483325</c:v>
                </c:pt>
                <c:pt idx="141">
                  <c:v>28972809266.666668</c:v>
                </c:pt>
                <c:pt idx="142">
                  <c:v>48647507425</c:v>
                </c:pt>
                <c:pt idx="143">
                  <c:v>68746288066.666672</c:v>
                </c:pt>
                <c:pt idx="144">
                  <c:v>83231411500</c:v>
                </c:pt>
                <c:pt idx="145">
                  <c:v>85580523066.666672</c:v>
                </c:pt>
                <c:pt idx="146">
                  <c:v>116562140800</c:v>
                </c:pt>
                <c:pt idx="147">
                  <c:v>127609824133.33333</c:v>
                </c:pt>
                <c:pt idx="148">
                  <c:v>307469533500</c:v>
                </c:pt>
                <c:pt idx="149">
                  <c:v>519108951666.66669</c:v>
                </c:pt>
              </c:numCache>
            </c:numRef>
          </c:yVal>
          <c:smooth val="0"/>
          <c:extLst>
            <c:ext xmlns:c16="http://schemas.microsoft.com/office/drawing/2014/chart" uri="{C3380CC4-5D6E-409C-BE32-E72D297353CC}">
              <c16:uniqueId val="{00000001-C5BA-47BF-B1F8-6A59A21BB48A}"/>
            </c:ext>
          </c:extLst>
        </c:ser>
        <c:dLbls>
          <c:showLegendKey val="0"/>
          <c:showVal val="0"/>
          <c:showCatName val="0"/>
          <c:showSerName val="0"/>
          <c:showPercent val="0"/>
          <c:showBubbleSize val="0"/>
        </c:dLbls>
        <c:axId val="1375453104"/>
        <c:axId val="1375453520"/>
      </c:scatterChart>
      <c:valAx>
        <c:axId val="1375453104"/>
        <c:scaling>
          <c:logBase val="10"/>
          <c:orientation val="minMax"/>
          <c:min val="1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Transfer 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453520"/>
        <c:crosses val="autoZero"/>
        <c:crossBetween val="midCat"/>
      </c:valAx>
      <c:valAx>
        <c:axId val="1375453520"/>
        <c:scaling>
          <c:logBase val="10"/>
          <c:orientation val="minMax"/>
          <c:min val="10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Computation Time</a:t>
                </a:r>
              </a:p>
            </c:rich>
          </c:tx>
          <c:layout>
            <c:manualLayout>
              <c:xMode val="edge"/>
              <c:yMode val="edge"/>
              <c:x val="2.2222222222222223E-2"/>
              <c:y val="0.2332906824146981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453104"/>
        <c:crosses val="autoZero"/>
        <c:crossBetween val="midCat"/>
      </c:valAx>
      <c:spPr>
        <a:noFill/>
        <a:ln>
          <a:noFill/>
        </a:ln>
        <a:effectLst/>
      </c:spPr>
    </c:plotArea>
    <c:legend>
      <c:legendPos val="b"/>
      <c:layout>
        <c:manualLayout>
          <c:xMode val="edge"/>
          <c:yMode val="edge"/>
          <c:x val="0.44221150481189864"/>
          <c:y val="0.9242928752344719"/>
          <c:w val="0.16557699037620296"/>
          <c:h val="7.07552122022483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017363214213609"/>
          <c:y val="5.2380952380952382E-2"/>
          <c:w val="0.81631687865939839"/>
          <c:h val="0.67486464191975992"/>
        </c:manualLayout>
      </c:layout>
      <c:scatterChart>
        <c:scatterStyle val="lineMarker"/>
        <c:varyColors val="0"/>
        <c:ser>
          <c:idx val="0"/>
          <c:order val="0"/>
          <c:tx>
            <c:strRef>
              <c:f>X!$W$1</c:f>
              <c:strCache>
                <c:ptCount val="1"/>
                <c:pt idx="0">
                  <c:v>share CPU FF</c:v>
                </c:pt>
              </c:strCache>
            </c:strRef>
          </c:tx>
          <c:spPr>
            <a:ln w="19050" cap="rnd">
              <a:noFill/>
              <a:round/>
            </a:ln>
            <a:effectLst/>
          </c:spPr>
          <c:marker>
            <c:symbol val="circle"/>
            <c:size val="5"/>
            <c:spPr>
              <a:solidFill>
                <a:schemeClr val="accent1"/>
              </a:solidFill>
              <a:ln w="9525">
                <a:solidFill>
                  <a:schemeClr val="accent1"/>
                </a:solidFill>
              </a:ln>
              <a:effectLst/>
            </c:spPr>
          </c:marker>
          <c:xVal>
            <c:numRef>
              <c:f>X!$W$2:$W$151</c:f>
              <c:numCache>
                <c:formatCode>General</c:formatCode>
                <c:ptCount val="150"/>
                <c:pt idx="0">
                  <c:v>0.90601254395278552</c:v>
                </c:pt>
                <c:pt idx="1">
                  <c:v>0.90676959009852853</c:v>
                </c:pt>
                <c:pt idx="2">
                  <c:v>0.89238336607848723</c:v>
                </c:pt>
                <c:pt idx="3">
                  <c:v>0.8749549407908056</c:v>
                </c:pt>
                <c:pt idx="4">
                  <c:v>0.82760698240579667</c:v>
                </c:pt>
                <c:pt idx="5">
                  <c:v>0.83082486714324733</c:v>
                </c:pt>
                <c:pt idx="6">
                  <c:v>0.83299470041573076</c:v>
                </c:pt>
                <c:pt idx="7">
                  <c:v>0.80929332435421364</c:v>
                </c:pt>
                <c:pt idx="8">
                  <c:v>0.82156360032299125</c:v>
                </c:pt>
                <c:pt idx="9">
                  <c:v>0.79144632066750442</c:v>
                </c:pt>
                <c:pt idx="10">
                  <c:v>0.78891248252664037</c:v>
                </c:pt>
                <c:pt idx="11">
                  <c:v>0.78962137365929397</c:v>
                </c:pt>
                <c:pt idx="12">
                  <c:v>0.80161785012996956</c:v>
                </c:pt>
                <c:pt idx="13">
                  <c:v>0.80292272906041129</c:v>
                </c:pt>
                <c:pt idx="14">
                  <c:v>0.79194107187655116</c:v>
                </c:pt>
                <c:pt idx="15">
                  <c:v>0.78645491294938097</c:v>
                </c:pt>
                <c:pt idx="16">
                  <c:v>0.7586893606221643</c:v>
                </c:pt>
                <c:pt idx="17">
                  <c:v>0.74845581766168812</c:v>
                </c:pt>
                <c:pt idx="18">
                  <c:v>0.74165863161467327</c:v>
                </c:pt>
                <c:pt idx="19">
                  <c:v>0.74899751949964055</c:v>
                </c:pt>
                <c:pt idx="20">
                  <c:v>0.74068067293943762</c:v>
                </c:pt>
                <c:pt idx="21">
                  <c:v>0.72979439740483498</c:v>
                </c:pt>
                <c:pt idx="22">
                  <c:v>0.73780065945788154</c:v>
                </c:pt>
                <c:pt idx="23">
                  <c:v>0.73634565926464846</c:v>
                </c:pt>
                <c:pt idx="24">
                  <c:v>0.7344707037034871</c:v>
                </c:pt>
                <c:pt idx="25">
                  <c:v>0.72674089527632424</c:v>
                </c:pt>
                <c:pt idx="26">
                  <c:v>0.73048189366049676</c:v>
                </c:pt>
                <c:pt idx="27">
                  <c:v>0.73059762813459073</c:v>
                </c:pt>
                <c:pt idx="28">
                  <c:v>0.71578115215308769</c:v>
                </c:pt>
                <c:pt idx="29">
                  <c:v>0.71491397351591224</c:v>
                </c:pt>
                <c:pt idx="30">
                  <c:v>0.71751972208979797</c:v>
                </c:pt>
                <c:pt idx="31">
                  <c:v>0.71846756283756186</c:v>
                </c:pt>
                <c:pt idx="32">
                  <c:v>0.70674989447027492</c:v>
                </c:pt>
                <c:pt idx="33">
                  <c:v>0.68688310316688117</c:v>
                </c:pt>
                <c:pt idx="34">
                  <c:v>0.68753680816446938</c:v>
                </c:pt>
                <c:pt idx="35">
                  <c:v>0.68762854232137627</c:v>
                </c:pt>
                <c:pt idx="36">
                  <c:v>0.68428988555926762</c:v>
                </c:pt>
                <c:pt idx="37">
                  <c:v>0.67540209972574949</c:v>
                </c:pt>
                <c:pt idx="38">
                  <c:v>0.67541857802732252</c:v>
                </c:pt>
                <c:pt idx="39">
                  <c:v>0.6639431215915198</c:v>
                </c:pt>
                <c:pt idx="40">
                  <c:v>0.6090967456528863</c:v>
                </c:pt>
                <c:pt idx="41">
                  <c:v>0.66845403586618346</c:v>
                </c:pt>
                <c:pt idx="42">
                  <c:v>0.65819630330874745</c:v>
                </c:pt>
                <c:pt idx="43">
                  <c:v>0.65692982395357058</c:v>
                </c:pt>
                <c:pt idx="44">
                  <c:v>0.65244929344016456</c:v>
                </c:pt>
                <c:pt idx="45">
                  <c:v>0.6491138502448569</c:v>
                </c:pt>
                <c:pt idx="46">
                  <c:v>0.61531020405345715</c:v>
                </c:pt>
                <c:pt idx="47">
                  <c:v>0.62847357357812794</c:v>
                </c:pt>
                <c:pt idx="48">
                  <c:v>0.63734288024599195</c:v>
                </c:pt>
                <c:pt idx="49">
                  <c:v>0.63824877270112101</c:v>
                </c:pt>
                <c:pt idx="50">
                  <c:v>0.63677799212894515</c:v>
                </c:pt>
                <c:pt idx="51">
                  <c:v>0.61374457258537396</c:v>
                </c:pt>
                <c:pt idx="52">
                  <c:v>0.62947811978877277</c:v>
                </c:pt>
                <c:pt idx="53">
                  <c:v>0.63122706237987514</c:v>
                </c:pt>
                <c:pt idx="54">
                  <c:v>0.62004884788442538</c:v>
                </c:pt>
                <c:pt idx="55">
                  <c:v>0.61895512927970908</c:v>
                </c:pt>
                <c:pt idx="56">
                  <c:v>0.60557619996928091</c:v>
                </c:pt>
                <c:pt idx="57">
                  <c:v>0.61653342029042912</c:v>
                </c:pt>
                <c:pt idx="58">
                  <c:v>0.61913036709039881</c:v>
                </c:pt>
                <c:pt idx="59">
                  <c:v>0.61210916395572146</c:v>
                </c:pt>
                <c:pt idx="60">
                  <c:v>0.57742212346294353</c:v>
                </c:pt>
                <c:pt idx="61">
                  <c:v>0.60078297849681883</c:v>
                </c:pt>
                <c:pt idx="62">
                  <c:v>0.59763711036050782</c:v>
                </c:pt>
                <c:pt idx="63">
                  <c:v>0.59170561619892159</c:v>
                </c:pt>
                <c:pt idx="64">
                  <c:v>0.57529612988726542</c:v>
                </c:pt>
                <c:pt idx="65">
                  <c:v>0.58869326404126598</c:v>
                </c:pt>
                <c:pt idx="66">
                  <c:v>0.56414991019050198</c:v>
                </c:pt>
                <c:pt idx="67">
                  <c:v>0.5716781651959012</c:v>
                </c:pt>
                <c:pt idx="68">
                  <c:v>0.5800920439106767</c:v>
                </c:pt>
                <c:pt idx="69">
                  <c:v>0.54566640829627377</c:v>
                </c:pt>
                <c:pt idx="70">
                  <c:v>0.57601283405445058</c:v>
                </c:pt>
                <c:pt idx="71">
                  <c:v>0.57504634880716254</c:v>
                </c:pt>
                <c:pt idx="72">
                  <c:v>0.56697341270465107</c:v>
                </c:pt>
                <c:pt idx="73">
                  <c:v>0.56321867283402194</c:v>
                </c:pt>
                <c:pt idx="74">
                  <c:v>0.55454051141633631</c:v>
                </c:pt>
                <c:pt idx="75">
                  <c:v>0.53419641042326171</c:v>
                </c:pt>
                <c:pt idx="76">
                  <c:v>0.54736256722534904</c:v>
                </c:pt>
                <c:pt idx="77">
                  <c:v>0.54314090098857748</c:v>
                </c:pt>
                <c:pt idx="78">
                  <c:v>0.52757207832990305</c:v>
                </c:pt>
                <c:pt idx="79">
                  <c:v>0.52434845637332061</c:v>
                </c:pt>
                <c:pt idx="80">
                  <c:v>0.52075807488610082</c:v>
                </c:pt>
                <c:pt idx="81">
                  <c:v>0.51933041099104649</c:v>
                </c:pt>
                <c:pt idx="82">
                  <c:v>0.50153455902662269</c:v>
                </c:pt>
                <c:pt idx="83">
                  <c:v>0.50998129282549964</c:v>
                </c:pt>
                <c:pt idx="84">
                  <c:v>0.49734671659970764</c:v>
                </c:pt>
                <c:pt idx="85">
                  <c:v>0.49379310434194212</c:v>
                </c:pt>
                <c:pt idx="86">
                  <c:v>0.48859368742763665</c:v>
                </c:pt>
                <c:pt idx="87">
                  <c:v>0.48707032644725023</c:v>
                </c:pt>
                <c:pt idx="88">
                  <c:v>0.47027754541090799</c:v>
                </c:pt>
                <c:pt idx="89">
                  <c:v>0.48335367183629319</c:v>
                </c:pt>
                <c:pt idx="90">
                  <c:v>0.46874700826261206</c:v>
                </c:pt>
                <c:pt idx="91">
                  <c:v>0.47833431806766946</c:v>
                </c:pt>
                <c:pt idx="92">
                  <c:v>0.46019211612650912</c:v>
                </c:pt>
                <c:pt idx="93">
                  <c:v>0.46268112865794619</c:v>
                </c:pt>
                <c:pt idx="94">
                  <c:v>0.46545960998840641</c:v>
                </c:pt>
                <c:pt idx="95">
                  <c:v>0.4641477732994756</c:v>
                </c:pt>
                <c:pt idx="96">
                  <c:v>0.46160734193051634</c:v>
                </c:pt>
                <c:pt idx="97">
                  <c:v>0.46030380763883511</c:v>
                </c:pt>
                <c:pt idx="98">
                  <c:v>0.4519324193727996</c:v>
                </c:pt>
                <c:pt idx="99">
                  <c:v>0.45216363543837018</c:v>
                </c:pt>
                <c:pt idx="100">
                  <c:v>0.44746184921126642</c:v>
                </c:pt>
                <c:pt idx="101">
                  <c:v>0.44675008339081035</c:v>
                </c:pt>
                <c:pt idx="102">
                  <c:v>0.43739774452934566</c:v>
                </c:pt>
                <c:pt idx="103">
                  <c:v>0.43374355354976024</c:v>
                </c:pt>
                <c:pt idx="104">
                  <c:v>0.43683421854296117</c:v>
                </c:pt>
                <c:pt idx="105">
                  <c:v>0.41556951408846976</c:v>
                </c:pt>
                <c:pt idx="106">
                  <c:v>0.41631795424303619</c:v>
                </c:pt>
                <c:pt idx="107">
                  <c:v>0.40423689663910345</c:v>
                </c:pt>
                <c:pt idx="108">
                  <c:v>0.40094146504288453</c:v>
                </c:pt>
                <c:pt idx="109">
                  <c:v>0.39754787186850576</c:v>
                </c:pt>
                <c:pt idx="110">
                  <c:v>0.39131915692279301</c:v>
                </c:pt>
                <c:pt idx="111">
                  <c:v>0.3985897625721041</c:v>
                </c:pt>
                <c:pt idx="112">
                  <c:v>0.39650253097402433</c:v>
                </c:pt>
                <c:pt idx="113">
                  <c:v>0.39569854287171735</c:v>
                </c:pt>
                <c:pt idx="114">
                  <c:v>0.3863375192559047</c:v>
                </c:pt>
                <c:pt idx="115">
                  <c:v>0.37710513081797614</c:v>
                </c:pt>
                <c:pt idx="116">
                  <c:v>0.37456995741512861</c:v>
                </c:pt>
                <c:pt idx="117">
                  <c:v>0.36849107766301004</c:v>
                </c:pt>
                <c:pt idx="118">
                  <c:v>0.366014033095719</c:v>
                </c:pt>
                <c:pt idx="119">
                  <c:v>0.36021902007548129</c:v>
                </c:pt>
                <c:pt idx="120">
                  <c:v>0.35359415466492</c:v>
                </c:pt>
                <c:pt idx="121">
                  <c:v>0.34575822405004819</c:v>
                </c:pt>
                <c:pt idx="122">
                  <c:v>0.33846779838071966</c:v>
                </c:pt>
                <c:pt idx="123">
                  <c:v>0.33487140816972411</c:v>
                </c:pt>
                <c:pt idx="124">
                  <c:v>0.33093141470982346</c:v>
                </c:pt>
                <c:pt idx="125">
                  <c:v>0.32574029553163258</c:v>
                </c:pt>
                <c:pt idx="126">
                  <c:v>0.31734358057488016</c:v>
                </c:pt>
                <c:pt idx="127">
                  <c:v>0.31844101862762902</c:v>
                </c:pt>
                <c:pt idx="128">
                  <c:v>0.30019596295564571</c:v>
                </c:pt>
                <c:pt idx="129">
                  <c:v>0.29845387989790795</c:v>
                </c:pt>
                <c:pt idx="130">
                  <c:v>0.29563375854217128</c:v>
                </c:pt>
                <c:pt idx="131">
                  <c:v>0.28181952331275678</c:v>
                </c:pt>
                <c:pt idx="132">
                  <c:v>0.28084101815549944</c:v>
                </c:pt>
                <c:pt idx="133">
                  <c:v>0.27601753566919868</c:v>
                </c:pt>
                <c:pt idx="134">
                  <c:v>0.27574876843011503</c:v>
                </c:pt>
                <c:pt idx="135">
                  <c:v>0.27445588684735156</c:v>
                </c:pt>
                <c:pt idx="136">
                  <c:v>0.27332311720515373</c:v>
                </c:pt>
                <c:pt idx="137">
                  <c:v>0.2532692409117045</c:v>
                </c:pt>
                <c:pt idx="138">
                  <c:v>0.24783652932892153</c:v>
                </c:pt>
                <c:pt idx="139">
                  <c:v>0.21785294014213658</c:v>
                </c:pt>
                <c:pt idx="140">
                  <c:v>0.21527494421966178</c:v>
                </c:pt>
                <c:pt idx="141">
                  <c:v>0.21336977737699137</c:v>
                </c:pt>
                <c:pt idx="142">
                  <c:v>0.21148577661773615</c:v>
                </c:pt>
                <c:pt idx="143">
                  <c:v>0.20432548715841048</c:v>
                </c:pt>
                <c:pt idx="144">
                  <c:v>0.17615399722175584</c:v>
                </c:pt>
                <c:pt idx="145">
                  <c:v>0.16443448281295708</c:v>
                </c:pt>
                <c:pt idx="146">
                  <c:v>9.9378066738232906E-2</c:v>
                </c:pt>
                <c:pt idx="147">
                  <c:v>8.5550985390121959E-2</c:v>
                </c:pt>
                <c:pt idx="148">
                  <c:v>4.5568379537931157E-2</c:v>
                </c:pt>
                <c:pt idx="149">
                  <c:v>3.5910097744546642E-2</c:v>
                </c:pt>
              </c:numCache>
            </c:numRef>
          </c:xVal>
          <c:yVal>
            <c:numRef>
              <c:f>X!$K$2:$K$151</c:f>
              <c:numCache>
                <c:formatCode>General</c:formatCode>
                <c:ptCount val="150"/>
                <c:pt idx="0">
                  <c:v>3.8541995614415998</c:v>
                </c:pt>
                <c:pt idx="1">
                  <c:v>2.9704718889994735</c:v>
                </c:pt>
                <c:pt idx="2">
                  <c:v>3.2506139333109849</c:v>
                </c:pt>
                <c:pt idx="3">
                  <c:v>3.3791650925688606</c:v>
                </c:pt>
                <c:pt idx="4">
                  <c:v>2.6584238914624603</c:v>
                </c:pt>
                <c:pt idx="5">
                  <c:v>3.6403501870932584</c:v>
                </c:pt>
                <c:pt idx="6">
                  <c:v>2.2536953618804176</c:v>
                </c:pt>
                <c:pt idx="7">
                  <c:v>4.4666609284673724</c:v>
                </c:pt>
                <c:pt idx="8">
                  <c:v>3.8176520909673504</c:v>
                </c:pt>
                <c:pt idx="9">
                  <c:v>3.9432912973794916</c:v>
                </c:pt>
                <c:pt idx="10">
                  <c:v>4.1138740656453914</c:v>
                </c:pt>
                <c:pt idx="11">
                  <c:v>4.5454012319530834</c:v>
                </c:pt>
                <c:pt idx="12">
                  <c:v>4.0187385676737559</c:v>
                </c:pt>
                <c:pt idx="13">
                  <c:v>4.4550860222189312</c:v>
                </c:pt>
                <c:pt idx="14">
                  <c:v>4.8672886753386058</c:v>
                </c:pt>
                <c:pt idx="15">
                  <c:v>3.6043463069116561</c:v>
                </c:pt>
                <c:pt idx="16">
                  <c:v>2.7257657280138643</c:v>
                </c:pt>
                <c:pt idx="17">
                  <c:v>4.0573729406426988</c:v>
                </c:pt>
                <c:pt idx="18">
                  <c:v>3.9463607027608463</c:v>
                </c:pt>
                <c:pt idx="19">
                  <c:v>2.894225546675036</c:v>
                </c:pt>
                <c:pt idx="20">
                  <c:v>3.4566760712613998</c:v>
                </c:pt>
                <c:pt idx="21">
                  <c:v>5.0158958371228524</c:v>
                </c:pt>
                <c:pt idx="22">
                  <c:v>3.5546931480898194</c:v>
                </c:pt>
                <c:pt idx="23">
                  <c:v>5.5394757067819977</c:v>
                </c:pt>
                <c:pt idx="24">
                  <c:v>2.3259181809421468</c:v>
                </c:pt>
                <c:pt idx="25">
                  <c:v>4.3569490470821055</c:v>
                </c:pt>
                <c:pt idx="26">
                  <c:v>2.6011021907616132</c:v>
                </c:pt>
                <c:pt idx="27">
                  <c:v>3.7139689140007182</c:v>
                </c:pt>
                <c:pt idx="28">
                  <c:v>4.4429598642800112</c:v>
                </c:pt>
                <c:pt idx="29">
                  <c:v>3.3076889977578494</c:v>
                </c:pt>
                <c:pt idx="30">
                  <c:v>4.0508120374768222</c:v>
                </c:pt>
                <c:pt idx="31">
                  <c:v>5.8241288262042978</c:v>
                </c:pt>
                <c:pt idx="32">
                  <c:v>3.8594248724286135</c:v>
                </c:pt>
                <c:pt idx="33">
                  <c:v>5.5753187126530834</c:v>
                </c:pt>
                <c:pt idx="34">
                  <c:v>5.3392705217493335</c:v>
                </c:pt>
                <c:pt idx="35">
                  <c:v>5.9900152265343376</c:v>
                </c:pt>
                <c:pt idx="36">
                  <c:v>4.9103570903192351</c:v>
                </c:pt>
                <c:pt idx="37">
                  <c:v>2.7952912460066104</c:v>
                </c:pt>
                <c:pt idx="38">
                  <c:v>4.8212792352042646</c:v>
                </c:pt>
                <c:pt idx="39">
                  <c:v>3.3447049363352721</c:v>
                </c:pt>
                <c:pt idx="40">
                  <c:v>4.168214011709253</c:v>
                </c:pt>
                <c:pt idx="41">
                  <c:v>5.9024526812569542</c:v>
                </c:pt>
                <c:pt idx="42">
                  <c:v>4.1187523248330296</c:v>
                </c:pt>
                <c:pt idx="43">
                  <c:v>4.9520498854225528</c:v>
                </c:pt>
                <c:pt idx="44">
                  <c:v>2.3908802292201616</c:v>
                </c:pt>
                <c:pt idx="45">
                  <c:v>2.0946000316330062</c:v>
                </c:pt>
                <c:pt idx="46">
                  <c:v>3.0921532603441277</c:v>
                </c:pt>
                <c:pt idx="47">
                  <c:v>4.263102362083881</c:v>
                </c:pt>
                <c:pt idx="48">
                  <c:v>3.0345556116703514</c:v>
                </c:pt>
                <c:pt idx="49">
                  <c:v>5.3943229579302123</c:v>
                </c:pt>
                <c:pt idx="50">
                  <c:v>4.545650364492472</c:v>
                </c:pt>
                <c:pt idx="51">
                  <c:v>3.6123842958364745</c:v>
                </c:pt>
                <c:pt idx="52">
                  <c:v>2.8702762789282543</c:v>
                </c:pt>
                <c:pt idx="53">
                  <c:v>5.2704826481136822</c:v>
                </c:pt>
                <c:pt idx="54">
                  <c:v>4.4683263207344623</c:v>
                </c:pt>
                <c:pt idx="55">
                  <c:v>2.873507228571087</c:v>
                </c:pt>
                <c:pt idx="56">
                  <c:v>3.1386939467141026</c:v>
                </c:pt>
                <c:pt idx="57">
                  <c:v>3.1504291127543178</c:v>
                </c:pt>
                <c:pt idx="58">
                  <c:v>5.7444446916190257</c:v>
                </c:pt>
                <c:pt idx="59">
                  <c:v>3.6149631059123952</c:v>
                </c:pt>
                <c:pt idx="60">
                  <c:v>4.5377005466246398</c:v>
                </c:pt>
                <c:pt idx="61">
                  <c:v>5.4350386864311533</c:v>
                </c:pt>
                <c:pt idx="62">
                  <c:v>5.0156439822759262</c:v>
                </c:pt>
                <c:pt idx="63">
                  <c:v>5.0865896869531655</c:v>
                </c:pt>
                <c:pt idx="64">
                  <c:v>4.6033839101098089</c:v>
                </c:pt>
                <c:pt idx="65">
                  <c:v>6.0950798752842346</c:v>
                </c:pt>
                <c:pt idx="66">
                  <c:v>4.1784866721145333</c:v>
                </c:pt>
                <c:pt idx="67">
                  <c:v>3.5753670828197959</c:v>
                </c:pt>
                <c:pt idx="68">
                  <c:v>4.922058478962601</c:v>
                </c:pt>
                <c:pt idx="69">
                  <c:v>4.6168162556488932</c:v>
                </c:pt>
                <c:pt idx="70">
                  <c:v>5.9397315138499298</c:v>
                </c:pt>
                <c:pt idx="71">
                  <c:v>4.2331583122084542</c:v>
                </c:pt>
                <c:pt idx="72">
                  <c:v>3.2706107729384666</c:v>
                </c:pt>
                <c:pt idx="73">
                  <c:v>2.813304304850333</c:v>
                </c:pt>
                <c:pt idx="74">
                  <c:v>2.1613886491195715</c:v>
                </c:pt>
                <c:pt idx="75">
                  <c:v>2.6646060977322454</c:v>
                </c:pt>
                <c:pt idx="76">
                  <c:v>5.2892332666715127</c:v>
                </c:pt>
                <c:pt idx="77">
                  <c:v>6.1172312623532967</c:v>
                </c:pt>
                <c:pt idx="78">
                  <c:v>3.8848557074272501</c:v>
                </c:pt>
                <c:pt idx="79">
                  <c:v>2.4480313763543116</c:v>
                </c:pt>
                <c:pt idx="80">
                  <c:v>5.4742693727764316</c:v>
                </c:pt>
                <c:pt idx="81">
                  <c:v>2.7728270548852754</c:v>
                </c:pt>
                <c:pt idx="82">
                  <c:v>2.89417202020765</c:v>
                </c:pt>
                <c:pt idx="83">
                  <c:v>4.675006868362459</c:v>
                </c:pt>
                <c:pt idx="84">
                  <c:v>6.0155416321801098</c:v>
                </c:pt>
                <c:pt idx="85">
                  <c:v>3.7597374664458001</c:v>
                </c:pt>
                <c:pt idx="86">
                  <c:v>4.0861523542982372</c:v>
                </c:pt>
                <c:pt idx="87">
                  <c:v>2.8145595109318777</c:v>
                </c:pt>
                <c:pt idx="88">
                  <c:v>5.1097061809284492</c:v>
                </c:pt>
                <c:pt idx="89">
                  <c:v>3.5654228322564419</c:v>
                </c:pt>
                <c:pt idx="90">
                  <c:v>4.1191229757779331</c:v>
                </c:pt>
                <c:pt idx="91">
                  <c:v>5.6290819888458969</c:v>
                </c:pt>
                <c:pt idx="92">
                  <c:v>4.1556375857223449</c:v>
                </c:pt>
                <c:pt idx="93">
                  <c:v>3.8296820034297259</c:v>
                </c:pt>
                <c:pt idx="94">
                  <c:v>5.0167896062981363</c:v>
                </c:pt>
                <c:pt idx="95">
                  <c:v>3.270111965725083</c:v>
                </c:pt>
                <c:pt idx="96">
                  <c:v>4.4601570317329022</c:v>
                </c:pt>
                <c:pt idx="97">
                  <c:v>4.8966386935902895</c:v>
                </c:pt>
                <c:pt idx="98">
                  <c:v>5.3773750107962481</c:v>
                </c:pt>
                <c:pt idx="99">
                  <c:v>5.4047961357589518</c:v>
                </c:pt>
                <c:pt idx="100">
                  <c:v>3.5645162306127602</c:v>
                </c:pt>
                <c:pt idx="101">
                  <c:v>5.8068054764542554</c:v>
                </c:pt>
                <c:pt idx="102">
                  <c:v>4.6092037957009255</c:v>
                </c:pt>
                <c:pt idx="103">
                  <c:v>4.5474928278378446</c:v>
                </c:pt>
                <c:pt idx="104">
                  <c:v>4.9775117548495436</c:v>
                </c:pt>
                <c:pt idx="105">
                  <c:v>5.8418529420716938</c:v>
                </c:pt>
                <c:pt idx="106">
                  <c:v>5.5987828297449536</c:v>
                </c:pt>
                <c:pt idx="107">
                  <c:v>3.0488105814260318</c:v>
                </c:pt>
                <c:pt idx="108">
                  <c:v>4.8450598800599076</c:v>
                </c:pt>
                <c:pt idx="109">
                  <c:v>5.2308703734442279</c:v>
                </c:pt>
                <c:pt idx="110">
                  <c:v>5.754904019037725</c:v>
                </c:pt>
                <c:pt idx="111">
                  <c:v>5.902524964063339</c:v>
                </c:pt>
                <c:pt idx="112">
                  <c:v>3.7686811643469067</c:v>
                </c:pt>
                <c:pt idx="113">
                  <c:v>4.1655889760323674</c:v>
                </c:pt>
                <c:pt idx="114">
                  <c:v>5.7208768430705836</c:v>
                </c:pt>
                <c:pt idx="115">
                  <c:v>6.08745584215783</c:v>
                </c:pt>
                <c:pt idx="116">
                  <c:v>4.2953747900994452</c:v>
                </c:pt>
                <c:pt idx="117">
                  <c:v>4.7898684313039483</c:v>
                </c:pt>
                <c:pt idx="118">
                  <c:v>4.140628897241541</c:v>
                </c:pt>
                <c:pt idx="119">
                  <c:v>6.1077119534603339</c:v>
                </c:pt>
                <c:pt idx="120">
                  <c:v>5.6536961418733753</c:v>
                </c:pt>
                <c:pt idx="121">
                  <c:v>6.0730786929090677</c:v>
                </c:pt>
                <c:pt idx="122">
                  <c:v>5.0341956633286919</c:v>
                </c:pt>
                <c:pt idx="123">
                  <c:v>4.6186786136242697</c:v>
                </c:pt>
                <c:pt idx="124">
                  <c:v>5.3072505246010007</c:v>
                </c:pt>
                <c:pt idx="125">
                  <c:v>5.5081394630491234</c:v>
                </c:pt>
                <c:pt idx="126">
                  <c:v>5.838803792875142</c:v>
                </c:pt>
                <c:pt idx="127">
                  <c:v>6.2605144582195171</c:v>
                </c:pt>
                <c:pt idx="128">
                  <c:v>4.8480471277185861</c:v>
                </c:pt>
                <c:pt idx="129">
                  <c:v>6.4333012382512331</c:v>
                </c:pt>
                <c:pt idx="130">
                  <c:v>5.6334663334552495</c:v>
                </c:pt>
                <c:pt idx="131">
                  <c:v>6.2709134973285403</c:v>
                </c:pt>
                <c:pt idx="132">
                  <c:v>6.0352194015699432</c:v>
                </c:pt>
                <c:pt idx="133">
                  <c:v>6.6700219407933625</c:v>
                </c:pt>
                <c:pt idx="134">
                  <c:v>6.352568886914062</c:v>
                </c:pt>
                <c:pt idx="135">
                  <c:v>5.9719760650646148</c:v>
                </c:pt>
                <c:pt idx="136">
                  <c:v>5.7005365530493295</c:v>
                </c:pt>
                <c:pt idx="137">
                  <c:v>5.4346795484217481</c:v>
                </c:pt>
                <c:pt idx="138">
                  <c:v>6.3912288420856767</c:v>
                </c:pt>
                <c:pt idx="139">
                  <c:v>6.5086442540028413</c:v>
                </c:pt>
                <c:pt idx="140">
                  <c:v>7.0042131194003048</c:v>
                </c:pt>
                <c:pt idx="141">
                  <c:v>6.226769993752443</c:v>
                </c:pt>
                <c:pt idx="142">
                  <c:v>5.8049334238659576</c:v>
                </c:pt>
                <c:pt idx="143">
                  <c:v>6.5635311944378216</c:v>
                </c:pt>
                <c:pt idx="144">
                  <c:v>6.509359678379286</c:v>
                </c:pt>
                <c:pt idx="145">
                  <c:v>7.3199005410988525</c:v>
                </c:pt>
                <c:pt idx="146">
                  <c:v>7.2981300051338112</c:v>
                </c:pt>
                <c:pt idx="147">
                  <c:v>6.4367166775064897</c:v>
                </c:pt>
                <c:pt idx="148">
                  <c:v>7.230065834591084</c:v>
                </c:pt>
                <c:pt idx="149">
                  <c:v>6.7695685414344364</c:v>
                </c:pt>
              </c:numCache>
            </c:numRef>
          </c:yVal>
          <c:smooth val="0"/>
          <c:extLst>
            <c:ext xmlns:c16="http://schemas.microsoft.com/office/drawing/2014/chart" uri="{C3380CC4-5D6E-409C-BE32-E72D297353CC}">
              <c16:uniqueId val="{00000001-0455-4227-A5C4-2ABB1DF7467F}"/>
            </c:ext>
          </c:extLst>
        </c:ser>
        <c:ser>
          <c:idx val="1"/>
          <c:order val="1"/>
          <c:tx>
            <c:strRef>
              <c:f>X!$Y$1</c:f>
              <c:strCache>
                <c:ptCount val="1"/>
                <c:pt idx="0">
                  <c:v>share CPU NF</c:v>
                </c:pt>
              </c:strCache>
            </c:strRef>
          </c:tx>
          <c:spPr>
            <a:ln w="25400" cap="rnd">
              <a:noFill/>
              <a:round/>
            </a:ln>
            <a:effectLst/>
          </c:spPr>
          <c:marker>
            <c:symbol val="circle"/>
            <c:size val="5"/>
            <c:spPr>
              <a:solidFill>
                <a:schemeClr val="accent2"/>
              </a:solidFill>
              <a:ln w="9525">
                <a:solidFill>
                  <a:schemeClr val="accent2"/>
                </a:solidFill>
              </a:ln>
              <a:effectLst/>
            </c:spPr>
          </c:marker>
          <c:xVal>
            <c:numRef>
              <c:f>X!$Y$2:$Y$151</c:f>
              <c:numCache>
                <c:formatCode>General</c:formatCode>
                <c:ptCount val="150"/>
                <c:pt idx="0">
                  <c:v>7.5378101460527855E-2</c:v>
                </c:pt>
                <c:pt idx="1">
                  <c:v>7.8479853069739536E-2</c:v>
                </c:pt>
                <c:pt idx="2">
                  <c:v>9.9278110835958389E-2</c:v>
                </c:pt>
                <c:pt idx="3">
                  <c:v>0.10377498438333432</c:v>
                </c:pt>
                <c:pt idx="4">
                  <c:v>0.15415731291566162</c:v>
                </c:pt>
                <c:pt idx="5">
                  <c:v>0.1603957749748344</c:v>
                </c:pt>
                <c:pt idx="6">
                  <c:v>0.16138944356576437</c:v>
                </c:pt>
                <c:pt idx="7">
                  <c:v>0.16394702264468444</c:v>
                </c:pt>
                <c:pt idx="8">
                  <c:v>0.16467811611715136</c:v>
                </c:pt>
                <c:pt idx="9">
                  <c:v>0.17089875280743561</c:v>
                </c:pt>
                <c:pt idx="10">
                  <c:v>0.17745027636957769</c:v>
                </c:pt>
                <c:pt idx="11">
                  <c:v>0.18757943224469548</c:v>
                </c:pt>
                <c:pt idx="12">
                  <c:v>0.1889113078899739</c:v>
                </c:pt>
                <c:pt idx="13">
                  <c:v>0.19013108228268413</c:v>
                </c:pt>
                <c:pt idx="14">
                  <c:v>0.19965756545831506</c:v>
                </c:pt>
                <c:pt idx="15">
                  <c:v>0.20393884199750981</c:v>
                </c:pt>
                <c:pt idx="16">
                  <c:v>0.23152318117821796</c:v>
                </c:pt>
                <c:pt idx="17">
                  <c:v>0.23693046484779781</c:v>
                </c:pt>
                <c:pt idx="18">
                  <c:v>0.24433861928844622</c:v>
                </c:pt>
                <c:pt idx="19">
                  <c:v>0.24565058897349773</c:v>
                </c:pt>
                <c:pt idx="20">
                  <c:v>0.25346732815955836</c:v>
                </c:pt>
                <c:pt idx="21">
                  <c:v>0.25570689957006465</c:v>
                </c:pt>
                <c:pt idx="22">
                  <c:v>0.25644343522011792</c:v>
                </c:pt>
                <c:pt idx="23">
                  <c:v>0.25895018268500875</c:v>
                </c:pt>
                <c:pt idx="24">
                  <c:v>0.26277341391173903</c:v>
                </c:pt>
                <c:pt idx="25">
                  <c:v>0.26452703936912547</c:v>
                </c:pt>
                <c:pt idx="26">
                  <c:v>0.26457915923005387</c:v>
                </c:pt>
                <c:pt idx="27">
                  <c:v>0.26596719612474401</c:v>
                </c:pt>
                <c:pt idx="28">
                  <c:v>0.27827457182022275</c:v>
                </c:pt>
                <c:pt idx="29">
                  <c:v>0.27914650788438772</c:v>
                </c:pt>
                <c:pt idx="30">
                  <c:v>0.27928071552001582</c:v>
                </c:pt>
                <c:pt idx="31">
                  <c:v>0.28032026318223363</c:v>
                </c:pt>
                <c:pt idx="32">
                  <c:v>0.28665256691033919</c:v>
                </c:pt>
                <c:pt idx="33">
                  <c:v>0.3089222601445144</c:v>
                </c:pt>
                <c:pt idx="34">
                  <c:v>0.30984051684389613</c:v>
                </c:pt>
                <c:pt idx="35">
                  <c:v>0.3116437238486211</c:v>
                </c:pt>
                <c:pt idx="36">
                  <c:v>0.31439820442750693</c:v>
                </c:pt>
                <c:pt idx="37">
                  <c:v>0.31486710756017183</c:v>
                </c:pt>
                <c:pt idx="38">
                  <c:v>0.32180504394990417</c:v>
                </c:pt>
                <c:pt idx="39">
                  <c:v>0.32594350121371263</c:v>
                </c:pt>
                <c:pt idx="40">
                  <c:v>0.3273193389256393</c:v>
                </c:pt>
                <c:pt idx="41">
                  <c:v>0.32900983999987504</c:v>
                </c:pt>
                <c:pt idx="42">
                  <c:v>0.33801897583439339</c:v>
                </c:pt>
                <c:pt idx="43">
                  <c:v>0.33932266250706211</c:v>
                </c:pt>
                <c:pt idx="44">
                  <c:v>0.34026007956100585</c:v>
                </c:pt>
                <c:pt idx="45">
                  <c:v>0.34427533797878845</c:v>
                </c:pt>
                <c:pt idx="46">
                  <c:v>0.35605704184243464</c:v>
                </c:pt>
                <c:pt idx="47">
                  <c:v>0.35667789470895828</c:v>
                </c:pt>
                <c:pt idx="48">
                  <c:v>0.35898487659078271</c:v>
                </c:pt>
                <c:pt idx="49">
                  <c:v>0.36057623374912939</c:v>
                </c:pt>
                <c:pt idx="50">
                  <c:v>0.36151967689410308</c:v>
                </c:pt>
                <c:pt idx="51">
                  <c:v>0.36425970776519584</c:v>
                </c:pt>
                <c:pt idx="52">
                  <c:v>0.36702229751310844</c:v>
                </c:pt>
                <c:pt idx="53">
                  <c:v>0.36733592862035086</c:v>
                </c:pt>
                <c:pt idx="54">
                  <c:v>0.36868838736195686</c:v>
                </c:pt>
                <c:pt idx="55">
                  <c:v>0.37764537514018481</c:v>
                </c:pt>
                <c:pt idx="56">
                  <c:v>0.37850394052172937</c:v>
                </c:pt>
                <c:pt idx="57">
                  <c:v>0.37910509870026465</c:v>
                </c:pt>
                <c:pt idx="58">
                  <c:v>0.37970220231390001</c:v>
                </c:pt>
                <c:pt idx="59">
                  <c:v>0.38565693297657611</c:v>
                </c:pt>
                <c:pt idx="60">
                  <c:v>0.39016835779711279</c:v>
                </c:pt>
                <c:pt idx="61">
                  <c:v>0.39898909189875298</c:v>
                </c:pt>
                <c:pt idx="62">
                  <c:v>0.39946965019642877</c:v>
                </c:pt>
                <c:pt idx="63">
                  <c:v>0.40726032426604397</c:v>
                </c:pt>
                <c:pt idx="64">
                  <c:v>0.40764459823757276</c:v>
                </c:pt>
                <c:pt idx="65">
                  <c:v>0.41080534891330756</c:v>
                </c:pt>
                <c:pt idx="66">
                  <c:v>0.41208433103728775</c:v>
                </c:pt>
                <c:pt idx="67">
                  <c:v>0.41704443373703637</c:v>
                </c:pt>
                <c:pt idx="68">
                  <c:v>0.41820252298948096</c:v>
                </c:pt>
                <c:pt idx="69">
                  <c:v>0.4206028111878008</c:v>
                </c:pt>
                <c:pt idx="70">
                  <c:v>0.42107308531571319</c:v>
                </c:pt>
                <c:pt idx="71">
                  <c:v>0.42315613388345236</c:v>
                </c:pt>
                <c:pt idx="72">
                  <c:v>0.42498150862102912</c:v>
                </c:pt>
                <c:pt idx="73">
                  <c:v>0.43348848859761463</c:v>
                </c:pt>
                <c:pt idx="74">
                  <c:v>0.44070870712512433</c:v>
                </c:pt>
                <c:pt idx="75">
                  <c:v>0.45150403475860301</c:v>
                </c:pt>
                <c:pt idx="76">
                  <c:v>0.45196046657854128</c:v>
                </c:pt>
                <c:pt idx="77">
                  <c:v>0.45537125551940016</c:v>
                </c:pt>
                <c:pt idx="78">
                  <c:v>0.46980423453803394</c:v>
                </c:pt>
                <c:pt idx="79">
                  <c:v>0.47218868508601441</c:v>
                </c:pt>
                <c:pt idx="80">
                  <c:v>0.47808111890843885</c:v>
                </c:pt>
                <c:pt idx="81">
                  <c:v>0.47818849008973369</c:v>
                </c:pt>
                <c:pt idx="82">
                  <c:v>0.48852269344758625</c:v>
                </c:pt>
                <c:pt idx="83">
                  <c:v>0.48898060363517792</c:v>
                </c:pt>
                <c:pt idx="84">
                  <c:v>0.50226448600554885</c:v>
                </c:pt>
                <c:pt idx="85">
                  <c:v>0.50361650459984286</c:v>
                </c:pt>
                <c:pt idx="86">
                  <c:v>0.50667757137854585</c:v>
                </c:pt>
                <c:pt idx="87">
                  <c:v>0.51125796847544269</c:v>
                </c:pt>
                <c:pt idx="88">
                  <c:v>0.51300097530827238</c:v>
                </c:pt>
                <c:pt idx="89">
                  <c:v>0.51456521678080802</c:v>
                </c:pt>
                <c:pt idx="90">
                  <c:v>0.51959564098089417</c:v>
                </c:pt>
                <c:pt idx="91">
                  <c:v>0.52141172850252382</c:v>
                </c:pt>
                <c:pt idx="92">
                  <c:v>0.52863694591796073</c:v>
                </c:pt>
                <c:pt idx="93">
                  <c:v>0.53139436635774362</c:v>
                </c:pt>
                <c:pt idx="94">
                  <c:v>0.53250798928253029</c:v>
                </c:pt>
                <c:pt idx="95">
                  <c:v>0.53387918964063374</c:v>
                </c:pt>
                <c:pt idx="96">
                  <c:v>0.53671336521831514</c:v>
                </c:pt>
                <c:pt idx="97">
                  <c:v>0.53892484706048271</c:v>
                </c:pt>
                <c:pt idx="98">
                  <c:v>0.54101719772734291</c:v>
                </c:pt>
                <c:pt idx="99">
                  <c:v>0.54739193747713388</c:v>
                </c:pt>
                <c:pt idx="100">
                  <c:v>0.55145521732332858</c:v>
                </c:pt>
                <c:pt idx="101">
                  <c:v>0.55289980665895111</c:v>
                </c:pt>
                <c:pt idx="102">
                  <c:v>0.56162773462233362</c:v>
                </c:pt>
                <c:pt idx="103">
                  <c:v>0.56191406418587786</c:v>
                </c:pt>
                <c:pt idx="104">
                  <c:v>0.56203840035617414</c:v>
                </c:pt>
                <c:pt idx="105">
                  <c:v>0.5821210117174942</c:v>
                </c:pt>
                <c:pt idx="106">
                  <c:v>0.58318699654547435</c:v>
                </c:pt>
                <c:pt idx="107">
                  <c:v>0.59256508201960023</c:v>
                </c:pt>
                <c:pt idx="108">
                  <c:v>0.5942403994849198</c:v>
                </c:pt>
                <c:pt idx="109">
                  <c:v>0.59779507046758917</c:v>
                </c:pt>
                <c:pt idx="110">
                  <c:v>0.60058685283971136</c:v>
                </c:pt>
                <c:pt idx="111">
                  <c:v>0.60120030117410161</c:v>
                </c:pt>
                <c:pt idx="112">
                  <c:v>0.60153123493957361</c:v>
                </c:pt>
                <c:pt idx="113">
                  <c:v>0.60305612998677705</c:v>
                </c:pt>
                <c:pt idx="114">
                  <c:v>0.61311652584969811</c:v>
                </c:pt>
                <c:pt idx="115">
                  <c:v>0.62206844210777545</c:v>
                </c:pt>
                <c:pt idx="116">
                  <c:v>0.62236150398166756</c:v>
                </c:pt>
                <c:pt idx="117">
                  <c:v>0.62794960895635654</c:v>
                </c:pt>
                <c:pt idx="118">
                  <c:v>0.63261156973568422</c:v>
                </c:pt>
                <c:pt idx="119">
                  <c:v>0.63529252512017442</c:v>
                </c:pt>
                <c:pt idx="120">
                  <c:v>0.6456775902507681</c:v>
                </c:pt>
                <c:pt idx="121">
                  <c:v>0.65410173993356158</c:v>
                </c:pt>
                <c:pt idx="122">
                  <c:v>0.66110414112964744</c:v>
                </c:pt>
                <c:pt idx="123">
                  <c:v>0.66387242557513981</c:v>
                </c:pt>
                <c:pt idx="124">
                  <c:v>0.66708140843358388</c:v>
                </c:pt>
                <c:pt idx="125">
                  <c:v>0.67380086779032533</c:v>
                </c:pt>
                <c:pt idx="126">
                  <c:v>0.68080307083479163</c:v>
                </c:pt>
                <c:pt idx="127">
                  <c:v>0.68136396007582656</c:v>
                </c:pt>
                <c:pt idx="128">
                  <c:v>0.69891608623658996</c:v>
                </c:pt>
                <c:pt idx="129">
                  <c:v>0.70124230831395185</c:v>
                </c:pt>
                <c:pt idx="130">
                  <c:v>0.70379149839552879</c:v>
                </c:pt>
                <c:pt idx="131">
                  <c:v>0.71759039917154921</c:v>
                </c:pt>
                <c:pt idx="132">
                  <c:v>0.71780519275373422</c:v>
                </c:pt>
                <c:pt idx="133">
                  <c:v>0.72343192152793023</c:v>
                </c:pt>
                <c:pt idx="134">
                  <c:v>0.72411968975796337</c:v>
                </c:pt>
                <c:pt idx="135">
                  <c:v>0.72520663159671306</c:v>
                </c:pt>
                <c:pt idx="136">
                  <c:v>0.72574130251946878</c:v>
                </c:pt>
                <c:pt idx="137">
                  <c:v>0.74613497588333422</c:v>
                </c:pt>
                <c:pt idx="138">
                  <c:v>0.75144589299980857</c:v>
                </c:pt>
                <c:pt idx="139">
                  <c:v>0.78160302714111518</c:v>
                </c:pt>
                <c:pt idx="140">
                  <c:v>0.78463571848635827</c:v>
                </c:pt>
                <c:pt idx="141">
                  <c:v>0.78633788991954445</c:v>
                </c:pt>
                <c:pt idx="142">
                  <c:v>0.78814933581229896</c:v>
                </c:pt>
                <c:pt idx="143">
                  <c:v>0.79543077892856506</c:v>
                </c:pt>
                <c:pt idx="144">
                  <c:v>0.82367858072060107</c:v>
                </c:pt>
                <c:pt idx="145">
                  <c:v>0.8354132712821577</c:v>
                </c:pt>
                <c:pt idx="146">
                  <c:v>0.90053300110725376</c:v>
                </c:pt>
                <c:pt idx="147">
                  <c:v>0.91417002097715105</c:v>
                </c:pt>
                <c:pt idx="148">
                  <c:v>0.95429370944575487</c:v>
                </c:pt>
                <c:pt idx="149">
                  <c:v>0.96388679483258399</c:v>
                </c:pt>
              </c:numCache>
            </c:numRef>
          </c:xVal>
          <c:yVal>
            <c:numRef>
              <c:f>X!$K$2:$K$151</c:f>
              <c:numCache>
                <c:formatCode>General</c:formatCode>
                <c:ptCount val="150"/>
                <c:pt idx="0">
                  <c:v>3.8541995614415998</c:v>
                </c:pt>
                <c:pt idx="1">
                  <c:v>2.9704718889994735</c:v>
                </c:pt>
                <c:pt idx="2">
                  <c:v>3.2506139333109849</c:v>
                </c:pt>
                <c:pt idx="3">
                  <c:v>3.3791650925688606</c:v>
                </c:pt>
                <c:pt idx="4">
                  <c:v>2.6584238914624603</c:v>
                </c:pt>
                <c:pt idx="5">
                  <c:v>3.6403501870932584</c:v>
                </c:pt>
                <c:pt idx="6">
                  <c:v>2.2536953618804176</c:v>
                </c:pt>
                <c:pt idx="7">
                  <c:v>4.4666609284673724</c:v>
                </c:pt>
                <c:pt idx="8">
                  <c:v>3.8176520909673504</c:v>
                </c:pt>
                <c:pt idx="9">
                  <c:v>3.9432912973794916</c:v>
                </c:pt>
                <c:pt idx="10">
                  <c:v>4.1138740656453914</c:v>
                </c:pt>
                <c:pt idx="11">
                  <c:v>4.5454012319530834</c:v>
                </c:pt>
                <c:pt idx="12">
                  <c:v>4.0187385676737559</c:v>
                </c:pt>
                <c:pt idx="13">
                  <c:v>4.4550860222189312</c:v>
                </c:pt>
                <c:pt idx="14">
                  <c:v>4.8672886753386058</c:v>
                </c:pt>
                <c:pt idx="15">
                  <c:v>3.6043463069116561</c:v>
                </c:pt>
                <c:pt idx="16">
                  <c:v>2.7257657280138643</c:v>
                </c:pt>
                <c:pt idx="17">
                  <c:v>4.0573729406426988</c:v>
                </c:pt>
                <c:pt idx="18">
                  <c:v>3.9463607027608463</c:v>
                </c:pt>
                <c:pt idx="19">
                  <c:v>2.894225546675036</c:v>
                </c:pt>
                <c:pt idx="20">
                  <c:v>3.4566760712613998</c:v>
                </c:pt>
                <c:pt idx="21">
                  <c:v>5.0158958371228524</c:v>
                </c:pt>
                <c:pt idx="22">
                  <c:v>3.5546931480898194</c:v>
                </c:pt>
                <c:pt idx="23">
                  <c:v>5.5394757067819977</c:v>
                </c:pt>
                <c:pt idx="24">
                  <c:v>2.3259181809421468</c:v>
                </c:pt>
                <c:pt idx="25">
                  <c:v>4.3569490470821055</c:v>
                </c:pt>
                <c:pt idx="26">
                  <c:v>2.6011021907616132</c:v>
                </c:pt>
                <c:pt idx="27">
                  <c:v>3.7139689140007182</c:v>
                </c:pt>
                <c:pt idx="28">
                  <c:v>4.4429598642800112</c:v>
                </c:pt>
                <c:pt idx="29">
                  <c:v>3.3076889977578494</c:v>
                </c:pt>
                <c:pt idx="30">
                  <c:v>4.0508120374768222</c:v>
                </c:pt>
                <c:pt idx="31">
                  <c:v>5.8241288262042978</c:v>
                </c:pt>
                <c:pt idx="32">
                  <c:v>3.8594248724286135</c:v>
                </c:pt>
                <c:pt idx="33">
                  <c:v>5.5753187126530834</c:v>
                </c:pt>
                <c:pt idx="34">
                  <c:v>5.3392705217493335</c:v>
                </c:pt>
                <c:pt idx="35">
                  <c:v>5.9900152265343376</c:v>
                </c:pt>
                <c:pt idx="36">
                  <c:v>4.9103570903192351</c:v>
                </c:pt>
                <c:pt idx="37">
                  <c:v>2.7952912460066104</c:v>
                </c:pt>
                <c:pt idx="38">
                  <c:v>4.8212792352042646</c:v>
                </c:pt>
                <c:pt idx="39">
                  <c:v>3.3447049363352721</c:v>
                </c:pt>
                <c:pt idx="40">
                  <c:v>4.168214011709253</c:v>
                </c:pt>
                <c:pt idx="41">
                  <c:v>5.9024526812569542</c:v>
                </c:pt>
                <c:pt idx="42">
                  <c:v>4.1187523248330296</c:v>
                </c:pt>
                <c:pt idx="43">
                  <c:v>4.9520498854225528</c:v>
                </c:pt>
                <c:pt idx="44">
                  <c:v>2.3908802292201616</c:v>
                </c:pt>
                <c:pt idx="45">
                  <c:v>2.0946000316330062</c:v>
                </c:pt>
                <c:pt idx="46">
                  <c:v>3.0921532603441277</c:v>
                </c:pt>
                <c:pt idx="47">
                  <c:v>4.263102362083881</c:v>
                </c:pt>
                <c:pt idx="48">
                  <c:v>3.0345556116703514</c:v>
                </c:pt>
                <c:pt idx="49">
                  <c:v>5.3943229579302123</c:v>
                </c:pt>
                <c:pt idx="50">
                  <c:v>4.545650364492472</c:v>
                </c:pt>
                <c:pt idx="51">
                  <c:v>3.6123842958364745</c:v>
                </c:pt>
                <c:pt idx="52">
                  <c:v>2.8702762789282543</c:v>
                </c:pt>
                <c:pt idx="53">
                  <c:v>5.2704826481136822</c:v>
                </c:pt>
                <c:pt idx="54">
                  <c:v>4.4683263207344623</c:v>
                </c:pt>
                <c:pt idx="55">
                  <c:v>2.873507228571087</c:v>
                </c:pt>
                <c:pt idx="56">
                  <c:v>3.1386939467141026</c:v>
                </c:pt>
                <c:pt idx="57">
                  <c:v>3.1504291127543178</c:v>
                </c:pt>
                <c:pt idx="58">
                  <c:v>5.7444446916190257</c:v>
                </c:pt>
                <c:pt idx="59">
                  <c:v>3.6149631059123952</c:v>
                </c:pt>
                <c:pt idx="60">
                  <c:v>4.5377005466246398</c:v>
                </c:pt>
                <c:pt idx="61">
                  <c:v>5.4350386864311533</c:v>
                </c:pt>
                <c:pt idx="62">
                  <c:v>5.0156439822759262</c:v>
                </c:pt>
                <c:pt idx="63">
                  <c:v>5.0865896869531655</c:v>
                </c:pt>
                <c:pt idx="64">
                  <c:v>4.6033839101098089</c:v>
                </c:pt>
                <c:pt idx="65">
                  <c:v>6.0950798752842346</c:v>
                </c:pt>
                <c:pt idx="66">
                  <c:v>4.1784866721145333</c:v>
                </c:pt>
                <c:pt idx="67">
                  <c:v>3.5753670828197959</c:v>
                </c:pt>
                <c:pt idx="68">
                  <c:v>4.922058478962601</c:v>
                </c:pt>
                <c:pt idx="69">
                  <c:v>4.6168162556488932</c:v>
                </c:pt>
                <c:pt idx="70">
                  <c:v>5.9397315138499298</c:v>
                </c:pt>
                <c:pt idx="71">
                  <c:v>4.2331583122084542</c:v>
                </c:pt>
                <c:pt idx="72">
                  <c:v>3.2706107729384666</c:v>
                </c:pt>
                <c:pt idx="73">
                  <c:v>2.813304304850333</c:v>
                </c:pt>
                <c:pt idx="74">
                  <c:v>2.1613886491195715</c:v>
                </c:pt>
                <c:pt idx="75">
                  <c:v>2.6646060977322454</c:v>
                </c:pt>
                <c:pt idx="76">
                  <c:v>5.2892332666715127</c:v>
                </c:pt>
                <c:pt idx="77">
                  <c:v>6.1172312623532967</c:v>
                </c:pt>
                <c:pt idx="78">
                  <c:v>3.8848557074272501</c:v>
                </c:pt>
                <c:pt idx="79">
                  <c:v>2.4480313763543116</c:v>
                </c:pt>
                <c:pt idx="80">
                  <c:v>5.4742693727764316</c:v>
                </c:pt>
                <c:pt idx="81">
                  <c:v>2.7728270548852754</c:v>
                </c:pt>
                <c:pt idx="82">
                  <c:v>2.89417202020765</c:v>
                </c:pt>
                <c:pt idx="83">
                  <c:v>4.675006868362459</c:v>
                </c:pt>
                <c:pt idx="84">
                  <c:v>6.0155416321801098</c:v>
                </c:pt>
                <c:pt idx="85">
                  <c:v>3.7597374664458001</c:v>
                </c:pt>
                <c:pt idx="86">
                  <c:v>4.0861523542982372</c:v>
                </c:pt>
                <c:pt idx="87">
                  <c:v>2.8145595109318777</c:v>
                </c:pt>
                <c:pt idx="88">
                  <c:v>5.1097061809284492</c:v>
                </c:pt>
                <c:pt idx="89">
                  <c:v>3.5654228322564419</c:v>
                </c:pt>
                <c:pt idx="90">
                  <c:v>4.1191229757779331</c:v>
                </c:pt>
                <c:pt idx="91">
                  <c:v>5.6290819888458969</c:v>
                </c:pt>
                <c:pt idx="92">
                  <c:v>4.1556375857223449</c:v>
                </c:pt>
                <c:pt idx="93">
                  <c:v>3.8296820034297259</c:v>
                </c:pt>
                <c:pt idx="94">
                  <c:v>5.0167896062981363</c:v>
                </c:pt>
                <c:pt idx="95">
                  <c:v>3.270111965725083</c:v>
                </c:pt>
                <c:pt idx="96">
                  <c:v>4.4601570317329022</c:v>
                </c:pt>
                <c:pt idx="97">
                  <c:v>4.8966386935902895</c:v>
                </c:pt>
                <c:pt idx="98">
                  <c:v>5.3773750107962481</c:v>
                </c:pt>
                <c:pt idx="99">
                  <c:v>5.4047961357589518</c:v>
                </c:pt>
                <c:pt idx="100">
                  <c:v>3.5645162306127602</c:v>
                </c:pt>
                <c:pt idx="101">
                  <c:v>5.8068054764542554</c:v>
                </c:pt>
                <c:pt idx="102">
                  <c:v>4.6092037957009255</c:v>
                </c:pt>
                <c:pt idx="103">
                  <c:v>4.5474928278378446</c:v>
                </c:pt>
                <c:pt idx="104">
                  <c:v>4.9775117548495436</c:v>
                </c:pt>
                <c:pt idx="105">
                  <c:v>5.8418529420716938</c:v>
                </c:pt>
                <c:pt idx="106">
                  <c:v>5.5987828297449536</c:v>
                </c:pt>
                <c:pt idx="107">
                  <c:v>3.0488105814260318</c:v>
                </c:pt>
                <c:pt idx="108">
                  <c:v>4.8450598800599076</c:v>
                </c:pt>
                <c:pt idx="109">
                  <c:v>5.2308703734442279</c:v>
                </c:pt>
                <c:pt idx="110">
                  <c:v>5.754904019037725</c:v>
                </c:pt>
                <c:pt idx="111">
                  <c:v>5.902524964063339</c:v>
                </c:pt>
                <c:pt idx="112">
                  <c:v>3.7686811643469067</c:v>
                </c:pt>
                <c:pt idx="113">
                  <c:v>4.1655889760323674</c:v>
                </c:pt>
                <c:pt idx="114">
                  <c:v>5.7208768430705836</c:v>
                </c:pt>
                <c:pt idx="115">
                  <c:v>6.08745584215783</c:v>
                </c:pt>
                <c:pt idx="116">
                  <c:v>4.2953747900994452</c:v>
                </c:pt>
                <c:pt idx="117">
                  <c:v>4.7898684313039483</c:v>
                </c:pt>
                <c:pt idx="118">
                  <c:v>4.140628897241541</c:v>
                </c:pt>
                <c:pt idx="119">
                  <c:v>6.1077119534603339</c:v>
                </c:pt>
                <c:pt idx="120">
                  <c:v>5.6536961418733753</c:v>
                </c:pt>
                <c:pt idx="121">
                  <c:v>6.0730786929090677</c:v>
                </c:pt>
                <c:pt idx="122">
                  <c:v>5.0341956633286919</c:v>
                </c:pt>
                <c:pt idx="123">
                  <c:v>4.6186786136242697</c:v>
                </c:pt>
                <c:pt idx="124">
                  <c:v>5.3072505246010007</c:v>
                </c:pt>
                <c:pt idx="125">
                  <c:v>5.5081394630491234</c:v>
                </c:pt>
                <c:pt idx="126">
                  <c:v>5.838803792875142</c:v>
                </c:pt>
                <c:pt idx="127">
                  <c:v>6.2605144582195171</c:v>
                </c:pt>
                <c:pt idx="128">
                  <c:v>4.8480471277185861</c:v>
                </c:pt>
                <c:pt idx="129">
                  <c:v>6.4333012382512331</c:v>
                </c:pt>
                <c:pt idx="130">
                  <c:v>5.6334663334552495</c:v>
                </c:pt>
                <c:pt idx="131">
                  <c:v>6.2709134973285403</c:v>
                </c:pt>
                <c:pt idx="132">
                  <c:v>6.0352194015699432</c:v>
                </c:pt>
                <c:pt idx="133">
                  <c:v>6.6700219407933625</c:v>
                </c:pt>
                <c:pt idx="134">
                  <c:v>6.352568886914062</c:v>
                </c:pt>
                <c:pt idx="135">
                  <c:v>5.9719760650646148</c:v>
                </c:pt>
                <c:pt idx="136">
                  <c:v>5.7005365530493295</c:v>
                </c:pt>
                <c:pt idx="137">
                  <c:v>5.4346795484217481</c:v>
                </c:pt>
                <c:pt idx="138">
                  <c:v>6.3912288420856767</c:v>
                </c:pt>
                <c:pt idx="139">
                  <c:v>6.5086442540028413</c:v>
                </c:pt>
                <c:pt idx="140">
                  <c:v>7.0042131194003048</c:v>
                </c:pt>
                <c:pt idx="141">
                  <c:v>6.226769993752443</c:v>
                </c:pt>
                <c:pt idx="142">
                  <c:v>5.8049334238659576</c:v>
                </c:pt>
                <c:pt idx="143">
                  <c:v>6.5635311944378216</c:v>
                </c:pt>
                <c:pt idx="144">
                  <c:v>6.509359678379286</c:v>
                </c:pt>
                <c:pt idx="145">
                  <c:v>7.3199005410988525</c:v>
                </c:pt>
                <c:pt idx="146">
                  <c:v>7.2981300051338112</c:v>
                </c:pt>
                <c:pt idx="147">
                  <c:v>6.4367166775064897</c:v>
                </c:pt>
                <c:pt idx="148">
                  <c:v>7.230065834591084</c:v>
                </c:pt>
                <c:pt idx="149">
                  <c:v>6.7695685414344364</c:v>
                </c:pt>
              </c:numCache>
            </c:numRef>
          </c:yVal>
          <c:smooth val="0"/>
          <c:extLst>
            <c:ext xmlns:c16="http://schemas.microsoft.com/office/drawing/2014/chart" uri="{C3380CC4-5D6E-409C-BE32-E72D297353CC}">
              <c16:uniqueId val="{00000003-0455-4227-A5C4-2ABB1DF7467F}"/>
            </c:ext>
          </c:extLst>
        </c:ser>
        <c:dLbls>
          <c:showLegendKey val="0"/>
          <c:showVal val="0"/>
          <c:showCatName val="0"/>
          <c:showSerName val="0"/>
          <c:showPercent val="0"/>
          <c:showBubbleSize val="0"/>
        </c:dLbls>
        <c:axId val="1392087200"/>
        <c:axId val="1392094688"/>
      </c:scatterChart>
      <c:valAx>
        <c:axId val="1392087200"/>
        <c:scaling>
          <c:orientation val="minMax"/>
          <c:max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Share Component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094688"/>
        <c:crosses val="autoZero"/>
        <c:crossBetween val="midCat"/>
      </c:valAx>
      <c:valAx>
        <c:axId val="1392094688"/>
        <c:scaling>
          <c:orientation val="minMax"/>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SpeedUp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0872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Eta -&gt; Share M2L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X!$S$1</c:f>
              <c:strCache>
                <c:ptCount val="1"/>
                <c:pt idx="0">
                  <c:v>share GPU M2l</c:v>
                </c:pt>
              </c:strCache>
            </c:strRef>
          </c:tx>
          <c:spPr>
            <a:ln w="19050" cap="rnd">
              <a:noFill/>
              <a:round/>
            </a:ln>
            <a:effectLst/>
          </c:spPr>
          <c:marker>
            <c:symbol val="circle"/>
            <c:size val="5"/>
            <c:spPr>
              <a:solidFill>
                <a:schemeClr val="accent1"/>
              </a:solidFill>
              <a:ln w="9525">
                <a:solidFill>
                  <a:schemeClr val="accent1"/>
                </a:solidFill>
              </a:ln>
              <a:effectLst/>
            </c:spPr>
          </c:marker>
          <c:xVal>
            <c:numRef>
              <c:f>X!$D$2:$D$151</c:f>
              <c:numCache>
                <c:formatCode>General</c:formatCode>
                <c:ptCount val="150"/>
                <c:pt idx="0">
                  <c:v>0.95</c:v>
                </c:pt>
                <c:pt idx="1">
                  <c:v>0.95</c:v>
                </c:pt>
                <c:pt idx="2">
                  <c:v>0.95</c:v>
                </c:pt>
                <c:pt idx="3">
                  <c:v>0.95</c:v>
                </c:pt>
                <c:pt idx="4">
                  <c:v>0.95</c:v>
                </c:pt>
                <c:pt idx="5">
                  <c:v>0.8</c:v>
                </c:pt>
                <c:pt idx="6">
                  <c:v>0.95</c:v>
                </c:pt>
                <c:pt idx="7">
                  <c:v>0.8</c:v>
                </c:pt>
                <c:pt idx="8">
                  <c:v>0.95</c:v>
                </c:pt>
                <c:pt idx="9">
                  <c:v>0.95</c:v>
                </c:pt>
                <c:pt idx="10">
                  <c:v>0.95</c:v>
                </c:pt>
                <c:pt idx="11">
                  <c:v>0.8</c:v>
                </c:pt>
                <c:pt idx="12">
                  <c:v>0.8</c:v>
                </c:pt>
                <c:pt idx="13">
                  <c:v>0.65</c:v>
                </c:pt>
                <c:pt idx="14">
                  <c:v>0.65</c:v>
                </c:pt>
                <c:pt idx="15">
                  <c:v>0.8</c:v>
                </c:pt>
                <c:pt idx="16">
                  <c:v>0.95</c:v>
                </c:pt>
                <c:pt idx="17">
                  <c:v>0.95</c:v>
                </c:pt>
                <c:pt idx="18">
                  <c:v>0.8</c:v>
                </c:pt>
                <c:pt idx="19">
                  <c:v>0.8</c:v>
                </c:pt>
                <c:pt idx="20">
                  <c:v>0.65</c:v>
                </c:pt>
                <c:pt idx="21">
                  <c:v>0.65</c:v>
                </c:pt>
                <c:pt idx="22">
                  <c:v>0.8</c:v>
                </c:pt>
                <c:pt idx="23">
                  <c:v>0.5</c:v>
                </c:pt>
                <c:pt idx="24">
                  <c:v>0.95</c:v>
                </c:pt>
                <c:pt idx="25">
                  <c:v>0.65</c:v>
                </c:pt>
                <c:pt idx="26">
                  <c:v>0.95</c:v>
                </c:pt>
                <c:pt idx="27">
                  <c:v>0.65</c:v>
                </c:pt>
                <c:pt idx="28">
                  <c:v>0.65</c:v>
                </c:pt>
                <c:pt idx="29">
                  <c:v>0.8</c:v>
                </c:pt>
                <c:pt idx="30">
                  <c:v>0.5</c:v>
                </c:pt>
                <c:pt idx="31">
                  <c:v>0.35</c:v>
                </c:pt>
                <c:pt idx="32">
                  <c:v>0.8</c:v>
                </c:pt>
                <c:pt idx="33">
                  <c:v>0.5</c:v>
                </c:pt>
                <c:pt idx="34">
                  <c:v>0.5</c:v>
                </c:pt>
                <c:pt idx="35">
                  <c:v>0.2</c:v>
                </c:pt>
                <c:pt idx="36">
                  <c:v>0.35</c:v>
                </c:pt>
                <c:pt idx="37">
                  <c:v>0.95</c:v>
                </c:pt>
                <c:pt idx="38">
                  <c:v>0.5</c:v>
                </c:pt>
                <c:pt idx="39">
                  <c:v>0.95</c:v>
                </c:pt>
                <c:pt idx="40">
                  <c:v>0.95</c:v>
                </c:pt>
                <c:pt idx="41">
                  <c:v>0.35</c:v>
                </c:pt>
                <c:pt idx="42">
                  <c:v>0.65</c:v>
                </c:pt>
                <c:pt idx="43">
                  <c:v>0.5</c:v>
                </c:pt>
                <c:pt idx="44">
                  <c:v>0.95</c:v>
                </c:pt>
                <c:pt idx="45">
                  <c:v>0.95</c:v>
                </c:pt>
                <c:pt idx="46">
                  <c:v>0.95</c:v>
                </c:pt>
                <c:pt idx="47">
                  <c:v>0.8</c:v>
                </c:pt>
                <c:pt idx="48">
                  <c:v>0.8</c:v>
                </c:pt>
                <c:pt idx="49">
                  <c:v>0.35</c:v>
                </c:pt>
                <c:pt idx="50">
                  <c:v>0.5</c:v>
                </c:pt>
                <c:pt idx="51">
                  <c:v>0.8</c:v>
                </c:pt>
                <c:pt idx="52">
                  <c:v>0.8</c:v>
                </c:pt>
                <c:pt idx="53">
                  <c:v>0.35</c:v>
                </c:pt>
                <c:pt idx="54">
                  <c:v>0.65</c:v>
                </c:pt>
                <c:pt idx="55">
                  <c:v>0.65</c:v>
                </c:pt>
                <c:pt idx="56">
                  <c:v>0.8</c:v>
                </c:pt>
                <c:pt idx="57">
                  <c:v>0.8</c:v>
                </c:pt>
                <c:pt idx="58">
                  <c:v>0.35</c:v>
                </c:pt>
                <c:pt idx="59">
                  <c:v>0.65</c:v>
                </c:pt>
                <c:pt idx="60">
                  <c:v>0.8</c:v>
                </c:pt>
                <c:pt idx="61">
                  <c:v>0.2</c:v>
                </c:pt>
                <c:pt idx="62">
                  <c:v>0.5</c:v>
                </c:pt>
                <c:pt idx="63">
                  <c:v>0.35</c:v>
                </c:pt>
                <c:pt idx="64">
                  <c:v>0.8</c:v>
                </c:pt>
                <c:pt idx="65">
                  <c:v>0.2</c:v>
                </c:pt>
                <c:pt idx="66">
                  <c:v>0.95</c:v>
                </c:pt>
                <c:pt idx="67">
                  <c:v>0.65</c:v>
                </c:pt>
                <c:pt idx="68">
                  <c:v>0.5</c:v>
                </c:pt>
                <c:pt idx="69">
                  <c:v>0.65</c:v>
                </c:pt>
                <c:pt idx="70">
                  <c:v>0.2</c:v>
                </c:pt>
                <c:pt idx="71">
                  <c:v>0.5</c:v>
                </c:pt>
                <c:pt idx="72">
                  <c:v>0.8</c:v>
                </c:pt>
                <c:pt idx="73">
                  <c:v>0.8</c:v>
                </c:pt>
                <c:pt idx="74">
                  <c:v>0.95</c:v>
                </c:pt>
                <c:pt idx="75">
                  <c:v>0.95</c:v>
                </c:pt>
                <c:pt idx="76">
                  <c:v>0.35</c:v>
                </c:pt>
                <c:pt idx="77">
                  <c:v>0.2</c:v>
                </c:pt>
                <c:pt idx="78">
                  <c:v>0.65</c:v>
                </c:pt>
                <c:pt idx="79">
                  <c:v>0.95</c:v>
                </c:pt>
                <c:pt idx="80">
                  <c:v>0.35</c:v>
                </c:pt>
                <c:pt idx="81">
                  <c:v>0.65</c:v>
                </c:pt>
                <c:pt idx="82">
                  <c:v>0.95</c:v>
                </c:pt>
                <c:pt idx="83">
                  <c:v>0.5</c:v>
                </c:pt>
                <c:pt idx="84">
                  <c:v>0.2</c:v>
                </c:pt>
                <c:pt idx="85">
                  <c:v>0.8</c:v>
                </c:pt>
                <c:pt idx="86">
                  <c:v>0.65</c:v>
                </c:pt>
                <c:pt idx="87">
                  <c:v>0.8</c:v>
                </c:pt>
                <c:pt idx="88">
                  <c:v>0.65</c:v>
                </c:pt>
                <c:pt idx="89">
                  <c:v>0.65</c:v>
                </c:pt>
                <c:pt idx="90">
                  <c:v>0.65</c:v>
                </c:pt>
                <c:pt idx="91">
                  <c:v>0.2</c:v>
                </c:pt>
                <c:pt idx="92">
                  <c:v>0.65</c:v>
                </c:pt>
                <c:pt idx="93">
                  <c:v>0.8</c:v>
                </c:pt>
                <c:pt idx="94">
                  <c:v>0.5</c:v>
                </c:pt>
                <c:pt idx="95">
                  <c:v>0.8</c:v>
                </c:pt>
                <c:pt idx="96">
                  <c:v>0.65</c:v>
                </c:pt>
                <c:pt idx="97">
                  <c:v>0.35</c:v>
                </c:pt>
                <c:pt idx="98">
                  <c:v>0.5</c:v>
                </c:pt>
                <c:pt idx="99">
                  <c:v>0.35</c:v>
                </c:pt>
                <c:pt idx="100">
                  <c:v>0.65</c:v>
                </c:pt>
                <c:pt idx="101">
                  <c:v>0.2</c:v>
                </c:pt>
                <c:pt idx="102">
                  <c:v>0.5</c:v>
                </c:pt>
                <c:pt idx="103">
                  <c:v>0.5</c:v>
                </c:pt>
                <c:pt idx="104">
                  <c:v>0.5</c:v>
                </c:pt>
                <c:pt idx="105">
                  <c:v>0.35</c:v>
                </c:pt>
                <c:pt idx="106">
                  <c:v>0.35</c:v>
                </c:pt>
                <c:pt idx="107">
                  <c:v>0.95</c:v>
                </c:pt>
                <c:pt idx="108">
                  <c:v>0.5</c:v>
                </c:pt>
                <c:pt idx="109">
                  <c:v>0.5</c:v>
                </c:pt>
                <c:pt idx="110">
                  <c:v>0.5</c:v>
                </c:pt>
                <c:pt idx="111">
                  <c:v>0.2</c:v>
                </c:pt>
                <c:pt idx="112">
                  <c:v>0.8</c:v>
                </c:pt>
                <c:pt idx="113">
                  <c:v>0.5</c:v>
                </c:pt>
                <c:pt idx="114">
                  <c:v>0.35</c:v>
                </c:pt>
                <c:pt idx="115">
                  <c:v>0.2</c:v>
                </c:pt>
                <c:pt idx="116">
                  <c:v>0.35</c:v>
                </c:pt>
                <c:pt idx="117">
                  <c:v>0.65</c:v>
                </c:pt>
                <c:pt idx="118">
                  <c:v>0.65</c:v>
                </c:pt>
                <c:pt idx="119">
                  <c:v>0.35</c:v>
                </c:pt>
                <c:pt idx="120">
                  <c:v>0.5</c:v>
                </c:pt>
                <c:pt idx="121">
                  <c:v>0.2</c:v>
                </c:pt>
                <c:pt idx="122">
                  <c:v>0.35</c:v>
                </c:pt>
                <c:pt idx="123">
                  <c:v>0.65</c:v>
                </c:pt>
                <c:pt idx="124">
                  <c:v>0.35</c:v>
                </c:pt>
                <c:pt idx="125">
                  <c:v>0.35</c:v>
                </c:pt>
                <c:pt idx="126">
                  <c:v>0.35</c:v>
                </c:pt>
                <c:pt idx="127">
                  <c:v>0.2</c:v>
                </c:pt>
                <c:pt idx="128">
                  <c:v>0.5</c:v>
                </c:pt>
                <c:pt idx="129">
                  <c:v>0.35</c:v>
                </c:pt>
                <c:pt idx="130">
                  <c:v>0.5</c:v>
                </c:pt>
                <c:pt idx="131">
                  <c:v>0.2</c:v>
                </c:pt>
                <c:pt idx="132">
                  <c:v>0.5</c:v>
                </c:pt>
                <c:pt idx="133">
                  <c:v>0.35</c:v>
                </c:pt>
                <c:pt idx="134">
                  <c:v>0.2</c:v>
                </c:pt>
                <c:pt idx="135">
                  <c:v>0.2</c:v>
                </c:pt>
                <c:pt idx="136">
                  <c:v>0.2</c:v>
                </c:pt>
                <c:pt idx="137">
                  <c:v>0.5</c:v>
                </c:pt>
                <c:pt idx="138">
                  <c:v>0.2</c:v>
                </c:pt>
                <c:pt idx="139">
                  <c:v>0.2</c:v>
                </c:pt>
                <c:pt idx="140">
                  <c:v>0.2</c:v>
                </c:pt>
                <c:pt idx="141">
                  <c:v>0.35</c:v>
                </c:pt>
                <c:pt idx="142">
                  <c:v>0.35</c:v>
                </c:pt>
                <c:pt idx="143">
                  <c:v>0.35</c:v>
                </c:pt>
                <c:pt idx="144">
                  <c:v>0.2</c:v>
                </c:pt>
                <c:pt idx="145">
                  <c:v>0.2</c:v>
                </c:pt>
                <c:pt idx="146">
                  <c:v>0.2</c:v>
                </c:pt>
                <c:pt idx="147">
                  <c:v>0.2</c:v>
                </c:pt>
                <c:pt idx="148">
                  <c:v>0.2</c:v>
                </c:pt>
                <c:pt idx="149">
                  <c:v>0.2</c:v>
                </c:pt>
              </c:numCache>
            </c:numRef>
          </c:xVal>
          <c:yVal>
            <c:numRef>
              <c:f>X!$S$2:$S$151</c:f>
              <c:numCache>
                <c:formatCode>General</c:formatCode>
                <c:ptCount val="150"/>
                <c:pt idx="0">
                  <c:v>0.7303390635385264</c:v>
                </c:pt>
                <c:pt idx="1">
                  <c:v>0.85655503585875792</c:v>
                </c:pt>
                <c:pt idx="2">
                  <c:v>0.85935544836199007</c:v>
                </c:pt>
                <c:pt idx="3">
                  <c:v>0.80828927091715685</c:v>
                </c:pt>
                <c:pt idx="4">
                  <c:v>0.80037827882690082</c:v>
                </c:pt>
                <c:pt idx="5">
                  <c:v>0.82134741947862888</c:v>
                </c:pt>
                <c:pt idx="6">
                  <c:v>0.81463682517666991</c:v>
                </c:pt>
                <c:pt idx="7">
                  <c:v>0.71619251257972449</c:v>
                </c:pt>
                <c:pt idx="8">
                  <c:v>0.76423819836358231</c:v>
                </c:pt>
                <c:pt idx="9">
                  <c:v>0.67196702658419127</c:v>
                </c:pt>
                <c:pt idx="10">
                  <c:v>0.67673765899698568</c:v>
                </c:pt>
                <c:pt idx="11">
                  <c:v>0.70859651027298631</c:v>
                </c:pt>
                <c:pt idx="12">
                  <c:v>0.78412737956887002</c:v>
                </c:pt>
                <c:pt idx="13">
                  <c:v>0.80439085708659119</c:v>
                </c:pt>
                <c:pt idx="14">
                  <c:v>0.73370211765609927</c:v>
                </c:pt>
                <c:pt idx="15">
                  <c:v>0.58609627932531194</c:v>
                </c:pt>
                <c:pt idx="16">
                  <c:v>0.63357599027358347</c:v>
                </c:pt>
                <c:pt idx="17">
                  <c:v>0.7082409137123733</c:v>
                </c:pt>
                <c:pt idx="18">
                  <c:v>0.75796516560155591</c:v>
                </c:pt>
                <c:pt idx="19">
                  <c:v>0.62046839313714119</c:v>
                </c:pt>
                <c:pt idx="20">
                  <c:v>0.53409479758198508</c:v>
                </c:pt>
                <c:pt idx="21">
                  <c:v>0.69434585784501623</c:v>
                </c:pt>
                <c:pt idx="22">
                  <c:v>0.6988042285022007</c:v>
                </c:pt>
                <c:pt idx="23">
                  <c:v>0.73092086574739001</c:v>
                </c:pt>
                <c:pt idx="24">
                  <c:v>0.86840940227516394</c:v>
                </c:pt>
                <c:pt idx="25">
                  <c:v>0.76581441620658319</c:v>
                </c:pt>
                <c:pt idx="26">
                  <c:v>0.82854785858243141</c:v>
                </c:pt>
                <c:pt idx="27">
                  <c:v>0.68582632433272483</c:v>
                </c:pt>
                <c:pt idx="28">
                  <c:v>0.62362672802628061</c:v>
                </c:pt>
                <c:pt idx="29">
                  <c:v>0.80550896888615842</c:v>
                </c:pt>
                <c:pt idx="30">
                  <c:v>0.62754403821574101</c:v>
                </c:pt>
                <c:pt idx="31">
                  <c:v>0.73039441840909969</c:v>
                </c:pt>
                <c:pt idx="32">
                  <c:v>0.7251510655675697</c:v>
                </c:pt>
                <c:pt idx="33">
                  <c:v>0.68938904347277763</c:v>
                </c:pt>
                <c:pt idx="34">
                  <c:v>0.66802195948289489</c:v>
                </c:pt>
                <c:pt idx="35">
                  <c:v>0.71500323937071852</c:v>
                </c:pt>
                <c:pt idx="36">
                  <c:v>0.62913489168918946</c:v>
                </c:pt>
                <c:pt idx="37">
                  <c:v>0.78652383170315165</c:v>
                </c:pt>
                <c:pt idx="38">
                  <c:v>0.63477760878982681</c:v>
                </c:pt>
                <c:pt idx="39">
                  <c:v>0.68140860112000334</c:v>
                </c:pt>
                <c:pt idx="40">
                  <c:v>0.46541297397563247</c:v>
                </c:pt>
                <c:pt idx="41">
                  <c:v>0.69009398424384538</c:v>
                </c:pt>
                <c:pt idx="42">
                  <c:v>0.67839934942596791</c:v>
                </c:pt>
                <c:pt idx="43">
                  <c:v>0.73336736870075736</c:v>
                </c:pt>
                <c:pt idx="44">
                  <c:v>0.78720964181281838</c:v>
                </c:pt>
                <c:pt idx="45">
                  <c:v>0.83772700898076546</c:v>
                </c:pt>
                <c:pt idx="46">
                  <c:v>0.64281202072906241</c:v>
                </c:pt>
                <c:pt idx="47">
                  <c:v>0.62462704285340753</c:v>
                </c:pt>
                <c:pt idx="48">
                  <c:v>0.74686769479432624</c:v>
                </c:pt>
                <c:pt idx="49">
                  <c:v>0.6278058863412842</c:v>
                </c:pt>
                <c:pt idx="50">
                  <c:v>0.68498386327569438</c:v>
                </c:pt>
                <c:pt idx="51">
                  <c:v>0.44373979850260015</c:v>
                </c:pt>
                <c:pt idx="52">
                  <c:v>0.80677648318877349</c:v>
                </c:pt>
                <c:pt idx="53">
                  <c:v>0.72033749429249205</c:v>
                </c:pt>
                <c:pt idx="54">
                  <c:v>0.68523540944201988</c:v>
                </c:pt>
                <c:pt idx="55">
                  <c:v>0.51454750784917191</c:v>
                </c:pt>
                <c:pt idx="56">
                  <c:v>0.6825149907134358</c:v>
                </c:pt>
                <c:pt idx="57">
                  <c:v>0.76323281501825191</c:v>
                </c:pt>
                <c:pt idx="58">
                  <c:v>0.62559583714132339</c:v>
                </c:pt>
                <c:pt idx="59">
                  <c:v>0.73235932402403592</c:v>
                </c:pt>
                <c:pt idx="60">
                  <c:v>0.48907031859283018</c:v>
                </c:pt>
                <c:pt idx="61">
                  <c:v>0.69857617934660632</c:v>
                </c:pt>
                <c:pt idx="62">
                  <c:v>0.68130799502201345</c:v>
                </c:pt>
                <c:pt idx="63">
                  <c:v>0.66164452323846101</c:v>
                </c:pt>
                <c:pt idx="64">
                  <c:v>0.5881275499608517</c:v>
                </c:pt>
                <c:pt idx="65">
                  <c:v>0.61907775380384211</c:v>
                </c:pt>
                <c:pt idx="66">
                  <c:v>0.57201610336093278</c:v>
                </c:pt>
                <c:pt idx="67">
                  <c:v>0.67052602633868186</c:v>
                </c:pt>
                <c:pt idx="68">
                  <c:v>0.65917106002284431</c:v>
                </c:pt>
                <c:pt idx="69">
                  <c:v>0.48765278243538979</c:v>
                </c:pt>
                <c:pt idx="70">
                  <c:v>0.61392100376264602</c:v>
                </c:pt>
                <c:pt idx="71">
                  <c:v>0.60939107684308802</c:v>
                </c:pt>
                <c:pt idx="72">
                  <c:v>0.74397463882334125</c:v>
                </c:pt>
                <c:pt idx="73">
                  <c:v>0.68413765380334524</c:v>
                </c:pt>
                <c:pt idx="74">
                  <c:v>0.64675742098317079</c:v>
                </c:pt>
                <c:pt idx="75">
                  <c:v>0.74849390658248394</c:v>
                </c:pt>
                <c:pt idx="76">
                  <c:v>0.64075892945877577</c:v>
                </c:pt>
                <c:pt idx="77">
                  <c:v>0.57583567649408485</c:v>
                </c:pt>
                <c:pt idx="78">
                  <c:v>0.70149396107914397</c:v>
                </c:pt>
                <c:pt idx="79">
                  <c:v>0.67995818127718066</c:v>
                </c:pt>
                <c:pt idx="80">
                  <c:v>0.62218908276075824</c:v>
                </c:pt>
                <c:pt idx="81">
                  <c:v>0.58194135094511301</c:v>
                </c:pt>
                <c:pt idx="82">
                  <c:v>0.74700557065999773</c:v>
                </c:pt>
                <c:pt idx="83">
                  <c:v>0.65786336782536592</c:v>
                </c:pt>
                <c:pt idx="84">
                  <c:v>0.53019602995069059</c:v>
                </c:pt>
                <c:pt idx="85">
                  <c:v>0.70025696259701764</c:v>
                </c:pt>
                <c:pt idx="86">
                  <c:v>0.67910051881866984</c:v>
                </c:pt>
                <c:pt idx="87">
                  <c:v>0.58579604245864403</c:v>
                </c:pt>
                <c:pt idx="88">
                  <c:v>0.45652014233762117</c:v>
                </c:pt>
                <c:pt idx="89">
                  <c:v>0.63627027670007386</c:v>
                </c:pt>
                <c:pt idx="90">
                  <c:v>0.59854591576899097</c:v>
                </c:pt>
                <c:pt idx="91">
                  <c:v>0.58359046891421573</c:v>
                </c:pt>
                <c:pt idx="92">
                  <c:v>0.39130878238227462</c:v>
                </c:pt>
                <c:pt idx="93">
                  <c:v>0.69094835161108636</c:v>
                </c:pt>
                <c:pt idx="94">
                  <c:v>0.6275541299980506</c:v>
                </c:pt>
                <c:pt idx="95">
                  <c:v>0.65026000580799248</c:v>
                </c:pt>
                <c:pt idx="96">
                  <c:v>0.65447463560663255</c:v>
                </c:pt>
                <c:pt idx="97">
                  <c:v>0.53020181228463159</c:v>
                </c:pt>
                <c:pt idx="98">
                  <c:v>0.46835855512380387</c:v>
                </c:pt>
                <c:pt idx="99">
                  <c:v>0.59088710068234596</c:v>
                </c:pt>
                <c:pt idx="100">
                  <c:v>0.59618254058929632</c:v>
                </c:pt>
                <c:pt idx="101">
                  <c:v>0.55138619872643069</c:v>
                </c:pt>
                <c:pt idx="102">
                  <c:v>0.60034653147253803</c:v>
                </c:pt>
                <c:pt idx="103">
                  <c:v>0.56647901093355413</c:v>
                </c:pt>
                <c:pt idx="104">
                  <c:v>0.60467581670941606</c:v>
                </c:pt>
                <c:pt idx="105">
                  <c:v>0.4604087225367805</c:v>
                </c:pt>
                <c:pt idx="106">
                  <c:v>0.56103290937554651</c:v>
                </c:pt>
                <c:pt idx="107">
                  <c:v>0.66114865562779712</c:v>
                </c:pt>
                <c:pt idx="108">
                  <c:v>0.39282303430876436</c:v>
                </c:pt>
                <c:pt idx="109">
                  <c:v>0.41691677562014695</c:v>
                </c:pt>
                <c:pt idx="110">
                  <c:v>0.40246240213451789</c:v>
                </c:pt>
                <c:pt idx="111">
                  <c:v>0.50536743139233065</c:v>
                </c:pt>
                <c:pt idx="112">
                  <c:v>0.62627361225818667</c:v>
                </c:pt>
                <c:pt idx="113">
                  <c:v>0.56233470769781646</c:v>
                </c:pt>
                <c:pt idx="114">
                  <c:v>0.52954522780777569</c:v>
                </c:pt>
                <c:pt idx="115">
                  <c:v>0.43704869205037944</c:v>
                </c:pt>
                <c:pt idx="116">
                  <c:v>0.38859803403905657</c:v>
                </c:pt>
                <c:pt idx="117">
                  <c:v>0.58870851994852269</c:v>
                </c:pt>
                <c:pt idx="118">
                  <c:v>0.56696264723900525</c:v>
                </c:pt>
                <c:pt idx="119">
                  <c:v>0.41340214167138284</c:v>
                </c:pt>
                <c:pt idx="120">
                  <c:v>0.52163636991684181</c:v>
                </c:pt>
                <c:pt idx="121">
                  <c:v>0.47575410359720099</c:v>
                </c:pt>
                <c:pt idx="122">
                  <c:v>0.48076854527153495</c:v>
                </c:pt>
                <c:pt idx="123">
                  <c:v>0.54855387010213152</c:v>
                </c:pt>
                <c:pt idx="124">
                  <c:v>0.36967263728146194</c:v>
                </c:pt>
                <c:pt idx="125">
                  <c:v>0.47354419266173015</c:v>
                </c:pt>
                <c:pt idx="126">
                  <c:v>0.34764800192356404</c:v>
                </c:pt>
                <c:pt idx="127">
                  <c:v>0.44109710858275714</c:v>
                </c:pt>
                <c:pt idx="128">
                  <c:v>0.49215947933661103</c:v>
                </c:pt>
                <c:pt idx="129">
                  <c:v>0.42730826582618969</c:v>
                </c:pt>
                <c:pt idx="130">
                  <c:v>0.46286652486848118</c:v>
                </c:pt>
                <c:pt idx="131">
                  <c:v>0.3374798332976861</c:v>
                </c:pt>
                <c:pt idx="132">
                  <c:v>0.44729907926584073</c:v>
                </c:pt>
                <c:pt idx="133">
                  <c:v>0.39850415761415164</c:v>
                </c:pt>
                <c:pt idx="134">
                  <c:v>0.39548230548460472</c:v>
                </c:pt>
                <c:pt idx="135">
                  <c:v>0.37518433075009333</c:v>
                </c:pt>
                <c:pt idx="136">
                  <c:v>0.32865935261561069</c:v>
                </c:pt>
                <c:pt idx="137">
                  <c:v>0.43573651284316195</c:v>
                </c:pt>
                <c:pt idx="138">
                  <c:v>0.29709434795280909</c:v>
                </c:pt>
                <c:pt idx="139">
                  <c:v>0.28026537234815807</c:v>
                </c:pt>
                <c:pt idx="140">
                  <c:v>0.30872643220910667</c:v>
                </c:pt>
                <c:pt idx="141">
                  <c:v>0.34602427790332596</c:v>
                </c:pt>
                <c:pt idx="142">
                  <c:v>0.36192615384396409</c:v>
                </c:pt>
                <c:pt idx="143">
                  <c:v>0.32761156878509956</c:v>
                </c:pt>
                <c:pt idx="144">
                  <c:v>0.28692397149956117</c:v>
                </c:pt>
                <c:pt idx="145">
                  <c:v>0.24394125560520169</c:v>
                </c:pt>
                <c:pt idx="146">
                  <c:v>0.16543662380968377</c:v>
                </c:pt>
                <c:pt idx="147">
                  <c:v>0.19861727529873463</c:v>
                </c:pt>
                <c:pt idx="148">
                  <c:v>0.11252283554163764</c:v>
                </c:pt>
                <c:pt idx="149">
                  <c:v>0.1421401873153845</c:v>
                </c:pt>
              </c:numCache>
            </c:numRef>
          </c:yVal>
          <c:smooth val="0"/>
          <c:extLst>
            <c:ext xmlns:c16="http://schemas.microsoft.com/office/drawing/2014/chart" uri="{C3380CC4-5D6E-409C-BE32-E72D297353CC}">
              <c16:uniqueId val="{00000000-0AC1-4ED2-83E3-9B101D8DCEE1}"/>
            </c:ext>
          </c:extLst>
        </c:ser>
        <c:dLbls>
          <c:showLegendKey val="0"/>
          <c:showVal val="0"/>
          <c:showCatName val="0"/>
          <c:showSerName val="0"/>
          <c:showPercent val="0"/>
          <c:showBubbleSize val="0"/>
        </c:dLbls>
        <c:axId val="1257525024"/>
        <c:axId val="1257522528"/>
      </c:scatterChart>
      <c:valAx>
        <c:axId val="1257525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522528"/>
        <c:crosses val="autoZero"/>
        <c:crossBetween val="midCat"/>
      </c:valAx>
      <c:valAx>
        <c:axId val="1257522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5250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Eta -&gt; X M2L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X!$L$1</c:f>
              <c:strCache>
                <c:ptCount val="1"/>
                <c:pt idx="0">
                  <c:v>X M2L</c:v>
                </c:pt>
              </c:strCache>
            </c:strRef>
          </c:tx>
          <c:spPr>
            <a:ln w="19050" cap="rnd">
              <a:noFill/>
              <a:round/>
            </a:ln>
            <a:effectLst/>
          </c:spPr>
          <c:marker>
            <c:symbol val="circle"/>
            <c:size val="5"/>
            <c:spPr>
              <a:solidFill>
                <a:schemeClr val="accent1"/>
              </a:solidFill>
              <a:ln w="9525">
                <a:solidFill>
                  <a:schemeClr val="accent1"/>
                </a:solidFill>
              </a:ln>
              <a:effectLst/>
            </c:spPr>
          </c:marker>
          <c:xVal>
            <c:numRef>
              <c:f>X!$D$2:$D$151</c:f>
              <c:numCache>
                <c:formatCode>General</c:formatCode>
                <c:ptCount val="150"/>
                <c:pt idx="0">
                  <c:v>0.95</c:v>
                </c:pt>
                <c:pt idx="1">
                  <c:v>0.95</c:v>
                </c:pt>
                <c:pt idx="2">
                  <c:v>0.95</c:v>
                </c:pt>
                <c:pt idx="3">
                  <c:v>0.95</c:v>
                </c:pt>
                <c:pt idx="4">
                  <c:v>0.95</c:v>
                </c:pt>
                <c:pt idx="5">
                  <c:v>0.8</c:v>
                </c:pt>
                <c:pt idx="6">
                  <c:v>0.95</c:v>
                </c:pt>
                <c:pt idx="7">
                  <c:v>0.8</c:v>
                </c:pt>
                <c:pt idx="8">
                  <c:v>0.95</c:v>
                </c:pt>
                <c:pt idx="9">
                  <c:v>0.95</c:v>
                </c:pt>
                <c:pt idx="10">
                  <c:v>0.95</c:v>
                </c:pt>
                <c:pt idx="11">
                  <c:v>0.8</c:v>
                </c:pt>
                <c:pt idx="12">
                  <c:v>0.8</c:v>
                </c:pt>
                <c:pt idx="13">
                  <c:v>0.65</c:v>
                </c:pt>
                <c:pt idx="14">
                  <c:v>0.65</c:v>
                </c:pt>
                <c:pt idx="15">
                  <c:v>0.8</c:v>
                </c:pt>
                <c:pt idx="16">
                  <c:v>0.95</c:v>
                </c:pt>
                <c:pt idx="17">
                  <c:v>0.95</c:v>
                </c:pt>
                <c:pt idx="18">
                  <c:v>0.8</c:v>
                </c:pt>
                <c:pt idx="19">
                  <c:v>0.8</c:v>
                </c:pt>
                <c:pt idx="20">
                  <c:v>0.65</c:v>
                </c:pt>
                <c:pt idx="21">
                  <c:v>0.65</c:v>
                </c:pt>
                <c:pt idx="22">
                  <c:v>0.8</c:v>
                </c:pt>
                <c:pt idx="23">
                  <c:v>0.5</c:v>
                </c:pt>
                <c:pt idx="24">
                  <c:v>0.95</c:v>
                </c:pt>
                <c:pt idx="25">
                  <c:v>0.65</c:v>
                </c:pt>
                <c:pt idx="26">
                  <c:v>0.95</c:v>
                </c:pt>
                <c:pt idx="27">
                  <c:v>0.65</c:v>
                </c:pt>
                <c:pt idx="28">
                  <c:v>0.65</c:v>
                </c:pt>
                <c:pt idx="29">
                  <c:v>0.8</c:v>
                </c:pt>
                <c:pt idx="30">
                  <c:v>0.5</c:v>
                </c:pt>
                <c:pt idx="31">
                  <c:v>0.35</c:v>
                </c:pt>
                <c:pt idx="32">
                  <c:v>0.8</c:v>
                </c:pt>
                <c:pt idx="33">
                  <c:v>0.5</c:v>
                </c:pt>
                <c:pt idx="34">
                  <c:v>0.5</c:v>
                </c:pt>
                <c:pt idx="35">
                  <c:v>0.2</c:v>
                </c:pt>
                <c:pt idx="36">
                  <c:v>0.35</c:v>
                </c:pt>
                <c:pt idx="37">
                  <c:v>0.95</c:v>
                </c:pt>
                <c:pt idx="38">
                  <c:v>0.5</c:v>
                </c:pt>
                <c:pt idx="39">
                  <c:v>0.95</c:v>
                </c:pt>
                <c:pt idx="40">
                  <c:v>0.95</c:v>
                </c:pt>
                <c:pt idx="41">
                  <c:v>0.35</c:v>
                </c:pt>
                <c:pt idx="42">
                  <c:v>0.65</c:v>
                </c:pt>
                <c:pt idx="43">
                  <c:v>0.5</c:v>
                </c:pt>
                <c:pt idx="44">
                  <c:v>0.95</c:v>
                </c:pt>
                <c:pt idx="45">
                  <c:v>0.95</c:v>
                </c:pt>
                <c:pt idx="46">
                  <c:v>0.95</c:v>
                </c:pt>
                <c:pt idx="47">
                  <c:v>0.8</c:v>
                </c:pt>
                <c:pt idx="48">
                  <c:v>0.8</c:v>
                </c:pt>
                <c:pt idx="49">
                  <c:v>0.35</c:v>
                </c:pt>
                <c:pt idx="50">
                  <c:v>0.5</c:v>
                </c:pt>
                <c:pt idx="51">
                  <c:v>0.8</c:v>
                </c:pt>
                <c:pt idx="52">
                  <c:v>0.8</c:v>
                </c:pt>
                <c:pt idx="53">
                  <c:v>0.35</c:v>
                </c:pt>
                <c:pt idx="54">
                  <c:v>0.65</c:v>
                </c:pt>
                <c:pt idx="55">
                  <c:v>0.65</c:v>
                </c:pt>
                <c:pt idx="56">
                  <c:v>0.8</c:v>
                </c:pt>
                <c:pt idx="57">
                  <c:v>0.8</c:v>
                </c:pt>
                <c:pt idx="58">
                  <c:v>0.35</c:v>
                </c:pt>
                <c:pt idx="59">
                  <c:v>0.65</c:v>
                </c:pt>
                <c:pt idx="60">
                  <c:v>0.8</c:v>
                </c:pt>
                <c:pt idx="61">
                  <c:v>0.2</c:v>
                </c:pt>
                <c:pt idx="62">
                  <c:v>0.5</c:v>
                </c:pt>
                <c:pt idx="63">
                  <c:v>0.35</c:v>
                </c:pt>
                <c:pt idx="64">
                  <c:v>0.8</c:v>
                </c:pt>
                <c:pt idx="65">
                  <c:v>0.2</c:v>
                </c:pt>
                <c:pt idx="66">
                  <c:v>0.95</c:v>
                </c:pt>
                <c:pt idx="67">
                  <c:v>0.65</c:v>
                </c:pt>
                <c:pt idx="68">
                  <c:v>0.5</c:v>
                </c:pt>
                <c:pt idx="69">
                  <c:v>0.65</c:v>
                </c:pt>
                <c:pt idx="70">
                  <c:v>0.2</c:v>
                </c:pt>
                <c:pt idx="71">
                  <c:v>0.5</c:v>
                </c:pt>
                <c:pt idx="72">
                  <c:v>0.8</c:v>
                </c:pt>
                <c:pt idx="73">
                  <c:v>0.8</c:v>
                </c:pt>
                <c:pt idx="74">
                  <c:v>0.95</c:v>
                </c:pt>
                <c:pt idx="75">
                  <c:v>0.95</c:v>
                </c:pt>
                <c:pt idx="76">
                  <c:v>0.35</c:v>
                </c:pt>
                <c:pt idx="77">
                  <c:v>0.2</c:v>
                </c:pt>
                <c:pt idx="78">
                  <c:v>0.65</c:v>
                </c:pt>
                <c:pt idx="79">
                  <c:v>0.95</c:v>
                </c:pt>
                <c:pt idx="80">
                  <c:v>0.35</c:v>
                </c:pt>
                <c:pt idx="81">
                  <c:v>0.65</c:v>
                </c:pt>
                <c:pt idx="82">
                  <c:v>0.95</c:v>
                </c:pt>
                <c:pt idx="83">
                  <c:v>0.5</c:v>
                </c:pt>
                <c:pt idx="84">
                  <c:v>0.2</c:v>
                </c:pt>
                <c:pt idx="85">
                  <c:v>0.8</c:v>
                </c:pt>
                <c:pt idx="86">
                  <c:v>0.65</c:v>
                </c:pt>
                <c:pt idx="87">
                  <c:v>0.8</c:v>
                </c:pt>
                <c:pt idx="88">
                  <c:v>0.65</c:v>
                </c:pt>
                <c:pt idx="89">
                  <c:v>0.65</c:v>
                </c:pt>
                <c:pt idx="90">
                  <c:v>0.65</c:v>
                </c:pt>
                <c:pt idx="91">
                  <c:v>0.2</c:v>
                </c:pt>
                <c:pt idx="92">
                  <c:v>0.65</c:v>
                </c:pt>
                <c:pt idx="93">
                  <c:v>0.8</c:v>
                </c:pt>
                <c:pt idx="94">
                  <c:v>0.5</c:v>
                </c:pt>
                <c:pt idx="95">
                  <c:v>0.8</c:v>
                </c:pt>
                <c:pt idx="96">
                  <c:v>0.65</c:v>
                </c:pt>
                <c:pt idx="97">
                  <c:v>0.35</c:v>
                </c:pt>
                <c:pt idx="98">
                  <c:v>0.5</c:v>
                </c:pt>
                <c:pt idx="99">
                  <c:v>0.35</c:v>
                </c:pt>
                <c:pt idx="100">
                  <c:v>0.65</c:v>
                </c:pt>
                <c:pt idx="101">
                  <c:v>0.2</c:v>
                </c:pt>
                <c:pt idx="102">
                  <c:v>0.5</c:v>
                </c:pt>
                <c:pt idx="103">
                  <c:v>0.5</c:v>
                </c:pt>
                <c:pt idx="104">
                  <c:v>0.5</c:v>
                </c:pt>
                <c:pt idx="105">
                  <c:v>0.35</c:v>
                </c:pt>
                <c:pt idx="106">
                  <c:v>0.35</c:v>
                </c:pt>
                <c:pt idx="107">
                  <c:v>0.95</c:v>
                </c:pt>
                <c:pt idx="108">
                  <c:v>0.5</c:v>
                </c:pt>
                <c:pt idx="109">
                  <c:v>0.5</c:v>
                </c:pt>
                <c:pt idx="110">
                  <c:v>0.5</c:v>
                </c:pt>
                <c:pt idx="111">
                  <c:v>0.2</c:v>
                </c:pt>
                <c:pt idx="112">
                  <c:v>0.8</c:v>
                </c:pt>
                <c:pt idx="113">
                  <c:v>0.5</c:v>
                </c:pt>
                <c:pt idx="114">
                  <c:v>0.35</c:v>
                </c:pt>
                <c:pt idx="115">
                  <c:v>0.2</c:v>
                </c:pt>
                <c:pt idx="116">
                  <c:v>0.35</c:v>
                </c:pt>
                <c:pt idx="117">
                  <c:v>0.65</c:v>
                </c:pt>
                <c:pt idx="118">
                  <c:v>0.65</c:v>
                </c:pt>
                <c:pt idx="119">
                  <c:v>0.35</c:v>
                </c:pt>
                <c:pt idx="120">
                  <c:v>0.5</c:v>
                </c:pt>
                <c:pt idx="121">
                  <c:v>0.2</c:v>
                </c:pt>
                <c:pt idx="122">
                  <c:v>0.35</c:v>
                </c:pt>
                <c:pt idx="123">
                  <c:v>0.65</c:v>
                </c:pt>
                <c:pt idx="124">
                  <c:v>0.35</c:v>
                </c:pt>
                <c:pt idx="125">
                  <c:v>0.35</c:v>
                </c:pt>
                <c:pt idx="126">
                  <c:v>0.35</c:v>
                </c:pt>
                <c:pt idx="127">
                  <c:v>0.2</c:v>
                </c:pt>
                <c:pt idx="128">
                  <c:v>0.5</c:v>
                </c:pt>
                <c:pt idx="129">
                  <c:v>0.35</c:v>
                </c:pt>
                <c:pt idx="130">
                  <c:v>0.5</c:v>
                </c:pt>
                <c:pt idx="131">
                  <c:v>0.2</c:v>
                </c:pt>
                <c:pt idx="132">
                  <c:v>0.5</c:v>
                </c:pt>
                <c:pt idx="133">
                  <c:v>0.35</c:v>
                </c:pt>
                <c:pt idx="134">
                  <c:v>0.2</c:v>
                </c:pt>
                <c:pt idx="135">
                  <c:v>0.2</c:v>
                </c:pt>
                <c:pt idx="136">
                  <c:v>0.2</c:v>
                </c:pt>
                <c:pt idx="137">
                  <c:v>0.5</c:v>
                </c:pt>
                <c:pt idx="138">
                  <c:v>0.2</c:v>
                </c:pt>
                <c:pt idx="139">
                  <c:v>0.2</c:v>
                </c:pt>
                <c:pt idx="140">
                  <c:v>0.2</c:v>
                </c:pt>
                <c:pt idx="141">
                  <c:v>0.35</c:v>
                </c:pt>
                <c:pt idx="142">
                  <c:v>0.35</c:v>
                </c:pt>
                <c:pt idx="143">
                  <c:v>0.35</c:v>
                </c:pt>
                <c:pt idx="144">
                  <c:v>0.2</c:v>
                </c:pt>
                <c:pt idx="145">
                  <c:v>0.2</c:v>
                </c:pt>
                <c:pt idx="146">
                  <c:v>0.2</c:v>
                </c:pt>
                <c:pt idx="147">
                  <c:v>0.2</c:v>
                </c:pt>
                <c:pt idx="148">
                  <c:v>0.2</c:v>
                </c:pt>
                <c:pt idx="149">
                  <c:v>0.2</c:v>
                </c:pt>
              </c:numCache>
            </c:numRef>
          </c:xVal>
          <c:yVal>
            <c:numRef>
              <c:f>X!$L$2:$L$151</c:f>
              <c:numCache>
                <c:formatCode>General</c:formatCode>
                <c:ptCount val="150"/>
                <c:pt idx="0">
                  <c:v>2.2907904295567305</c:v>
                </c:pt>
                <c:pt idx="1">
                  <c:v>1.5619456610141358</c:v>
                </c:pt>
                <c:pt idx="2">
                  <c:v>1.5931679912250871</c:v>
                </c:pt>
                <c:pt idx="3">
                  <c:v>1.8269683748228818</c:v>
                </c:pt>
                <c:pt idx="4">
                  <c:v>0.85952265202190503</c:v>
                </c:pt>
                <c:pt idx="5">
                  <c:v>2.1509680320094073</c:v>
                </c:pt>
                <c:pt idx="6">
                  <c:v>1.1231910310173769</c:v>
                </c:pt>
                <c:pt idx="7">
                  <c:v>3.0719225809783404</c:v>
                </c:pt>
                <c:pt idx="8">
                  <c:v>1.2235802737971162</c:v>
                </c:pt>
                <c:pt idx="9">
                  <c:v>1.4768297738052916</c:v>
                </c:pt>
                <c:pt idx="10">
                  <c:v>1.6782757306213725</c:v>
                </c:pt>
                <c:pt idx="11">
                  <c:v>2.8897326988053291</c:v>
                </c:pt>
                <c:pt idx="12">
                  <c:v>2.3184144047814925</c:v>
                </c:pt>
                <c:pt idx="13">
                  <c:v>3.0146366029461573</c:v>
                </c:pt>
                <c:pt idx="14">
                  <c:v>3.8964595464414322</c:v>
                </c:pt>
                <c:pt idx="15">
                  <c:v>2.6809579131995762</c:v>
                </c:pt>
                <c:pt idx="16">
                  <c:v>1.0626006890497057</c:v>
                </c:pt>
                <c:pt idx="17">
                  <c:v>1.1608981449330658</c:v>
                </c:pt>
                <c:pt idx="18">
                  <c:v>2.4018421671465822</c:v>
                </c:pt>
                <c:pt idx="19">
                  <c:v>2.1708074981035685</c:v>
                </c:pt>
                <c:pt idx="20">
                  <c:v>3.2196938580308037</c:v>
                </c:pt>
                <c:pt idx="21">
                  <c:v>3.7583108759834554</c:v>
                </c:pt>
                <c:pt idx="22">
                  <c:v>2.1622353304630555</c:v>
                </c:pt>
                <c:pt idx="23">
                  <c:v>4.9001937883097462</c:v>
                </c:pt>
                <c:pt idx="24">
                  <c:v>0.96833481146443456</c:v>
                </c:pt>
                <c:pt idx="25">
                  <c:v>3.1328539368350143</c:v>
                </c:pt>
                <c:pt idx="26">
                  <c:v>1.1112631039696095</c:v>
                </c:pt>
                <c:pt idx="27">
                  <c:v>2.8141176699960999</c:v>
                </c:pt>
                <c:pt idx="28">
                  <c:v>3.4865765878312831</c:v>
                </c:pt>
                <c:pt idx="29">
                  <c:v>1.6590208674368669</c:v>
                </c:pt>
                <c:pt idx="30">
                  <c:v>3.9511137759617077</c:v>
                </c:pt>
                <c:pt idx="31">
                  <c:v>5.4332976089897587</c:v>
                </c:pt>
                <c:pt idx="32">
                  <c:v>2.1946929151203993</c:v>
                </c:pt>
                <c:pt idx="33">
                  <c:v>4.8334828268161178</c:v>
                </c:pt>
                <c:pt idx="34">
                  <c:v>4.6826590979233584</c:v>
                </c:pt>
                <c:pt idx="35">
                  <c:v>5.6802478628331228</c:v>
                </c:pt>
                <c:pt idx="36">
                  <c:v>4.9721555925927605</c:v>
                </c:pt>
                <c:pt idx="37">
                  <c:v>0.82445582748788315</c:v>
                </c:pt>
                <c:pt idx="38">
                  <c:v>4.2841897691493873</c:v>
                </c:pt>
                <c:pt idx="39">
                  <c:v>0.96442367903808057</c:v>
                </c:pt>
                <c:pt idx="40">
                  <c:v>1.1602183172249443</c:v>
                </c:pt>
                <c:pt idx="41">
                  <c:v>5.4075990134112821</c:v>
                </c:pt>
                <c:pt idx="42">
                  <c:v>2.7760260126153584</c:v>
                </c:pt>
                <c:pt idx="43">
                  <c:v>3.9310719374042757</c:v>
                </c:pt>
                <c:pt idx="44">
                  <c:v>0.65438309504452374</c:v>
                </c:pt>
                <c:pt idx="45">
                  <c:v>0.54601064748678996</c:v>
                </c:pt>
                <c:pt idx="46">
                  <c:v>0.68300330977220414</c:v>
                </c:pt>
                <c:pt idx="47">
                  <c:v>1.5696565839036278</c:v>
                </c:pt>
                <c:pt idx="48">
                  <c:v>1.5721977037482886</c:v>
                </c:pt>
                <c:pt idx="49">
                  <c:v>5.0388452392769691</c:v>
                </c:pt>
                <c:pt idx="50">
                  <c:v>3.6110177167472797</c:v>
                </c:pt>
                <c:pt idx="51">
                  <c:v>2.3736771084020893</c:v>
                </c:pt>
                <c:pt idx="52">
                  <c:v>1.2116752952948722</c:v>
                </c:pt>
                <c:pt idx="53">
                  <c:v>4.406086976431749</c:v>
                </c:pt>
                <c:pt idx="54">
                  <c:v>2.8525101432716444</c:v>
                </c:pt>
                <c:pt idx="55">
                  <c:v>2.2789366332914103</c:v>
                </c:pt>
                <c:pt idx="56">
                  <c:v>1.4080600214967804</c:v>
                </c:pt>
                <c:pt idx="57">
                  <c:v>1.5001187061383099</c:v>
                </c:pt>
                <c:pt idx="58">
                  <c:v>5.2768618882365903</c:v>
                </c:pt>
                <c:pt idx="59">
                  <c:v>2.194072786297677</c:v>
                </c:pt>
                <c:pt idx="60">
                  <c:v>2.386017386425439</c:v>
                </c:pt>
                <c:pt idx="61">
                  <c:v>4.6162383556759741</c:v>
                </c:pt>
                <c:pt idx="62">
                  <c:v>3.8213825474228496</c:v>
                </c:pt>
                <c:pt idx="63">
                  <c:v>4.1996500513509796</c:v>
                </c:pt>
                <c:pt idx="64">
                  <c:v>1.8321168439521875</c:v>
                </c:pt>
                <c:pt idx="65">
                  <c:v>5.7009846579600527</c:v>
                </c:pt>
                <c:pt idx="66">
                  <c:v>0.73768892806209463</c:v>
                </c:pt>
                <c:pt idx="67">
                  <c:v>1.715012996780241</c:v>
                </c:pt>
                <c:pt idx="68">
                  <c:v>3.6652375544608962</c:v>
                </c:pt>
                <c:pt idx="69">
                  <c:v>3.1896994044529614</c:v>
                </c:pt>
                <c:pt idx="70">
                  <c:v>5.4060020189171691</c:v>
                </c:pt>
                <c:pt idx="71">
                  <c:v>3.2739499031828578</c:v>
                </c:pt>
                <c:pt idx="72">
                  <c:v>1.4306135042938639</c:v>
                </c:pt>
                <c:pt idx="73">
                  <c:v>1.2774503628942746</c:v>
                </c:pt>
                <c:pt idx="74">
                  <c:v>0.53701430171799625</c:v>
                </c:pt>
                <c:pt idx="75">
                  <c:v>0.56842453738613652</c:v>
                </c:pt>
                <c:pt idx="76">
                  <c:v>4.1994607877731394</c:v>
                </c:pt>
                <c:pt idx="77">
                  <c:v>5.6498602970895409</c:v>
                </c:pt>
                <c:pt idx="78">
                  <c:v>2.0575193847010387</c:v>
                </c:pt>
                <c:pt idx="79">
                  <c:v>0.57380271350542722</c:v>
                </c:pt>
                <c:pt idx="80">
                  <c:v>4.2892805620401635</c:v>
                </c:pt>
                <c:pt idx="81">
                  <c:v>1.5853236942899951</c:v>
                </c:pt>
                <c:pt idx="82">
                  <c:v>0.63208185180949261</c:v>
                </c:pt>
                <c:pt idx="83">
                  <c:v>3.0879960284363421</c:v>
                </c:pt>
                <c:pt idx="84">
                  <c:v>5.452136031392957</c:v>
                </c:pt>
                <c:pt idx="85">
                  <c:v>1.6152168715198301</c:v>
                </c:pt>
                <c:pt idx="86">
                  <c:v>2.0895796883966447</c:v>
                </c:pt>
                <c:pt idx="87">
                  <c:v>1.353354283204163</c:v>
                </c:pt>
                <c:pt idx="88">
                  <c:v>3.1324701761783809</c:v>
                </c:pt>
                <c:pt idx="89">
                  <c:v>1.7806680677970275</c:v>
                </c:pt>
                <c:pt idx="90">
                  <c:v>1.8850653110838365</c:v>
                </c:pt>
                <c:pt idx="91">
                  <c:v>4.4833751700887197</c:v>
                </c:pt>
                <c:pt idx="92">
                  <c:v>2.6533983329422894</c:v>
                </c:pt>
                <c:pt idx="93">
                  <c:v>1.4895417953405949</c:v>
                </c:pt>
                <c:pt idx="94">
                  <c:v>3.2462059922761033</c:v>
                </c:pt>
                <c:pt idx="95">
                  <c:v>1.3428781659589359</c:v>
                </c:pt>
                <c:pt idx="96">
                  <c:v>2.2786396314239941</c:v>
                </c:pt>
                <c:pt idx="97">
                  <c:v>3.7665587066260646</c:v>
                </c:pt>
                <c:pt idx="98">
                  <c:v>4.1813966936108589</c:v>
                </c:pt>
                <c:pt idx="99">
                  <c:v>3.8381267224777909</c:v>
                </c:pt>
                <c:pt idx="100">
                  <c:v>1.6977393421331453</c:v>
                </c:pt>
                <c:pt idx="101">
                  <c:v>4.611759155615335</c:v>
                </c:pt>
                <c:pt idx="102">
                  <c:v>2.7726701248311265</c:v>
                </c:pt>
                <c:pt idx="103">
                  <c:v>2.6870571385991551</c:v>
                </c:pt>
                <c:pt idx="104">
                  <c:v>3.0486049881518893</c:v>
                </c:pt>
                <c:pt idx="105">
                  <c:v>4.8286714248884506</c:v>
                </c:pt>
                <c:pt idx="106">
                  <c:v>3.873109493652628</c:v>
                </c:pt>
                <c:pt idx="107">
                  <c:v>0.51754364588721902</c:v>
                </c:pt>
                <c:pt idx="108">
                  <c:v>3.445579386051373</c:v>
                </c:pt>
                <c:pt idx="109">
                  <c:v>3.8080922481178758</c:v>
                </c:pt>
                <c:pt idx="110">
                  <c:v>4.4878555894263101</c:v>
                </c:pt>
                <c:pt idx="111">
                  <c:v>4.5175324949317091</c:v>
                </c:pt>
                <c:pt idx="112">
                  <c:v>1.2333152209482887</c:v>
                </c:pt>
                <c:pt idx="113">
                  <c:v>2.2976922333805847</c:v>
                </c:pt>
                <c:pt idx="114">
                  <c:v>3.9075250773460257</c:v>
                </c:pt>
                <c:pt idx="115">
                  <c:v>5.1159750564410347</c:v>
                </c:pt>
                <c:pt idx="116">
                  <c:v>3.6975464968833931</c:v>
                </c:pt>
                <c:pt idx="117">
                  <c:v>2.0754213130129306</c:v>
                </c:pt>
                <c:pt idx="118">
                  <c:v>1.6524445287705389</c:v>
                </c:pt>
                <c:pt idx="119">
                  <c:v>4.8602041924923611</c:v>
                </c:pt>
                <c:pt idx="120">
                  <c:v>3.2527707534103563</c:v>
                </c:pt>
                <c:pt idx="121">
                  <c:v>4.2805084833216922</c:v>
                </c:pt>
                <c:pt idx="122">
                  <c:v>3.0201743680430346</c:v>
                </c:pt>
                <c:pt idx="123">
                  <c:v>1.8397030800500114</c:v>
                </c:pt>
                <c:pt idx="124">
                  <c:v>4.2176713035229714</c:v>
                </c:pt>
                <c:pt idx="125">
                  <c:v>3.3568317187563794</c:v>
                </c:pt>
                <c:pt idx="126">
                  <c:v>4.7479183221178873</c:v>
                </c:pt>
                <c:pt idx="127">
                  <c:v>4.4314345170255693</c:v>
                </c:pt>
                <c:pt idx="128">
                  <c:v>2.2334264517364408</c:v>
                </c:pt>
                <c:pt idx="129">
                  <c:v>4.1661640727287175</c:v>
                </c:pt>
                <c:pt idx="130">
                  <c:v>2.9323702573920207</c:v>
                </c:pt>
                <c:pt idx="131">
                  <c:v>5.0837754960025574</c:v>
                </c:pt>
                <c:pt idx="132">
                  <c:v>3.1804974358330229</c:v>
                </c:pt>
                <c:pt idx="133">
                  <c:v>4.3017926366530181</c:v>
                </c:pt>
                <c:pt idx="134">
                  <c:v>4.3017812562044631</c:v>
                </c:pt>
                <c:pt idx="135">
                  <c:v>4.0279014197058265</c:v>
                </c:pt>
                <c:pt idx="136">
                  <c:v>4.5075314610990533</c:v>
                </c:pt>
                <c:pt idx="137">
                  <c:v>2.403228441924969</c:v>
                </c:pt>
                <c:pt idx="138">
                  <c:v>5.1027814095583333</c:v>
                </c:pt>
                <c:pt idx="139">
                  <c:v>4.7434359274448017</c:v>
                </c:pt>
                <c:pt idx="140">
                  <c:v>4.7303788029213436</c:v>
                </c:pt>
                <c:pt idx="141">
                  <c:v>3.2614146426422175</c:v>
                </c:pt>
                <c:pt idx="142">
                  <c:v>2.7531443074273838</c:v>
                </c:pt>
                <c:pt idx="143">
                  <c:v>3.61234365464425</c:v>
                </c:pt>
                <c:pt idx="144">
                  <c:v>3.6923518757746763</c:v>
                </c:pt>
                <c:pt idx="145">
                  <c:v>4.7840669776167566</c:v>
                </c:pt>
                <c:pt idx="146">
                  <c:v>4.021467679940308</c:v>
                </c:pt>
                <c:pt idx="147">
                  <c:v>2.0450371689436149</c:v>
                </c:pt>
                <c:pt idx="148">
                  <c:v>2.1529419361795123</c:v>
                </c:pt>
                <c:pt idx="149">
                  <c:v>0.51338723973552935</c:v>
                </c:pt>
              </c:numCache>
            </c:numRef>
          </c:yVal>
          <c:smooth val="0"/>
          <c:extLst>
            <c:ext xmlns:c16="http://schemas.microsoft.com/office/drawing/2014/chart" uri="{C3380CC4-5D6E-409C-BE32-E72D297353CC}">
              <c16:uniqueId val="{00000000-93D3-4659-B5E1-F761785FEAB6}"/>
            </c:ext>
          </c:extLst>
        </c:ser>
        <c:dLbls>
          <c:showLegendKey val="0"/>
          <c:showVal val="0"/>
          <c:showCatName val="0"/>
          <c:showSerName val="0"/>
          <c:showPercent val="0"/>
          <c:showBubbleSize val="0"/>
        </c:dLbls>
        <c:axId val="1380541904"/>
        <c:axId val="1380543568"/>
      </c:scatterChart>
      <c:valAx>
        <c:axId val="1380541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543568"/>
        <c:crosses val="autoZero"/>
        <c:crossBetween val="midCat"/>
      </c:valAx>
      <c:valAx>
        <c:axId val="138054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5419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N0 -&gt; X M2L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X!$L$1</c:f>
              <c:strCache>
                <c:ptCount val="1"/>
                <c:pt idx="0">
                  <c:v>X M2L</c:v>
                </c:pt>
              </c:strCache>
            </c:strRef>
          </c:tx>
          <c:spPr>
            <a:ln w="19050" cap="rnd">
              <a:noFill/>
              <a:round/>
            </a:ln>
            <a:effectLst/>
          </c:spPr>
          <c:marker>
            <c:symbol val="circle"/>
            <c:size val="5"/>
            <c:spPr>
              <a:solidFill>
                <a:schemeClr val="accent1"/>
              </a:solidFill>
              <a:ln w="9525">
                <a:solidFill>
                  <a:schemeClr val="accent1"/>
                </a:solidFill>
              </a:ln>
              <a:effectLst/>
            </c:spPr>
          </c:marker>
          <c:xVal>
            <c:numRef>
              <c:f>X!$C$2:$C$152</c:f>
              <c:numCache>
                <c:formatCode>General</c:formatCode>
                <c:ptCount val="151"/>
                <c:pt idx="0">
                  <c:v>125</c:v>
                </c:pt>
                <c:pt idx="1">
                  <c:v>125</c:v>
                </c:pt>
                <c:pt idx="2">
                  <c:v>216</c:v>
                </c:pt>
                <c:pt idx="3">
                  <c:v>216</c:v>
                </c:pt>
                <c:pt idx="4">
                  <c:v>64</c:v>
                </c:pt>
                <c:pt idx="5">
                  <c:v>125</c:v>
                </c:pt>
                <c:pt idx="6">
                  <c:v>343</c:v>
                </c:pt>
                <c:pt idx="7">
                  <c:v>125</c:v>
                </c:pt>
                <c:pt idx="8">
                  <c:v>125</c:v>
                </c:pt>
                <c:pt idx="9">
                  <c:v>125</c:v>
                </c:pt>
                <c:pt idx="10">
                  <c:v>64</c:v>
                </c:pt>
                <c:pt idx="11">
                  <c:v>125</c:v>
                </c:pt>
                <c:pt idx="12">
                  <c:v>125</c:v>
                </c:pt>
                <c:pt idx="13">
                  <c:v>125</c:v>
                </c:pt>
                <c:pt idx="14">
                  <c:v>125</c:v>
                </c:pt>
                <c:pt idx="15">
                  <c:v>125</c:v>
                </c:pt>
                <c:pt idx="16">
                  <c:v>216</c:v>
                </c:pt>
                <c:pt idx="17">
                  <c:v>125</c:v>
                </c:pt>
                <c:pt idx="18">
                  <c:v>216</c:v>
                </c:pt>
                <c:pt idx="19">
                  <c:v>216</c:v>
                </c:pt>
                <c:pt idx="20">
                  <c:v>125</c:v>
                </c:pt>
                <c:pt idx="21">
                  <c:v>125</c:v>
                </c:pt>
                <c:pt idx="22">
                  <c:v>216</c:v>
                </c:pt>
                <c:pt idx="23">
                  <c:v>125</c:v>
                </c:pt>
                <c:pt idx="24">
                  <c:v>512</c:v>
                </c:pt>
                <c:pt idx="25">
                  <c:v>216</c:v>
                </c:pt>
                <c:pt idx="26">
                  <c:v>512</c:v>
                </c:pt>
                <c:pt idx="27">
                  <c:v>216</c:v>
                </c:pt>
                <c:pt idx="28">
                  <c:v>125</c:v>
                </c:pt>
                <c:pt idx="29">
                  <c:v>216</c:v>
                </c:pt>
                <c:pt idx="30">
                  <c:v>125</c:v>
                </c:pt>
                <c:pt idx="31">
                  <c:v>125</c:v>
                </c:pt>
                <c:pt idx="32">
                  <c:v>216</c:v>
                </c:pt>
                <c:pt idx="33">
                  <c:v>125</c:v>
                </c:pt>
                <c:pt idx="34">
                  <c:v>125</c:v>
                </c:pt>
                <c:pt idx="35">
                  <c:v>125</c:v>
                </c:pt>
                <c:pt idx="36">
                  <c:v>125</c:v>
                </c:pt>
                <c:pt idx="37">
                  <c:v>216</c:v>
                </c:pt>
                <c:pt idx="38">
                  <c:v>125</c:v>
                </c:pt>
                <c:pt idx="39">
                  <c:v>216</c:v>
                </c:pt>
                <c:pt idx="40">
                  <c:v>64</c:v>
                </c:pt>
                <c:pt idx="41">
                  <c:v>125</c:v>
                </c:pt>
                <c:pt idx="42">
                  <c:v>216</c:v>
                </c:pt>
                <c:pt idx="43">
                  <c:v>216</c:v>
                </c:pt>
                <c:pt idx="44">
                  <c:v>343</c:v>
                </c:pt>
                <c:pt idx="45">
                  <c:v>343</c:v>
                </c:pt>
                <c:pt idx="46">
                  <c:v>64</c:v>
                </c:pt>
                <c:pt idx="47">
                  <c:v>64</c:v>
                </c:pt>
                <c:pt idx="48">
                  <c:v>343</c:v>
                </c:pt>
                <c:pt idx="49">
                  <c:v>125</c:v>
                </c:pt>
                <c:pt idx="50">
                  <c:v>216</c:v>
                </c:pt>
                <c:pt idx="51">
                  <c:v>64</c:v>
                </c:pt>
                <c:pt idx="52">
                  <c:v>343</c:v>
                </c:pt>
                <c:pt idx="53">
                  <c:v>216</c:v>
                </c:pt>
                <c:pt idx="54">
                  <c:v>216</c:v>
                </c:pt>
                <c:pt idx="55">
                  <c:v>216</c:v>
                </c:pt>
                <c:pt idx="56">
                  <c:v>64</c:v>
                </c:pt>
                <c:pt idx="57">
                  <c:v>343</c:v>
                </c:pt>
                <c:pt idx="58">
                  <c:v>125</c:v>
                </c:pt>
                <c:pt idx="59">
                  <c:v>343</c:v>
                </c:pt>
                <c:pt idx="60">
                  <c:v>64</c:v>
                </c:pt>
                <c:pt idx="61">
                  <c:v>216</c:v>
                </c:pt>
                <c:pt idx="62">
                  <c:v>216</c:v>
                </c:pt>
                <c:pt idx="63">
                  <c:v>216</c:v>
                </c:pt>
                <c:pt idx="64">
                  <c:v>64</c:v>
                </c:pt>
                <c:pt idx="65">
                  <c:v>125</c:v>
                </c:pt>
                <c:pt idx="66">
                  <c:v>64</c:v>
                </c:pt>
                <c:pt idx="67">
                  <c:v>64</c:v>
                </c:pt>
                <c:pt idx="68">
                  <c:v>216</c:v>
                </c:pt>
                <c:pt idx="69">
                  <c:v>64</c:v>
                </c:pt>
                <c:pt idx="70">
                  <c:v>125</c:v>
                </c:pt>
                <c:pt idx="71">
                  <c:v>216</c:v>
                </c:pt>
                <c:pt idx="72">
                  <c:v>343</c:v>
                </c:pt>
                <c:pt idx="73">
                  <c:v>343</c:v>
                </c:pt>
                <c:pt idx="74">
                  <c:v>343</c:v>
                </c:pt>
                <c:pt idx="75">
                  <c:v>343</c:v>
                </c:pt>
                <c:pt idx="76">
                  <c:v>216</c:v>
                </c:pt>
                <c:pt idx="77">
                  <c:v>125</c:v>
                </c:pt>
                <c:pt idx="78">
                  <c:v>343</c:v>
                </c:pt>
                <c:pt idx="79">
                  <c:v>512</c:v>
                </c:pt>
                <c:pt idx="80">
                  <c:v>216</c:v>
                </c:pt>
                <c:pt idx="81">
                  <c:v>343</c:v>
                </c:pt>
                <c:pt idx="82">
                  <c:v>512</c:v>
                </c:pt>
                <c:pt idx="83">
                  <c:v>343</c:v>
                </c:pt>
                <c:pt idx="84">
                  <c:v>125</c:v>
                </c:pt>
                <c:pt idx="85">
                  <c:v>512</c:v>
                </c:pt>
                <c:pt idx="86">
                  <c:v>343</c:v>
                </c:pt>
                <c:pt idx="87">
                  <c:v>512</c:v>
                </c:pt>
                <c:pt idx="88">
                  <c:v>64</c:v>
                </c:pt>
                <c:pt idx="89">
                  <c:v>343</c:v>
                </c:pt>
                <c:pt idx="90">
                  <c:v>64</c:v>
                </c:pt>
                <c:pt idx="91">
                  <c:v>216</c:v>
                </c:pt>
                <c:pt idx="92">
                  <c:v>64</c:v>
                </c:pt>
                <c:pt idx="93">
                  <c:v>512</c:v>
                </c:pt>
                <c:pt idx="94">
                  <c:v>343</c:v>
                </c:pt>
                <c:pt idx="95">
                  <c:v>512</c:v>
                </c:pt>
                <c:pt idx="96">
                  <c:v>512</c:v>
                </c:pt>
                <c:pt idx="97">
                  <c:v>216</c:v>
                </c:pt>
                <c:pt idx="98">
                  <c:v>64</c:v>
                </c:pt>
                <c:pt idx="99">
                  <c:v>343</c:v>
                </c:pt>
                <c:pt idx="100">
                  <c:v>512</c:v>
                </c:pt>
                <c:pt idx="101">
                  <c:v>216</c:v>
                </c:pt>
                <c:pt idx="102">
                  <c:v>343</c:v>
                </c:pt>
                <c:pt idx="103">
                  <c:v>64</c:v>
                </c:pt>
                <c:pt idx="104">
                  <c:v>343</c:v>
                </c:pt>
                <c:pt idx="105">
                  <c:v>64</c:v>
                </c:pt>
                <c:pt idx="106">
                  <c:v>343</c:v>
                </c:pt>
                <c:pt idx="107">
                  <c:v>512</c:v>
                </c:pt>
                <c:pt idx="108">
                  <c:v>64</c:v>
                </c:pt>
                <c:pt idx="109">
                  <c:v>64</c:v>
                </c:pt>
                <c:pt idx="110">
                  <c:v>64</c:v>
                </c:pt>
                <c:pt idx="111">
                  <c:v>216</c:v>
                </c:pt>
                <c:pt idx="112">
                  <c:v>512</c:v>
                </c:pt>
                <c:pt idx="113">
                  <c:v>343</c:v>
                </c:pt>
                <c:pt idx="114">
                  <c:v>343</c:v>
                </c:pt>
                <c:pt idx="115">
                  <c:v>64</c:v>
                </c:pt>
                <c:pt idx="116">
                  <c:v>64</c:v>
                </c:pt>
                <c:pt idx="117">
                  <c:v>512</c:v>
                </c:pt>
                <c:pt idx="118">
                  <c:v>512</c:v>
                </c:pt>
                <c:pt idx="119">
                  <c:v>64</c:v>
                </c:pt>
                <c:pt idx="120">
                  <c:v>512</c:v>
                </c:pt>
                <c:pt idx="121">
                  <c:v>343</c:v>
                </c:pt>
                <c:pt idx="122">
                  <c:v>343</c:v>
                </c:pt>
                <c:pt idx="123">
                  <c:v>512</c:v>
                </c:pt>
                <c:pt idx="124">
                  <c:v>64</c:v>
                </c:pt>
                <c:pt idx="125">
                  <c:v>343</c:v>
                </c:pt>
                <c:pt idx="126">
                  <c:v>64</c:v>
                </c:pt>
                <c:pt idx="127">
                  <c:v>343</c:v>
                </c:pt>
                <c:pt idx="128">
                  <c:v>512</c:v>
                </c:pt>
                <c:pt idx="129">
                  <c:v>512</c:v>
                </c:pt>
                <c:pt idx="130">
                  <c:v>512</c:v>
                </c:pt>
                <c:pt idx="131">
                  <c:v>64</c:v>
                </c:pt>
                <c:pt idx="132">
                  <c:v>512</c:v>
                </c:pt>
                <c:pt idx="133">
                  <c:v>512</c:v>
                </c:pt>
                <c:pt idx="134">
                  <c:v>343</c:v>
                </c:pt>
                <c:pt idx="135">
                  <c:v>216</c:v>
                </c:pt>
                <c:pt idx="136">
                  <c:v>64</c:v>
                </c:pt>
                <c:pt idx="137">
                  <c:v>512</c:v>
                </c:pt>
                <c:pt idx="138">
                  <c:v>64</c:v>
                </c:pt>
                <c:pt idx="139">
                  <c:v>64</c:v>
                </c:pt>
                <c:pt idx="140">
                  <c:v>512</c:v>
                </c:pt>
                <c:pt idx="141">
                  <c:v>512</c:v>
                </c:pt>
                <c:pt idx="142">
                  <c:v>512</c:v>
                </c:pt>
                <c:pt idx="143">
                  <c:v>512</c:v>
                </c:pt>
                <c:pt idx="144">
                  <c:v>343</c:v>
                </c:pt>
                <c:pt idx="145">
                  <c:v>512</c:v>
                </c:pt>
                <c:pt idx="146">
                  <c:v>512</c:v>
                </c:pt>
                <c:pt idx="147">
                  <c:v>343</c:v>
                </c:pt>
                <c:pt idx="148">
                  <c:v>512</c:v>
                </c:pt>
                <c:pt idx="149">
                  <c:v>512</c:v>
                </c:pt>
              </c:numCache>
            </c:numRef>
          </c:xVal>
          <c:yVal>
            <c:numRef>
              <c:f>X!$L$2:$L$151</c:f>
              <c:numCache>
                <c:formatCode>General</c:formatCode>
                <c:ptCount val="150"/>
                <c:pt idx="0">
                  <c:v>2.2907904295567305</c:v>
                </c:pt>
                <c:pt idx="1">
                  <c:v>1.5619456610141358</c:v>
                </c:pt>
                <c:pt idx="2">
                  <c:v>1.5931679912250871</c:v>
                </c:pt>
                <c:pt idx="3">
                  <c:v>1.8269683748228818</c:v>
                </c:pt>
                <c:pt idx="4">
                  <c:v>0.85952265202190503</c:v>
                </c:pt>
                <c:pt idx="5">
                  <c:v>2.1509680320094073</c:v>
                </c:pt>
                <c:pt idx="6">
                  <c:v>1.1231910310173769</c:v>
                </c:pt>
                <c:pt idx="7">
                  <c:v>3.0719225809783404</c:v>
                </c:pt>
                <c:pt idx="8">
                  <c:v>1.2235802737971162</c:v>
                </c:pt>
                <c:pt idx="9">
                  <c:v>1.4768297738052916</c:v>
                </c:pt>
                <c:pt idx="10">
                  <c:v>1.6782757306213725</c:v>
                </c:pt>
                <c:pt idx="11">
                  <c:v>2.8897326988053291</c:v>
                </c:pt>
                <c:pt idx="12">
                  <c:v>2.3184144047814925</c:v>
                </c:pt>
                <c:pt idx="13">
                  <c:v>3.0146366029461573</c:v>
                </c:pt>
                <c:pt idx="14">
                  <c:v>3.8964595464414322</c:v>
                </c:pt>
                <c:pt idx="15">
                  <c:v>2.6809579131995762</c:v>
                </c:pt>
                <c:pt idx="16">
                  <c:v>1.0626006890497057</c:v>
                </c:pt>
                <c:pt idx="17">
                  <c:v>1.1608981449330658</c:v>
                </c:pt>
                <c:pt idx="18">
                  <c:v>2.4018421671465822</c:v>
                </c:pt>
                <c:pt idx="19">
                  <c:v>2.1708074981035685</c:v>
                </c:pt>
                <c:pt idx="20">
                  <c:v>3.2196938580308037</c:v>
                </c:pt>
                <c:pt idx="21">
                  <c:v>3.7583108759834554</c:v>
                </c:pt>
                <c:pt idx="22">
                  <c:v>2.1622353304630555</c:v>
                </c:pt>
                <c:pt idx="23">
                  <c:v>4.9001937883097462</c:v>
                </c:pt>
                <c:pt idx="24">
                  <c:v>0.96833481146443456</c:v>
                </c:pt>
                <c:pt idx="25">
                  <c:v>3.1328539368350143</c:v>
                </c:pt>
                <c:pt idx="26">
                  <c:v>1.1112631039696095</c:v>
                </c:pt>
                <c:pt idx="27">
                  <c:v>2.8141176699960999</c:v>
                </c:pt>
                <c:pt idx="28">
                  <c:v>3.4865765878312831</c:v>
                </c:pt>
                <c:pt idx="29">
                  <c:v>1.6590208674368669</c:v>
                </c:pt>
                <c:pt idx="30">
                  <c:v>3.9511137759617077</c:v>
                </c:pt>
                <c:pt idx="31">
                  <c:v>5.4332976089897587</c:v>
                </c:pt>
                <c:pt idx="32">
                  <c:v>2.1946929151203993</c:v>
                </c:pt>
                <c:pt idx="33">
                  <c:v>4.8334828268161178</c:v>
                </c:pt>
                <c:pt idx="34">
                  <c:v>4.6826590979233584</c:v>
                </c:pt>
                <c:pt idx="35">
                  <c:v>5.6802478628331228</c:v>
                </c:pt>
                <c:pt idx="36">
                  <c:v>4.9721555925927605</c:v>
                </c:pt>
                <c:pt idx="37">
                  <c:v>0.82445582748788315</c:v>
                </c:pt>
                <c:pt idx="38">
                  <c:v>4.2841897691493873</c:v>
                </c:pt>
                <c:pt idx="39">
                  <c:v>0.96442367903808057</c:v>
                </c:pt>
                <c:pt idx="40">
                  <c:v>1.1602183172249443</c:v>
                </c:pt>
                <c:pt idx="41">
                  <c:v>5.4075990134112821</c:v>
                </c:pt>
                <c:pt idx="42">
                  <c:v>2.7760260126153584</c:v>
                </c:pt>
                <c:pt idx="43">
                  <c:v>3.9310719374042757</c:v>
                </c:pt>
                <c:pt idx="44">
                  <c:v>0.65438309504452374</c:v>
                </c:pt>
                <c:pt idx="45">
                  <c:v>0.54601064748678996</c:v>
                </c:pt>
                <c:pt idx="46">
                  <c:v>0.68300330977220414</c:v>
                </c:pt>
                <c:pt idx="47">
                  <c:v>1.5696565839036278</c:v>
                </c:pt>
                <c:pt idx="48">
                  <c:v>1.5721977037482886</c:v>
                </c:pt>
                <c:pt idx="49">
                  <c:v>5.0388452392769691</c:v>
                </c:pt>
                <c:pt idx="50">
                  <c:v>3.6110177167472797</c:v>
                </c:pt>
                <c:pt idx="51">
                  <c:v>2.3736771084020893</c:v>
                </c:pt>
                <c:pt idx="52">
                  <c:v>1.2116752952948722</c:v>
                </c:pt>
                <c:pt idx="53">
                  <c:v>4.406086976431749</c:v>
                </c:pt>
                <c:pt idx="54">
                  <c:v>2.8525101432716444</c:v>
                </c:pt>
                <c:pt idx="55">
                  <c:v>2.2789366332914103</c:v>
                </c:pt>
                <c:pt idx="56">
                  <c:v>1.4080600214967804</c:v>
                </c:pt>
                <c:pt idx="57">
                  <c:v>1.5001187061383099</c:v>
                </c:pt>
                <c:pt idx="58">
                  <c:v>5.2768618882365903</c:v>
                </c:pt>
                <c:pt idx="59">
                  <c:v>2.194072786297677</c:v>
                </c:pt>
                <c:pt idx="60">
                  <c:v>2.386017386425439</c:v>
                </c:pt>
                <c:pt idx="61">
                  <c:v>4.6162383556759741</c:v>
                </c:pt>
                <c:pt idx="62">
                  <c:v>3.8213825474228496</c:v>
                </c:pt>
                <c:pt idx="63">
                  <c:v>4.1996500513509796</c:v>
                </c:pt>
                <c:pt idx="64">
                  <c:v>1.8321168439521875</c:v>
                </c:pt>
                <c:pt idx="65">
                  <c:v>5.7009846579600527</c:v>
                </c:pt>
                <c:pt idx="66">
                  <c:v>0.73768892806209463</c:v>
                </c:pt>
                <c:pt idx="67">
                  <c:v>1.715012996780241</c:v>
                </c:pt>
                <c:pt idx="68">
                  <c:v>3.6652375544608962</c:v>
                </c:pt>
                <c:pt idx="69">
                  <c:v>3.1896994044529614</c:v>
                </c:pt>
                <c:pt idx="70">
                  <c:v>5.4060020189171691</c:v>
                </c:pt>
                <c:pt idx="71">
                  <c:v>3.2739499031828578</c:v>
                </c:pt>
                <c:pt idx="72">
                  <c:v>1.4306135042938639</c:v>
                </c:pt>
                <c:pt idx="73">
                  <c:v>1.2774503628942746</c:v>
                </c:pt>
                <c:pt idx="74">
                  <c:v>0.53701430171799625</c:v>
                </c:pt>
                <c:pt idx="75">
                  <c:v>0.56842453738613652</c:v>
                </c:pt>
                <c:pt idx="76">
                  <c:v>4.1994607877731394</c:v>
                </c:pt>
                <c:pt idx="77">
                  <c:v>5.6498602970895409</c:v>
                </c:pt>
                <c:pt idx="78">
                  <c:v>2.0575193847010387</c:v>
                </c:pt>
                <c:pt idx="79">
                  <c:v>0.57380271350542722</c:v>
                </c:pt>
                <c:pt idx="80">
                  <c:v>4.2892805620401635</c:v>
                </c:pt>
                <c:pt idx="81">
                  <c:v>1.5853236942899951</c:v>
                </c:pt>
                <c:pt idx="82">
                  <c:v>0.63208185180949261</c:v>
                </c:pt>
                <c:pt idx="83">
                  <c:v>3.0879960284363421</c:v>
                </c:pt>
                <c:pt idx="84">
                  <c:v>5.452136031392957</c:v>
                </c:pt>
                <c:pt idx="85">
                  <c:v>1.6152168715198301</c:v>
                </c:pt>
                <c:pt idx="86">
                  <c:v>2.0895796883966447</c:v>
                </c:pt>
                <c:pt idx="87">
                  <c:v>1.353354283204163</c:v>
                </c:pt>
                <c:pt idx="88">
                  <c:v>3.1324701761783809</c:v>
                </c:pt>
                <c:pt idx="89">
                  <c:v>1.7806680677970275</c:v>
                </c:pt>
                <c:pt idx="90">
                  <c:v>1.8850653110838365</c:v>
                </c:pt>
                <c:pt idx="91">
                  <c:v>4.4833751700887197</c:v>
                </c:pt>
                <c:pt idx="92">
                  <c:v>2.6533983329422894</c:v>
                </c:pt>
                <c:pt idx="93">
                  <c:v>1.4895417953405949</c:v>
                </c:pt>
                <c:pt idx="94">
                  <c:v>3.2462059922761033</c:v>
                </c:pt>
                <c:pt idx="95">
                  <c:v>1.3428781659589359</c:v>
                </c:pt>
                <c:pt idx="96">
                  <c:v>2.2786396314239941</c:v>
                </c:pt>
                <c:pt idx="97">
                  <c:v>3.7665587066260646</c:v>
                </c:pt>
                <c:pt idx="98">
                  <c:v>4.1813966936108589</c:v>
                </c:pt>
                <c:pt idx="99">
                  <c:v>3.8381267224777909</c:v>
                </c:pt>
                <c:pt idx="100">
                  <c:v>1.6977393421331453</c:v>
                </c:pt>
                <c:pt idx="101">
                  <c:v>4.611759155615335</c:v>
                </c:pt>
                <c:pt idx="102">
                  <c:v>2.7726701248311265</c:v>
                </c:pt>
                <c:pt idx="103">
                  <c:v>2.6870571385991551</c:v>
                </c:pt>
                <c:pt idx="104">
                  <c:v>3.0486049881518893</c:v>
                </c:pt>
                <c:pt idx="105">
                  <c:v>4.8286714248884506</c:v>
                </c:pt>
                <c:pt idx="106">
                  <c:v>3.873109493652628</c:v>
                </c:pt>
                <c:pt idx="107">
                  <c:v>0.51754364588721902</c:v>
                </c:pt>
                <c:pt idx="108">
                  <c:v>3.445579386051373</c:v>
                </c:pt>
                <c:pt idx="109">
                  <c:v>3.8080922481178758</c:v>
                </c:pt>
                <c:pt idx="110">
                  <c:v>4.4878555894263101</c:v>
                </c:pt>
                <c:pt idx="111">
                  <c:v>4.5175324949317091</c:v>
                </c:pt>
                <c:pt idx="112">
                  <c:v>1.2333152209482887</c:v>
                </c:pt>
                <c:pt idx="113">
                  <c:v>2.2976922333805847</c:v>
                </c:pt>
                <c:pt idx="114">
                  <c:v>3.9075250773460257</c:v>
                </c:pt>
                <c:pt idx="115">
                  <c:v>5.1159750564410347</c:v>
                </c:pt>
                <c:pt idx="116">
                  <c:v>3.6975464968833931</c:v>
                </c:pt>
                <c:pt idx="117">
                  <c:v>2.0754213130129306</c:v>
                </c:pt>
                <c:pt idx="118">
                  <c:v>1.6524445287705389</c:v>
                </c:pt>
                <c:pt idx="119">
                  <c:v>4.8602041924923611</c:v>
                </c:pt>
                <c:pt idx="120">
                  <c:v>3.2527707534103563</c:v>
                </c:pt>
                <c:pt idx="121">
                  <c:v>4.2805084833216922</c:v>
                </c:pt>
                <c:pt idx="122">
                  <c:v>3.0201743680430346</c:v>
                </c:pt>
                <c:pt idx="123">
                  <c:v>1.8397030800500114</c:v>
                </c:pt>
                <c:pt idx="124">
                  <c:v>4.2176713035229714</c:v>
                </c:pt>
                <c:pt idx="125">
                  <c:v>3.3568317187563794</c:v>
                </c:pt>
                <c:pt idx="126">
                  <c:v>4.7479183221178873</c:v>
                </c:pt>
                <c:pt idx="127">
                  <c:v>4.4314345170255693</c:v>
                </c:pt>
                <c:pt idx="128">
                  <c:v>2.2334264517364408</c:v>
                </c:pt>
                <c:pt idx="129">
                  <c:v>4.1661640727287175</c:v>
                </c:pt>
                <c:pt idx="130">
                  <c:v>2.9323702573920207</c:v>
                </c:pt>
                <c:pt idx="131">
                  <c:v>5.0837754960025574</c:v>
                </c:pt>
                <c:pt idx="132">
                  <c:v>3.1804974358330229</c:v>
                </c:pt>
                <c:pt idx="133">
                  <c:v>4.3017926366530181</c:v>
                </c:pt>
                <c:pt idx="134">
                  <c:v>4.3017812562044631</c:v>
                </c:pt>
                <c:pt idx="135">
                  <c:v>4.0279014197058265</c:v>
                </c:pt>
                <c:pt idx="136">
                  <c:v>4.5075314610990533</c:v>
                </c:pt>
                <c:pt idx="137">
                  <c:v>2.403228441924969</c:v>
                </c:pt>
                <c:pt idx="138">
                  <c:v>5.1027814095583333</c:v>
                </c:pt>
                <c:pt idx="139">
                  <c:v>4.7434359274448017</c:v>
                </c:pt>
                <c:pt idx="140">
                  <c:v>4.7303788029213436</c:v>
                </c:pt>
                <c:pt idx="141">
                  <c:v>3.2614146426422175</c:v>
                </c:pt>
                <c:pt idx="142">
                  <c:v>2.7531443074273838</c:v>
                </c:pt>
                <c:pt idx="143">
                  <c:v>3.61234365464425</c:v>
                </c:pt>
                <c:pt idx="144">
                  <c:v>3.6923518757746763</c:v>
                </c:pt>
                <c:pt idx="145">
                  <c:v>4.7840669776167566</c:v>
                </c:pt>
                <c:pt idx="146">
                  <c:v>4.021467679940308</c:v>
                </c:pt>
                <c:pt idx="147">
                  <c:v>2.0450371689436149</c:v>
                </c:pt>
                <c:pt idx="148">
                  <c:v>2.1529419361795123</c:v>
                </c:pt>
                <c:pt idx="149">
                  <c:v>0.51338723973552935</c:v>
                </c:pt>
              </c:numCache>
            </c:numRef>
          </c:yVal>
          <c:smooth val="0"/>
          <c:extLst>
            <c:ext xmlns:c16="http://schemas.microsoft.com/office/drawing/2014/chart" uri="{C3380CC4-5D6E-409C-BE32-E72D297353CC}">
              <c16:uniqueId val="{00000000-C318-40A8-A99F-A42E4F08C956}"/>
            </c:ext>
          </c:extLst>
        </c:ser>
        <c:dLbls>
          <c:showLegendKey val="0"/>
          <c:showVal val="0"/>
          <c:showCatName val="0"/>
          <c:showSerName val="0"/>
          <c:showPercent val="0"/>
          <c:showBubbleSize val="0"/>
        </c:dLbls>
        <c:axId val="1249963152"/>
        <c:axId val="1249956496"/>
      </c:scatterChart>
      <c:valAx>
        <c:axId val="1249963152"/>
        <c:scaling>
          <c:logBase val="10"/>
          <c:orientation val="minMax"/>
          <c:min val="1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56496"/>
        <c:crosses val="autoZero"/>
        <c:crossBetween val="midCat"/>
      </c:valAx>
      <c:valAx>
        <c:axId val="1249956496"/>
        <c:scaling>
          <c:orientation val="minMax"/>
          <c:min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631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N0 -&gt; share M2L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X!$X$1</c:f>
              <c:strCache>
                <c:ptCount val="1"/>
                <c:pt idx="0">
                  <c:v>share CPU M2L</c:v>
                </c:pt>
              </c:strCache>
            </c:strRef>
          </c:tx>
          <c:spPr>
            <a:ln w="19050" cap="rnd">
              <a:noFill/>
              <a:round/>
            </a:ln>
            <a:effectLst/>
          </c:spPr>
          <c:marker>
            <c:symbol val="circle"/>
            <c:size val="5"/>
            <c:spPr>
              <a:solidFill>
                <a:schemeClr val="accent1"/>
              </a:solidFill>
              <a:ln w="9525">
                <a:solidFill>
                  <a:schemeClr val="accent1"/>
                </a:solidFill>
              </a:ln>
              <a:effectLst/>
            </c:spPr>
          </c:marker>
          <c:xVal>
            <c:numRef>
              <c:f>X!$C$2:$C$151</c:f>
              <c:numCache>
                <c:formatCode>General</c:formatCode>
                <c:ptCount val="150"/>
                <c:pt idx="0">
                  <c:v>125</c:v>
                </c:pt>
                <c:pt idx="1">
                  <c:v>125</c:v>
                </c:pt>
                <c:pt idx="2">
                  <c:v>216</c:v>
                </c:pt>
                <c:pt idx="3">
                  <c:v>216</c:v>
                </c:pt>
                <c:pt idx="4">
                  <c:v>64</c:v>
                </c:pt>
                <c:pt idx="5">
                  <c:v>125</c:v>
                </c:pt>
                <c:pt idx="6">
                  <c:v>343</c:v>
                </c:pt>
                <c:pt idx="7">
                  <c:v>125</c:v>
                </c:pt>
                <c:pt idx="8">
                  <c:v>125</c:v>
                </c:pt>
                <c:pt idx="9">
                  <c:v>125</c:v>
                </c:pt>
                <c:pt idx="10">
                  <c:v>64</c:v>
                </c:pt>
                <c:pt idx="11">
                  <c:v>125</c:v>
                </c:pt>
                <c:pt idx="12">
                  <c:v>125</c:v>
                </c:pt>
                <c:pt idx="13">
                  <c:v>125</c:v>
                </c:pt>
                <c:pt idx="14">
                  <c:v>125</c:v>
                </c:pt>
                <c:pt idx="15">
                  <c:v>125</c:v>
                </c:pt>
                <c:pt idx="16">
                  <c:v>216</c:v>
                </c:pt>
                <c:pt idx="17">
                  <c:v>125</c:v>
                </c:pt>
                <c:pt idx="18">
                  <c:v>216</c:v>
                </c:pt>
                <c:pt idx="19">
                  <c:v>216</c:v>
                </c:pt>
                <c:pt idx="20">
                  <c:v>125</c:v>
                </c:pt>
                <c:pt idx="21">
                  <c:v>125</c:v>
                </c:pt>
                <c:pt idx="22">
                  <c:v>216</c:v>
                </c:pt>
                <c:pt idx="23">
                  <c:v>125</c:v>
                </c:pt>
                <c:pt idx="24">
                  <c:v>512</c:v>
                </c:pt>
                <c:pt idx="25">
                  <c:v>216</c:v>
                </c:pt>
                <c:pt idx="26">
                  <c:v>512</c:v>
                </c:pt>
                <c:pt idx="27">
                  <c:v>216</c:v>
                </c:pt>
                <c:pt idx="28">
                  <c:v>125</c:v>
                </c:pt>
                <c:pt idx="29">
                  <c:v>216</c:v>
                </c:pt>
                <c:pt idx="30">
                  <c:v>125</c:v>
                </c:pt>
                <c:pt idx="31">
                  <c:v>125</c:v>
                </c:pt>
                <c:pt idx="32">
                  <c:v>216</c:v>
                </c:pt>
                <c:pt idx="33">
                  <c:v>125</c:v>
                </c:pt>
                <c:pt idx="34">
                  <c:v>125</c:v>
                </c:pt>
                <c:pt idx="35">
                  <c:v>125</c:v>
                </c:pt>
                <c:pt idx="36">
                  <c:v>125</c:v>
                </c:pt>
                <c:pt idx="37">
                  <c:v>216</c:v>
                </c:pt>
                <c:pt idx="38">
                  <c:v>125</c:v>
                </c:pt>
                <c:pt idx="39">
                  <c:v>216</c:v>
                </c:pt>
                <c:pt idx="40">
                  <c:v>64</c:v>
                </c:pt>
                <c:pt idx="41">
                  <c:v>125</c:v>
                </c:pt>
                <c:pt idx="42">
                  <c:v>216</c:v>
                </c:pt>
                <c:pt idx="43">
                  <c:v>216</c:v>
                </c:pt>
                <c:pt idx="44">
                  <c:v>343</c:v>
                </c:pt>
                <c:pt idx="45">
                  <c:v>343</c:v>
                </c:pt>
                <c:pt idx="46">
                  <c:v>64</c:v>
                </c:pt>
                <c:pt idx="47">
                  <c:v>64</c:v>
                </c:pt>
                <c:pt idx="48">
                  <c:v>343</c:v>
                </c:pt>
                <c:pt idx="49">
                  <c:v>125</c:v>
                </c:pt>
                <c:pt idx="50">
                  <c:v>216</c:v>
                </c:pt>
                <c:pt idx="51">
                  <c:v>64</c:v>
                </c:pt>
                <c:pt idx="52">
                  <c:v>343</c:v>
                </c:pt>
                <c:pt idx="53">
                  <c:v>216</c:v>
                </c:pt>
                <c:pt idx="54">
                  <c:v>216</c:v>
                </c:pt>
                <c:pt idx="55">
                  <c:v>216</c:v>
                </c:pt>
                <c:pt idx="56">
                  <c:v>64</c:v>
                </c:pt>
                <c:pt idx="57">
                  <c:v>343</c:v>
                </c:pt>
                <c:pt idx="58">
                  <c:v>125</c:v>
                </c:pt>
                <c:pt idx="59">
                  <c:v>343</c:v>
                </c:pt>
                <c:pt idx="60">
                  <c:v>64</c:v>
                </c:pt>
                <c:pt idx="61">
                  <c:v>216</c:v>
                </c:pt>
                <c:pt idx="62">
                  <c:v>216</c:v>
                </c:pt>
                <c:pt idx="63">
                  <c:v>216</c:v>
                </c:pt>
                <c:pt idx="64">
                  <c:v>64</c:v>
                </c:pt>
                <c:pt idx="65">
                  <c:v>125</c:v>
                </c:pt>
                <c:pt idx="66">
                  <c:v>64</c:v>
                </c:pt>
                <c:pt idx="67">
                  <c:v>64</c:v>
                </c:pt>
                <c:pt idx="68">
                  <c:v>216</c:v>
                </c:pt>
                <c:pt idx="69">
                  <c:v>64</c:v>
                </c:pt>
                <c:pt idx="70">
                  <c:v>125</c:v>
                </c:pt>
                <c:pt idx="71">
                  <c:v>216</c:v>
                </c:pt>
                <c:pt idx="72">
                  <c:v>343</c:v>
                </c:pt>
                <c:pt idx="73">
                  <c:v>343</c:v>
                </c:pt>
                <c:pt idx="74">
                  <c:v>343</c:v>
                </c:pt>
                <c:pt idx="75">
                  <c:v>343</c:v>
                </c:pt>
                <c:pt idx="76">
                  <c:v>216</c:v>
                </c:pt>
                <c:pt idx="77">
                  <c:v>125</c:v>
                </c:pt>
                <c:pt idx="78">
                  <c:v>343</c:v>
                </c:pt>
                <c:pt idx="79">
                  <c:v>512</c:v>
                </c:pt>
                <c:pt idx="80">
                  <c:v>216</c:v>
                </c:pt>
                <c:pt idx="81">
                  <c:v>343</c:v>
                </c:pt>
                <c:pt idx="82">
                  <c:v>512</c:v>
                </c:pt>
                <c:pt idx="83">
                  <c:v>343</c:v>
                </c:pt>
                <c:pt idx="84">
                  <c:v>125</c:v>
                </c:pt>
                <c:pt idx="85">
                  <c:v>512</c:v>
                </c:pt>
                <c:pt idx="86">
                  <c:v>343</c:v>
                </c:pt>
                <c:pt idx="87">
                  <c:v>512</c:v>
                </c:pt>
                <c:pt idx="88">
                  <c:v>64</c:v>
                </c:pt>
                <c:pt idx="89">
                  <c:v>343</c:v>
                </c:pt>
                <c:pt idx="90">
                  <c:v>64</c:v>
                </c:pt>
                <c:pt idx="91">
                  <c:v>216</c:v>
                </c:pt>
                <c:pt idx="92">
                  <c:v>64</c:v>
                </c:pt>
                <c:pt idx="93">
                  <c:v>512</c:v>
                </c:pt>
                <c:pt idx="94">
                  <c:v>343</c:v>
                </c:pt>
                <c:pt idx="95">
                  <c:v>512</c:v>
                </c:pt>
                <c:pt idx="96">
                  <c:v>512</c:v>
                </c:pt>
                <c:pt idx="97">
                  <c:v>216</c:v>
                </c:pt>
                <c:pt idx="98">
                  <c:v>64</c:v>
                </c:pt>
                <c:pt idx="99">
                  <c:v>343</c:v>
                </c:pt>
                <c:pt idx="100">
                  <c:v>512</c:v>
                </c:pt>
                <c:pt idx="101">
                  <c:v>216</c:v>
                </c:pt>
                <c:pt idx="102">
                  <c:v>343</c:v>
                </c:pt>
                <c:pt idx="103">
                  <c:v>64</c:v>
                </c:pt>
                <c:pt idx="104">
                  <c:v>343</c:v>
                </c:pt>
                <c:pt idx="105">
                  <c:v>64</c:v>
                </c:pt>
                <c:pt idx="106">
                  <c:v>343</c:v>
                </c:pt>
                <c:pt idx="107">
                  <c:v>512</c:v>
                </c:pt>
                <c:pt idx="108">
                  <c:v>64</c:v>
                </c:pt>
                <c:pt idx="109">
                  <c:v>64</c:v>
                </c:pt>
                <c:pt idx="110">
                  <c:v>64</c:v>
                </c:pt>
                <c:pt idx="111">
                  <c:v>216</c:v>
                </c:pt>
                <c:pt idx="112">
                  <c:v>512</c:v>
                </c:pt>
                <c:pt idx="113">
                  <c:v>343</c:v>
                </c:pt>
                <c:pt idx="114">
                  <c:v>343</c:v>
                </c:pt>
                <c:pt idx="115">
                  <c:v>64</c:v>
                </c:pt>
                <c:pt idx="116">
                  <c:v>64</c:v>
                </c:pt>
                <c:pt idx="117">
                  <c:v>512</c:v>
                </c:pt>
                <c:pt idx="118">
                  <c:v>512</c:v>
                </c:pt>
                <c:pt idx="119">
                  <c:v>64</c:v>
                </c:pt>
                <c:pt idx="120">
                  <c:v>512</c:v>
                </c:pt>
                <c:pt idx="121">
                  <c:v>343</c:v>
                </c:pt>
                <c:pt idx="122">
                  <c:v>343</c:v>
                </c:pt>
                <c:pt idx="123">
                  <c:v>512</c:v>
                </c:pt>
                <c:pt idx="124">
                  <c:v>64</c:v>
                </c:pt>
                <c:pt idx="125">
                  <c:v>343</c:v>
                </c:pt>
                <c:pt idx="126">
                  <c:v>64</c:v>
                </c:pt>
                <c:pt idx="127">
                  <c:v>343</c:v>
                </c:pt>
                <c:pt idx="128">
                  <c:v>512</c:v>
                </c:pt>
                <c:pt idx="129">
                  <c:v>512</c:v>
                </c:pt>
                <c:pt idx="130">
                  <c:v>512</c:v>
                </c:pt>
                <c:pt idx="131">
                  <c:v>64</c:v>
                </c:pt>
                <c:pt idx="132">
                  <c:v>512</c:v>
                </c:pt>
                <c:pt idx="133">
                  <c:v>512</c:v>
                </c:pt>
                <c:pt idx="134">
                  <c:v>343</c:v>
                </c:pt>
                <c:pt idx="135">
                  <c:v>216</c:v>
                </c:pt>
                <c:pt idx="136">
                  <c:v>64</c:v>
                </c:pt>
                <c:pt idx="137">
                  <c:v>512</c:v>
                </c:pt>
                <c:pt idx="138">
                  <c:v>64</c:v>
                </c:pt>
                <c:pt idx="139">
                  <c:v>64</c:v>
                </c:pt>
                <c:pt idx="140">
                  <c:v>512</c:v>
                </c:pt>
                <c:pt idx="141">
                  <c:v>512</c:v>
                </c:pt>
                <c:pt idx="142">
                  <c:v>512</c:v>
                </c:pt>
                <c:pt idx="143">
                  <c:v>512</c:v>
                </c:pt>
                <c:pt idx="144">
                  <c:v>343</c:v>
                </c:pt>
                <c:pt idx="145">
                  <c:v>512</c:v>
                </c:pt>
                <c:pt idx="146">
                  <c:v>512</c:v>
                </c:pt>
                <c:pt idx="147">
                  <c:v>343</c:v>
                </c:pt>
                <c:pt idx="148">
                  <c:v>512</c:v>
                </c:pt>
                <c:pt idx="149">
                  <c:v>512</c:v>
                </c:pt>
              </c:numCache>
            </c:numRef>
          </c:xVal>
          <c:yVal>
            <c:numRef>
              <c:f>X!$X$2:$X$151</c:f>
              <c:numCache>
                <c:formatCode>General</c:formatCode>
                <c:ptCount val="150"/>
                <c:pt idx="0">
                  <c:v>0.43408591340810154</c:v>
                </c:pt>
                <c:pt idx="1">
                  <c:v>0.45039726739512381</c:v>
                </c:pt>
                <c:pt idx="2">
                  <c:v>0.42118123576141847</c:v>
                </c:pt>
                <c:pt idx="3">
                  <c:v>0.43700704026617415</c:v>
                </c:pt>
                <c:pt idx="4">
                  <c:v>0.25877861805536662</c:v>
                </c:pt>
                <c:pt idx="5">
                  <c:v>0.48530826752209166</c:v>
                </c:pt>
                <c:pt idx="6">
                  <c:v>0.4059966537853027</c:v>
                </c:pt>
                <c:pt idx="7">
                  <c:v>0.49255763689145238</c:v>
                </c:pt>
                <c:pt idx="8">
                  <c:v>0.24494290252702972</c:v>
                </c:pt>
                <c:pt idx="9">
                  <c:v>0.2516630999425355</c:v>
                </c:pt>
                <c:pt idx="10">
                  <c:v>0.2760785505265545</c:v>
                </c:pt>
                <c:pt idx="11">
                  <c:v>0.45048927509428066</c:v>
                </c:pt>
                <c:pt idx="12">
                  <c:v>0.45236389015181494</c:v>
                </c:pt>
                <c:pt idx="13">
                  <c:v>0.54430960676280804</c:v>
                </c:pt>
                <c:pt idx="14">
                  <c:v>0.587357934011695</c:v>
                </c:pt>
                <c:pt idx="15">
                  <c:v>0.43594575108970995</c:v>
                </c:pt>
                <c:pt idx="16">
                  <c:v>0.24699051606339478</c:v>
                </c:pt>
                <c:pt idx="17">
                  <c:v>0.20264234393108455</c:v>
                </c:pt>
                <c:pt idx="18">
                  <c:v>0.46131431794778444</c:v>
                </c:pt>
                <c:pt idx="19">
                  <c:v>0.46538095198066154</c:v>
                </c:pt>
                <c:pt idx="20">
                  <c:v>0.49747841681717186</c:v>
                </c:pt>
                <c:pt idx="21">
                  <c:v>0.52025952571013723</c:v>
                </c:pt>
                <c:pt idx="22">
                  <c:v>0.4250659983848083</c:v>
                </c:pt>
                <c:pt idx="23">
                  <c:v>0.64656911153095453</c:v>
                </c:pt>
                <c:pt idx="24">
                  <c:v>0.36153939623337916</c:v>
                </c:pt>
                <c:pt idx="25">
                  <c:v>0.55065704986946351</c:v>
                </c:pt>
                <c:pt idx="26">
                  <c:v>0.35397865888771213</c:v>
                </c:pt>
                <c:pt idx="27">
                  <c:v>0.51965862465288903</c:v>
                </c:pt>
                <c:pt idx="28">
                  <c:v>0.48938599850138631</c:v>
                </c:pt>
                <c:pt idx="29">
                  <c:v>0.40401506586488428</c:v>
                </c:pt>
                <c:pt idx="30">
                  <c:v>0.61209897459505158</c:v>
                </c:pt>
                <c:pt idx="31">
                  <c:v>0.68138091817380786</c:v>
                </c:pt>
                <c:pt idx="32">
                  <c:v>0.41236297080494361</c:v>
                </c:pt>
                <c:pt idx="33">
                  <c:v>0.59766091847962111</c:v>
                </c:pt>
                <c:pt idx="34">
                  <c:v>0.58587012840853114</c:v>
                </c:pt>
                <c:pt idx="35">
                  <c:v>0.67802759571683069</c:v>
                </c:pt>
                <c:pt idx="36">
                  <c:v>0.63705276676818523</c:v>
                </c:pt>
                <c:pt idx="37">
                  <c:v>0.23198089194897045</c:v>
                </c:pt>
                <c:pt idx="38">
                  <c:v>0.56406352019709771</c:v>
                </c:pt>
                <c:pt idx="39">
                  <c:v>0.19647969029530904</c:v>
                </c:pt>
                <c:pt idx="40">
                  <c:v>0.1295472487650019</c:v>
                </c:pt>
                <c:pt idx="41">
                  <c:v>0.63223743583885628</c:v>
                </c:pt>
                <c:pt idx="42">
                  <c:v>0.45723901133680533</c:v>
                </c:pt>
                <c:pt idx="43">
                  <c:v>0.58216697117572869</c:v>
                </c:pt>
                <c:pt idx="44">
                  <c:v>0.21545900775899016</c:v>
                </c:pt>
                <c:pt idx="45">
                  <c:v>0.21837480172009366</c:v>
                </c:pt>
                <c:pt idx="46">
                  <c:v>0.14198608566719198</c:v>
                </c:pt>
                <c:pt idx="47">
                  <c:v>0.22998508293379169</c:v>
                </c:pt>
                <c:pt idx="48">
                  <c:v>0.38695078457075088</c:v>
                </c:pt>
                <c:pt idx="49">
                  <c:v>0.58643442861171069</c:v>
                </c:pt>
                <c:pt idx="50">
                  <c:v>0.54414410868370799</c:v>
                </c:pt>
                <c:pt idx="51">
                  <c:v>0.29157888960113509</c:v>
                </c:pt>
                <c:pt idx="52">
                  <c:v>0.34057736555929313</c:v>
                </c:pt>
                <c:pt idx="53">
                  <c:v>0.60219715425371223</c:v>
                </c:pt>
                <c:pt idx="54">
                  <c:v>0.43744364570960304</c:v>
                </c:pt>
                <c:pt idx="55">
                  <c:v>0.40808011671137789</c:v>
                </c:pt>
                <c:pt idx="56">
                  <c:v>0.30618533976590134</c:v>
                </c:pt>
                <c:pt idx="57">
                  <c:v>0.36342345184415098</c:v>
                </c:pt>
                <c:pt idx="58">
                  <c:v>0.57467396896811318</c:v>
                </c:pt>
                <c:pt idx="59">
                  <c:v>0.4444996022240012</c:v>
                </c:pt>
                <c:pt idx="60">
                  <c:v>0.25716335208922947</c:v>
                </c:pt>
                <c:pt idx="61">
                  <c:v>0.59333416733762034</c:v>
                </c:pt>
                <c:pt idx="62">
                  <c:v>0.51908358942481803</c:v>
                </c:pt>
                <c:pt idx="63">
                  <c:v>0.54627473946279825</c:v>
                </c:pt>
                <c:pt idx="64">
                  <c:v>0.23407093818727473</c:v>
                </c:pt>
                <c:pt idx="65">
                  <c:v>0.57904947084151037</c:v>
                </c:pt>
                <c:pt idx="66">
                  <c:v>0.10098630897607815</c:v>
                </c:pt>
                <c:pt idx="67">
                  <c:v>0.32163434500921406</c:v>
                </c:pt>
                <c:pt idx="68">
                  <c:v>0.49085530664372351</c:v>
                </c:pt>
                <c:pt idx="69">
                  <c:v>0.33691308113265422</c:v>
                </c:pt>
                <c:pt idx="70">
                  <c:v>0.5587555898878247</c:v>
                </c:pt>
                <c:pt idx="71">
                  <c:v>0.47130669582495865</c:v>
                </c:pt>
                <c:pt idx="72">
                  <c:v>0.32542550582886087</c:v>
                </c:pt>
                <c:pt idx="73">
                  <c:v>0.31064961320180218</c:v>
                </c:pt>
                <c:pt idx="74">
                  <c:v>0.16069205552258611</c:v>
                </c:pt>
                <c:pt idx="75">
                  <c:v>0.15967174395779804</c:v>
                </c:pt>
                <c:pt idx="76">
                  <c:v>0.50873952102531428</c:v>
                </c:pt>
                <c:pt idx="77">
                  <c:v>0.53184046617522329</c:v>
                </c:pt>
                <c:pt idx="78">
                  <c:v>0.37152922318623421</c:v>
                </c:pt>
                <c:pt idx="79">
                  <c:v>0.15937779770948166</c:v>
                </c:pt>
                <c:pt idx="80">
                  <c:v>0.48750679896590282</c:v>
                </c:pt>
                <c:pt idx="81">
                  <c:v>0.33271653589610112</c:v>
                </c:pt>
                <c:pt idx="82">
                  <c:v>0.16314464417388058</c:v>
                </c:pt>
                <c:pt idx="83">
                  <c:v>0.43454042406788257</c:v>
                </c:pt>
                <c:pt idx="84">
                  <c:v>0.48053875367296434</c:v>
                </c:pt>
                <c:pt idx="85">
                  <c:v>0.30083665960197137</c:v>
                </c:pt>
                <c:pt idx="86">
                  <c:v>0.34727893809696753</c:v>
                </c:pt>
                <c:pt idx="87">
                  <c:v>0.28167447874746393</c:v>
                </c:pt>
                <c:pt idx="88">
                  <c:v>0.27986652853637584</c:v>
                </c:pt>
                <c:pt idx="89">
                  <c:v>0.31777049105033356</c:v>
                </c:pt>
                <c:pt idx="90">
                  <c:v>0.2739170812675103</c:v>
                </c:pt>
                <c:pt idx="91">
                  <c:v>0.464810252011779</c:v>
                </c:pt>
                <c:pt idx="92">
                  <c:v>0.24985289246736003</c:v>
                </c:pt>
                <c:pt idx="93">
                  <c:v>0.26874201231974115</c:v>
                </c:pt>
                <c:pt idx="94">
                  <c:v>0.40607044288239674</c:v>
                </c:pt>
                <c:pt idx="95">
                  <c:v>0.26703060113792304</c:v>
                </c:pt>
                <c:pt idx="96">
                  <c:v>0.33436308000923265</c:v>
                </c:pt>
                <c:pt idx="97">
                  <c:v>0.4078381880500439</c:v>
                </c:pt>
                <c:pt idx="98">
                  <c:v>0.36419124756728583</c:v>
                </c:pt>
                <c:pt idx="99">
                  <c:v>0.41960871680091116</c:v>
                </c:pt>
                <c:pt idx="100">
                  <c:v>0.28395509762550381</c:v>
                </c:pt>
                <c:pt idx="101">
                  <c:v>0.43791037267693561</c:v>
                </c:pt>
                <c:pt idx="102">
                  <c:v>0.36113892249946922</c:v>
                </c:pt>
                <c:pt idx="103">
                  <c:v>0.33472542515681636</c:v>
                </c:pt>
                <c:pt idx="104">
                  <c:v>0.37034924312114753</c:v>
                </c:pt>
                <c:pt idx="105">
                  <c:v>0.38055775527522062</c:v>
                </c:pt>
                <c:pt idx="106">
                  <c:v>0.38810969341580442</c:v>
                </c:pt>
                <c:pt idx="107">
                  <c:v>0.1122317299053054</c:v>
                </c:pt>
                <c:pt idx="108">
                  <c:v>0.27935732124815227</c:v>
                </c:pt>
                <c:pt idx="109">
                  <c:v>0.30351689642502078</c:v>
                </c:pt>
                <c:pt idx="110">
                  <c:v>0.31385286965313247</c:v>
                </c:pt>
                <c:pt idx="111">
                  <c:v>0.38678596144782468</c:v>
                </c:pt>
                <c:pt idx="112">
                  <c:v>0.20495041761118046</c:v>
                </c:pt>
                <c:pt idx="113">
                  <c:v>0.31017752780503188</c:v>
                </c:pt>
                <c:pt idx="114">
                  <c:v>0.36169477407193817</c:v>
                </c:pt>
                <c:pt idx="115">
                  <c:v>0.36730126097922489</c:v>
                </c:pt>
                <c:pt idx="116">
                  <c:v>0.33451313789165799</c:v>
                </c:pt>
                <c:pt idx="117">
                  <c:v>0.25508387693247059</c:v>
                </c:pt>
                <c:pt idx="118">
                  <c:v>0.22626377482693383</c:v>
                </c:pt>
                <c:pt idx="119">
                  <c:v>0.3289642402009888</c:v>
                </c:pt>
                <c:pt idx="120">
                  <c:v>0.30011579777232589</c:v>
                </c:pt>
                <c:pt idx="121">
                  <c:v>0.3353273651468916</c:v>
                </c:pt>
                <c:pt idx="122">
                  <c:v>0.28842836760745572</c:v>
                </c:pt>
                <c:pt idx="123">
                  <c:v>0.21849891036439667</c:v>
                </c:pt>
                <c:pt idx="124">
                  <c:v>0.29377879689915254</c:v>
                </c:pt>
                <c:pt idx="125">
                  <c:v>0.28859257773401098</c:v>
                </c:pt>
                <c:pt idx="126">
                  <c:v>0.28269563022390487</c:v>
                </c:pt>
                <c:pt idx="127">
                  <c:v>0.31222561107058255</c:v>
                </c:pt>
                <c:pt idx="128">
                  <c:v>0.22673088166543634</c:v>
                </c:pt>
                <c:pt idx="129">
                  <c:v>0.27672205592987381</c:v>
                </c:pt>
                <c:pt idx="130">
                  <c:v>0.24093443544806806</c:v>
                </c:pt>
                <c:pt idx="131">
                  <c:v>0.27359199064772532</c:v>
                </c:pt>
                <c:pt idx="132">
                  <c:v>0.23572193154823975</c:v>
                </c:pt>
                <c:pt idx="133">
                  <c:v>0.2570129852820644</c:v>
                </c:pt>
                <c:pt idx="134">
                  <c:v>0.26780951126696773</c:v>
                </c:pt>
                <c:pt idx="135">
                  <c:v>0.25304949015453404</c:v>
                </c:pt>
                <c:pt idx="136">
                  <c:v>0.25987770767066831</c:v>
                </c:pt>
                <c:pt idx="137">
                  <c:v>0.19268373995555907</c:v>
                </c:pt>
                <c:pt idx="138">
                  <c:v>0.23720125707839995</c:v>
                </c:pt>
                <c:pt idx="139">
                  <c:v>0.20425464728654499</c:v>
                </c:pt>
                <c:pt idx="140">
                  <c:v>0.20850207524075581</c:v>
                </c:pt>
                <c:pt idx="141">
                  <c:v>0.18123820982562439</c:v>
                </c:pt>
                <c:pt idx="142">
                  <c:v>0.17165311940838651</c:v>
                </c:pt>
                <c:pt idx="143">
                  <c:v>0.1803062309952603</c:v>
                </c:pt>
                <c:pt idx="144">
                  <c:v>0.16275399067130703</c:v>
                </c:pt>
                <c:pt idx="145">
                  <c:v>0.15943267246142401</c:v>
                </c:pt>
                <c:pt idx="146">
                  <c:v>9.1160069121965198E-2</c:v>
                </c:pt>
                <c:pt idx="147">
                  <c:v>6.3103555854748014E-2</c:v>
                </c:pt>
                <c:pt idx="148">
                  <c:v>3.3506628702658782E-2</c:v>
                </c:pt>
                <c:pt idx="149">
                  <c:v>1.077955825023285E-2</c:v>
                </c:pt>
              </c:numCache>
            </c:numRef>
          </c:yVal>
          <c:smooth val="0"/>
          <c:extLst>
            <c:ext xmlns:c16="http://schemas.microsoft.com/office/drawing/2014/chart" uri="{C3380CC4-5D6E-409C-BE32-E72D297353CC}">
              <c16:uniqueId val="{00000000-3FC4-4AC7-8BA1-8F9493816491}"/>
            </c:ext>
          </c:extLst>
        </c:ser>
        <c:dLbls>
          <c:showLegendKey val="0"/>
          <c:showVal val="0"/>
          <c:showCatName val="0"/>
          <c:showSerName val="0"/>
          <c:showPercent val="0"/>
          <c:showBubbleSize val="0"/>
        </c:dLbls>
        <c:axId val="1396719360"/>
        <c:axId val="1396716864"/>
      </c:scatterChart>
      <c:valAx>
        <c:axId val="1396719360"/>
        <c:scaling>
          <c:logBase val="10"/>
          <c:orientation val="minMax"/>
          <c:min val="1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716864"/>
        <c:crosses val="autoZero"/>
        <c:crossBetween val="midCat"/>
      </c:valAx>
      <c:valAx>
        <c:axId val="139671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7193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eta</a:t>
            </a:r>
            <a:r>
              <a:rPr lang="en-US" baseline="0"/>
              <a:t> -&gt; </a:t>
            </a:r>
            <a:r>
              <a:rPr lang="en-US"/>
              <a:t>X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X!$K$1</c:f>
              <c:strCache>
                <c:ptCount val="1"/>
                <c:pt idx="0">
                  <c:v>X total</c:v>
                </c:pt>
              </c:strCache>
            </c:strRef>
          </c:tx>
          <c:spPr>
            <a:ln w="19050" cap="rnd">
              <a:noFill/>
              <a:round/>
            </a:ln>
            <a:effectLst/>
          </c:spPr>
          <c:marker>
            <c:symbol val="circle"/>
            <c:size val="5"/>
            <c:spPr>
              <a:solidFill>
                <a:schemeClr val="accent1"/>
              </a:solidFill>
              <a:ln w="9525">
                <a:solidFill>
                  <a:schemeClr val="accent1"/>
                </a:solidFill>
              </a:ln>
              <a:effectLst/>
            </c:spPr>
          </c:marker>
          <c:xVal>
            <c:numRef>
              <c:f>X!$D$2:$D$151</c:f>
              <c:numCache>
                <c:formatCode>General</c:formatCode>
                <c:ptCount val="150"/>
                <c:pt idx="0">
                  <c:v>0.95</c:v>
                </c:pt>
                <c:pt idx="1">
                  <c:v>0.95</c:v>
                </c:pt>
                <c:pt idx="2">
                  <c:v>0.95</c:v>
                </c:pt>
                <c:pt idx="3">
                  <c:v>0.95</c:v>
                </c:pt>
                <c:pt idx="4">
                  <c:v>0.95</c:v>
                </c:pt>
                <c:pt idx="5">
                  <c:v>0.8</c:v>
                </c:pt>
                <c:pt idx="6">
                  <c:v>0.95</c:v>
                </c:pt>
                <c:pt idx="7">
                  <c:v>0.8</c:v>
                </c:pt>
                <c:pt idx="8">
                  <c:v>0.95</c:v>
                </c:pt>
                <c:pt idx="9">
                  <c:v>0.95</c:v>
                </c:pt>
                <c:pt idx="10">
                  <c:v>0.95</c:v>
                </c:pt>
                <c:pt idx="11">
                  <c:v>0.8</c:v>
                </c:pt>
                <c:pt idx="12">
                  <c:v>0.8</c:v>
                </c:pt>
                <c:pt idx="13">
                  <c:v>0.65</c:v>
                </c:pt>
                <c:pt idx="14">
                  <c:v>0.65</c:v>
                </c:pt>
                <c:pt idx="15">
                  <c:v>0.8</c:v>
                </c:pt>
                <c:pt idx="16">
                  <c:v>0.95</c:v>
                </c:pt>
                <c:pt idx="17">
                  <c:v>0.95</c:v>
                </c:pt>
                <c:pt idx="18">
                  <c:v>0.8</c:v>
                </c:pt>
                <c:pt idx="19">
                  <c:v>0.8</c:v>
                </c:pt>
                <c:pt idx="20">
                  <c:v>0.65</c:v>
                </c:pt>
                <c:pt idx="21">
                  <c:v>0.65</c:v>
                </c:pt>
                <c:pt idx="22">
                  <c:v>0.8</c:v>
                </c:pt>
                <c:pt idx="23">
                  <c:v>0.5</c:v>
                </c:pt>
                <c:pt idx="24">
                  <c:v>0.95</c:v>
                </c:pt>
                <c:pt idx="25">
                  <c:v>0.65</c:v>
                </c:pt>
                <c:pt idx="26">
                  <c:v>0.95</c:v>
                </c:pt>
                <c:pt idx="27">
                  <c:v>0.65</c:v>
                </c:pt>
                <c:pt idx="28">
                  <c:v>0.65</c:v>
                </c:pt>
                <c:pt idx="29">
                  <c:v>0.8</c:v>
                </c:pt>
                <c:pt idx="30">
                  <c:v>0.5</c:v>
                </c:pt>
                <c:pt idx="31">
                  <c:v>0.35</c:v>
                </c:pt>
                <c:pt idx="32">
                  <c:v>0.8</c:v>
                </c:pt>
                <c:pt idx="33">
                  <c:v>0.5</c:v>
                </c:pt>
                <c:pt idx="34">
                  <c:v>0.5</c:v>
                </c:pt>
                <c:pt idx="35">
                  <c:v>0.2</c:v>
                </c:pt>
                <c:pt idx="36">
                  <c:v>0.35</c:v>
                </c:pt>
                <c:pt idx="37">
                  <c:v>0.95</c:v>
                </c:pt>
                <c:pt idx="38">
                  <c:v>0.5</c:v>
                </c:pt>
                <c:pt idx="39">
                  <c:v>0.95</c:v>
                </c:pt>
                <c:pt idx="40">
                  <c:v>0.95</c:v>
                </c:pt>
                <c:pt idx="41">
                  <c:v>0.35</c:v>
                </c:pt>
                <c:pt idx="42">
                  <c:v>0.65</c:v>
                </c:pt>
                <c:pt idx="43">
                  <c:v>0.5</c:v>
                </c:pt>
                <c:pt idx="44">
                  <c:v>0.95</c:v>
                </c:pt>
                <c:pt idx="45">
                  <c:v>0.95</c:v>
                </c:pt>
                <c:pt idx="46">
                  <c:v>0.95</c:v>
                </c:pt>
                <c:pt idx="47">
                  <c:v>0.8</c:v>
                </c:pt>
                <c:pt idx="48">
                  <c:v>0.8</c:v>
                </c:pt>
                <c:pt idx="49">
                  <c:v>0.35</c:v>
                </c:pt>
                <c:pt idx="50">
                  <c:v>0.5</c:v>
                </c:pt>
                <c:pt idx="51">
                  <c:v>0.8</c:v>
                </c:pt>
                <c:pt idx="52">
                  <c:v>0.8</c:v>
                </c:pt>
                <c:pt idx="53">
                  <c:v>0.35</c:v>
                </c:pt>
                <c:pt idx="54">
                  <c:v>0.65</c:v>
                </c:pt>
                <c:pt idx="55">
                  <c:v>0.65</c:v>
                </c:pt>
                <c:pt idx="56">
                  <c:v>0.8</c:v>
                </c:pt>
                <c:pt idx="57">
                  <c:v>0.8</c:v>
                </c:pt>
                <c:pt idx="58">
                  <c:v>0.35</c:v>
                </c:pt>
                <c:pt idx="59">
                  <c:v>0.65</c:v>
                </c:pt>
                <c:pt idx="60">
                  <c:v>0.8</c:v>
                </c:pt>
                <c:pt idx="61">
                  <c:v>0.2</c:v>
                </c:pt>
                <c:pt idx="62">
                  <c:v>0.5</c:v>
                </c:pt>
                <c:pt idx="63">
                  <c:v>0.35</c:v>
                </c:pt>
                <c:pt idx="64">
                  <c:v>0.8</c:v>
                </c:pt>
                <c:pt idx="65">
                  <c:v>0.2</c:v>
                </c:pt>
                <c:pt idx="66">
                  <c:v>0.95</c:v>
                </c:pt>
                <c:pt idx="67">
                  <c:v>0.65</c:v>
                </c:pt>
                <c:pt idx="68">
                  <c:v>0.5</c:v>
                </c:pt>
                <c:pt idx="69">
                  <c:v>0.65</c:v>
                </c:pt>
                <c:pt idx="70">
                  <c:v>0.2</c:v>
                </c:pt>
                <c:pt idx="71">
                  <c:v>0.5</c:v>
                </c:pt>
                <c:pt idx="72">
                  <c:v>0.8</c:v>
                </c:pt>
                <c:pt idx="73">
                  <c:v>0.8</c:v>
                </c:pt>
                <c:pt idx="74">
                  <c:v>0.95</c:v>
                </c:pt>
                <c:pt idx="75">
                  <c:v>0.95</c:v>
                </c:pt>
                <c:pt idx="76">
                  <c:v>0.35</c:v>
                </c:pt>
                <c:pt idx="77">
                  <c:v>0.2</c:v>
                </c:pt>
                <c:pt idx="78">
                  <c:v>0.65</c:v>
                </c:pt>
                <c:pt idx="79">
                  <c:v>0.95</c:v>
                </c:pt>
                <c:pt idx="80">
                  <c:v>0.35</c:v>
                </c:pt>
                <c:pt idx="81">
                  <c:v>0.65</c:v>
                </c:pt>
                <c:pt idx="82">
                  <c:v>0.95</c:v>
                </c:pt>
                <c:pt idx="83">
                  <c:v>0.5</c:v>
                </c:pt>
                <c:pt idx="84">
                  <c:v>0.2</c:v>
                </c:pt>
                <c:pt idx="85">
                  <c:v>0.8</c:v>
                </c:pt>
                <c:pt idx="86">
                  <c:v>0.65</c:v>
                </c:pt>
                <c:pt idx="87">
                  <c:v>0.8</c:v>
                </c:pt>
                <c:pt idx="88">
                  <c:v>0.65</c:v>
                </c:pt>
                <c:pt idx="89">
                  <c:v>0.65</c:v>
                </c:pt>
                <c:pt idx="90">
                  <c:v>0.65</c:v>
                </c:pt>
                <c:pt idx="91">
                  <c:v>0.2</c:v>
                </c:pt>
                <c:pt idx="92">
                  <c:v>0.65</c:v>
                </c:pt>
                <c:pt idx="93">
                  <c:v>0.8</c:v>
                </c:pt>
                <c:pt idx="94">
                  <c:v>0.5</c:v>
                </c:pt>
                <c:pt idx="95">
                  <c:v>0.8</c:v>
                </c:pt>
                <c:pt idx="96">
                  <c:v>0.65</c:v>
                </c:pt>
                <c:pt idx="97">
                  <c:v>0.35</c:v>
                </c:pt>
                <c:pt idx="98">
                  <c:v>0.5</c:v>
                </c:pt>
                <c:pt idx="99">
                  <c:v>0.35</c:v>
                </c:pt>
                <c:pt idx="100">
                  <c:v>0.65</c:v>
                </c:pt>
                <c:pt idx="101">
                  <c:v>0.2</c:v>
                </c:pt>
                <c:pt idx="102">
                  <c:v>0.5</c:v>
                </c:pt>
                <c:pt idx="103">
                  <c:v>0.5</c:v>
                </c:pt>
                <c:pt idx="104">
                  <c:v>0.5</c:v>
                </c:pt>
                <c:pt idx="105">
                  <c:v>0.35</c:v>
                </c:pt>
                <c:pt idx="106">
                  <c:v>0.35</c:v>
                </c:pt>
                <c:pt idx="107">
                  <c:v>0.95</c:v>
                </c:pt>
                <c:pt idx="108">
                  <c:v>0.5</c:v>
                </c:pt>
                <c:pt idx="109">
                  <c:v>0.5</c:v>
                </c:pt>
                <c:pt idx="110">
                  <c:v>0.5</c:v>
                </c:pt>
                <c:pt idx="111">
                  <c:v>0.2</c:v>
                </c:pt>
                <c:pt idx="112">
                  <c:v>0.8</c:v>
                </c:pt>
                <c:pt idx="113">
                  <c:v>0.5</c:v>
                </c:pt>
                <c:pt idx="114">
                  <c:v>0.35</c:v>
                </c:pt>
                <c:pt idx="115">
                  <c:v>0.2</c:v>
                </c:pt>
                <c:pt idx="116">
                  <c:v>0.35</c:v>
                </c:pt>
                <c:pt idx="117">
                  <c:v>0.65</c:v>
                </c:pt>
                <c:pt idx="118">
                  <c:v>0.65</c:v>
                </c:pt>
                <c:pt idx="119">
                  <c:v>0.35</c:v>
                </c:pt>
                <c:pt idx="120">
                  <c:v>0.5</c:v>
                </c:pt>
                <c:pt idx="121">
                  <c:v>0.2</c:v>
                </c:pt>
                <c:pt idx="122">
                  <c:v>0.35</c:v>
                </c:pt>
                <c:pt idx="123">
                  <c:v>0.65</c:v>
                </c:pt>
                <c:pt idx="124">
                  <c:v>0.35</c:v>
                </c:pt>
                <c:pt idx="125">
                  <c:v>0.35</c:v>
                </c:pt>
                <c:pt idx="126">
                  <c:v>0.35</c:v>
                </c:pt>
                <c:pt idx="127">
                  <c:v>0.2</c:v>
                </c:pt>
                <c:pt idx="128">
                  <c:v>0.5</c:v>
                </c:pt>
                <c:pt idx="129">
                  <c:v>0.35</c:v>
                </c:pt>
                <c:pt idx="130">
                  <c:v>0.5</c:v>
                </c:pt>
                <c:pt idx="131">
                  <c:v>0.2</c:v>
                </c:pt>
                <c:pt idx="132">
                  <c:v>0.5</c:v>
                </c:pt>
                <c:pt idx="133">
                  <c:v>0.35</c:v>
                </c:pt>
                <c:pt idx="134">
                  <c:v>0.2</c:v>
                </c:pt>
                <c:pt idx="135">
                  <c:v>0.2</c:v>
                </c:pt>
                <c:pt idx="136">
                  <c:v>0.2</c:v>
                </c:pt>
                <c:pt idx="137">
                  <c:v>0.5</c:v>
                </c:pt>
                <c:pt idx="138">
                  <c:v>0.2</c:v>
                </c:pt>
                <c:pt idx="139">
                  <c:v>0.2</c:v>
                </c:pt>
                <c:pt idx="140">
                  <c:v>0.2</c:v>
                </c:pt>
                <c:pt idx="141">
                  <c:v>0.35</c:v>
                </c:pt>
                <c:pt idx="142">
                  <c:v>0.35</c:v>
                </c:pt>
                <c:pt idx="143">
                  <c:v>0.35</c:v>
                </c:pt>
                <c:pt idx="144">
                  <c:v>0.2</c:v>
                </c:pt>
                <c:pt idx="145">
                  <c:v>0.2</c:v>
                </c:pt>
                <c:pt idx="146">
                  <c:v>0.2</c:v>
                </c:pt>
                <c:pt idx="147">
                  <c:v>0.2</c:v>
                </c:pt>
                <c:pt idx="148">
                  <c:v>0.2</c:v>
                </c:pt>
                <c:pt idx="149">
                  <c:v>0.2</c:v>
                </c:pt>
              </c:numCache>
            </c:numRef>
          </c:xVal>
          <c:yVal>
            <c:numRef>
              <c:f>X!$K$2:$K$151</c:f>
              <c:numCache>
                <c:formatCode>General</c:formatCode>
                <c:ptCount val="150"/>
                <c:pt idx="0">
                  <c:v>3.8541995614415998</c:v>
                </c:pt>
                <c:pt idx="1">
                  <c:v>2.9704718889994735</c:v>
                </c:pt>
                <c:pt idx="2">
                  <c:v>3.2506139333109849</c:v>
                </c:pt>
                <c:pt idx="3">
                  <c:v>3.3791650925688606</c:v>
                </c:pt>
                <c:pt idx="4">
                  <c:v>2.6584238914624603</c:v>
                </c:pt>
                <c:pt idx="5">
                  <c:v>3.6403501870932584</c:v>
                </c:pt>
                <c:pt idx="6">
                  <c:v>2.2536953618804176</c:v>
                </c:pt>
                <c:pt idx="7">
                  <c:v>4.4666609284673724</c:v>
                </c:pt>
                <c:pt idx="8">
                  <c:v>3.8176520909673504</c:v>
                </c:pt>
                <c:pt idx="9">
                  <c:v>3.9432912973794916</c:v>
                </c:pt>
                <c:pt idx="10">
                  <c:v>4.1138740656453914</c:v>
                </c:pt>
                <c:pt idx="11">
                  <c:v>4.5454012319530834</c:v>
                </c:pt>
                <c:pt idx="12">
                  <c:v>4.0187385676737559</c:v>
                </c:pt>
                <c:pt idx="13">
                  <c:v>4.4550860222189312</c:v>
                </c:pt>
                <c:pt idx="14">
                  <c:v>4.8672886753386058</c:v>
                </c:pt>
                <c:pt idx="15">
                  <c:v>3.6043463069116561</c:v>
                </c:pt>
                <c:pt idx="16">
                  <c:v>2.7257657280138643</c:v>
                </c:pt>
                <c:pt idx="17">
                  <c:v>4.0573729406426988</c:v>
                </c:pt>
                <c:pt idx="18">
                  <c:v>3.9463607027608463</c:v>
                </c:pt>
                <c:pt idx="19">
                  <c:v>2.894225546675036</c:v>
                </c:pt>
                <c:pt idx="20">
                  <c:v>3.4566760712613998</c:v>
                </c:pt>
                <c:pt idx="21">
                  <c:v>5.0158958371228524</c:v>
                </c:pt>
                <c:pt idx="22">
                  <c:v>3.5546931480898194</c:v>
                </c:pt>
                <c:pt idx="23">
                  <c:v>5.5394757067819977</c:v>
                </c:pt>
                <c:pt idx="24">
                  <c:v>2.3259181809421468</c:v>
                </c:pt>
                <c:pt idx="25">
                  <c:v>4.3569490470821055</c:v>
                </c:pt>
                <c:pt idx="26">
                  <c:v>2.6011021907616132</c:v>
                </c:pt>
                <c:pt idx="27">
                  <c:v>3.7139689140007182</c:v>
                </c:pt>
                <c:pt idx="28">
                  <c:v>4.4429598642800112</c:v>
                </c:pt>
                <c:pt idx="29">
                  <c:v>3.3076889977578494</c:v>
                </c:pt>
                <c:pt idx="30">
                  <c:v>4.0508120374768222</c:v>
                </c:pt>
                <c:pt idx="31">
                  <c:v>5.8241288262042978</c:v>
                </c:pt>
                <c:pt idx="32">
                  <c:v>3.8594248724286135</c:v>
                </c:pt>
                <c:pt idx="33">
                  <c:v>5.5753187126530834</c:v>
                </c:pt>
                <c:pt idx="34">
                  <c:v>5.3392705217493335</c:v>
                </c:pt>
                <c:pt idx="35">
                  <c:v>5.9900152265343376</c:v>
                </c:pt>
                <c:pt idx="36">
                  <c:v>4.9103570903192351</c:v>
                </c:pt>
                <c:pt idx="37">
                  <c:v>2.7952912460066104</c:v>
                </c:pt>
                <c:pt idx="38">
                  <c:v>4.8212792352042646</c:v>
                </c:pt>
                <c:pt idx="39">
                  <c:v>3.3447049363352721</c:v>
                </c:pt>
                <c:pt idx="40">
                  <c:v>4.168214011709253</c:v>
                </c:pt>
                <c:pt idx="41">
                  <c:v>5.9024526812569542</c:v>
                </c:pt>
                <c:pt idx="42">
                  <c:v>4.1187523248330296</c:v>
                </c:pt>
                <c:pt idx="43">
                  <c:v>4.9520498854225528</c:v>
                </c:pt>
                <c:pt idx="44">
                  <c:v>2.3908802292201616</c:v>
                </c:pt>
                <c:pt idx="45">
                  <c:v>2.0946000316330062</c:v>
                </c:pt>
                <c:pt idx="46">
                  <c:v>3.0921532603441277</c:v>
                </c:pt>
                <c:pt idx="47">
                  <c:v>4.263102362083881</c:v>
                </c:pt>
                <c:pt idx="48">
                  <c:v>3.0345556116703514</c:v>
                </c:pt>
                <c:pt idx="49">
                  <c:v>5.3943229579302123</c:v>
                </c:pt>
                <c:pt idx="50">
                  <c:v>4.545650364492472</c:v>
                </c:pt>
                <c:pt idx="51">
                  <c:v>3.6123842958364745</c:v>
                </c:pt>
                <c:pt idx="52">
                  <c:v>2.8702762789282543</c:v>
                </c:pt>
                <c:pt idx="53">
                  <c:v>5.2704826481136822</c:v>
                </c:pt>
                <c:pt idx="54">
                  <c:v>4.4683263207344623</c:v>
                </c:pt>
                <c:pt idx="55">
                  <c:v>2.873507228571087</c:v>
                </c:pt>
                <c:pt idx="56">
                  <c:v>3.1386939467141026</c:v>
                </c:pt>
                <c:pt idx="57">
                  <c:v>3.1504291127543178</c:v>
                </c:pt>
                <c:pt idx="58">
                  <c:v>5.7444446916190257</c:v>
                </c:pt>
                <c:pt idx="59">
                  <c:v>3.6149631059123952</c:v>
                </c:pt>
                <c:pt idx="60">
                  <c:v>4.5377005466246398</c:v>
                </c:pt>
                <c:pt idx="61">
                  <c:v>5.4350386864311533</c:v>
                </c:pt>
                <c:pt idx="62">
                  <c:v>5.0156439822759262</c:v>
                </c:pt>
                <c:pt idx="63">
                  <c:v>5.0865896869531655</c:v>
                </c:pt>
                <c:pt idx="64">
                  <c:v>4.6033839101098089</c:v>
                </c:pt>
                <c:pt idx="65">
                  <c:v>6.0950798752842346</c:v>
                </c:pt>
                <c:pt idx="66">
                  <c:v>4.1784866721145333</c:v>
                </c:pt>
                <c:pt idx="67">
                  <c:v>3.5753670828197959</c:v>
                </c:pt>
                <c:pt idx="68">
                  <c:v>4.922058478962601</c:v>
                </c:pt>
                <c:pt idx="69">
                  <c:v>4.6168162556488932</c:v>
                </c:pt>
                <c:pt idx="70">
                  <c:v>5.9397315138499298</c:v>
                </c:pt>
                <c:pt idx="71">
                  <c:v>4.2331583122084542</c:v>
                </c:pt>
                <c:pt idx="72">
                  <c:v>3.2706107729384666</c:v>
                </c:pt>
                <c:pt idx="73">
                  <c:v>2.813304304850333</c:v>
                </c:pt>
                <c:pt idx="74">
                  <c:v>2.1613886491195715</c:v>
                </c:pt>
                <c:pt idx="75">
                  <c:v>2.6646060977322454</c:v>
                </c:pt>
                <c:pt idx="76">
                  <c:v>5.2892332666715127</c:v>
                </c:pt>
                <c:pt idx="77">
                  <c:v>6.1172312623532967</c:v>
                </c:pt>
                <c:pt idx="78">
                  <c:v>3.8848557074272501</c:v>
                </c:pt>
                <c:pt idx="79">
                  <c:v>2.4480313763543116</c:v>
                </c:pt>
                <c:pt idx="80">
                  <c:v>5.4742693727764316</c:v>
                </c:pt>
                <c:pt idx="81">
                  <c:v>2.7728270548852754</c:v>
                </c:pt>
                <c:pt idx="82">
                  <c:v>2.89417202020765</c:v>
                </c:pt>
                <c:pt idx="83">
                  <c:v>4.675006868362459</c:v>
                </c:pt>
                <c:pt idx="84">
                  <c:v>6.0155416321801098</c:v>
                </c:pt>
                <c:pt idx="85">
                  <c:v>3.7597374664458001</c:v>
                </c:pt>
                <c:pt idx="86">
                  <c:v>4.0861523542982372</c:v>
                </c:pt>
                <c:pt idx="87">
                  <c:v>2.8145595109318777</c:v>
                </c:pt>
                <c:pt idx="88">
                  <c:v>5.1097061809284492</c:v>
                </c:pt>
                <c:pt idx="89">
                  <c:v>3.5654228322564419</c:v>
                </c:pt>
                <c:pt idx="90">
                  <c:v>4.1191229757779331</c:v>
                </c:pt>
                <c:pt idx="91">
                  <c:v>5.6290819888458969</c:v>
                </c:pt>
                <c:pt idx="92">
                  <c:v>4.1556375857223449</c:v>
                </c:pt>
                <c:pt idx="93">
                  <c:v>3.8296820034297259</c:v>
                </c:pt>
                <c:pt idx="94">
                  <c:v>5.0167896062981363</c:v>
                </c:pt>
                <c:pt idx="95">
                  <c:v>3.270111965725083</c:v>
                </c:pt>
                <c:pt idx="96">
                  <c:v>4.4601570317329022</c:v>
                </c:pt>
                <c:pt idx="97">
                  <c:v>4.8966386935902895</c:v>
                </c:pt>
                <c:pt idx="98">
                  <c:v>5.3773750107962481</c:v>
                </c:pt>
                <c:pt idx="99">
                  <c:v>5.4047961357589518</c:v>
                </c:pt>
                <c:pt idx="100">
                  <c:v>3.5645162306127602</c:v>
                </c:pt>
                <c:pt idx="101">
                  <c:v>5.8068054764542554</c:v>
                </c:pt>
                <c:pt idx="102">
                  <c:v>4.6092037957009255</c:v>
                </c:pt>
                <c:pt idx="103">
                  <c:v>4.5474928278378446</c:v>
                </c:pt>
                <c:pt idx="104">
                  <c:v>4.9775117548495436</c:v>
                </c:pt>
                <c:pt idx="105">
                  <c:v>5.8418529420716938</c:v>
                </c:pt>
                <c:pt idx="106">
                  <c:v>5.5987828297449536</c:v>
                </c:pt>
                <c:pt idx="107">
                  <c:v>3.0488105814260318</c:v>
                </c:pt>
                <c:pt idx="108">
                  <c:v>4.8450598800599076</c:v>
                </c:pt>
                <c:pt idx="109">
                  <c:v>5.2308703734442279</c:v>
                </c:pt>
                <c:pt idx="110">
                  <c:v>5.754904019037725</c:v>
                </c:pt>
                <c:pt idx="111">
                  <c:v>5.902524964063339</c:v>
                </c:pt>
                <c:pt idx="112">
                  <c:v>3.7686811643469067</c:v>
                </c:pt>
                <c:pt idx="113">
                  <c:v>4.1655889760323674</c:v>
                </c:pt>
                <c:pt idx="114">
                  <c:v>5.7208768430705836</c:v>
                </c:pt>
                <c:pt idx="115">
                  <c:v>6.08745584215783</c:v>
                </c:pt>
                <c:pt idx="116">
                  <c:v>4.2953747900994452</c:v>
                </c:pt>
                <c:pt idx="117">
                  <c:v>4.7898684313039483</c:v>
                </c:pt>
                <c:pt idx="118">
                  <c:v>4.140628897241541</c:v>
                </c:pt>
                <c:pt idx="119">
                  <c:v>6.1077119534603339</c:v>
                </c:pt>
                <c:pt idx="120">
                  <c:v>5.6536961418733753</c:v>
                </c:pt>
                <c:pt idx="121">
                  <c:v>6.0730786929090677</c:v>
                </c:pt>
                <c:pt idx="122">
                  <c:v>5.0341956633286919</c:v>
                </c:pt>
                <c:pt idx="123">
                  <c:v>4.6186786136242697</c:v>
                </c:pt>
                <c:pt idx="124">
                  <c:v>5.3072505246010007</c:v>
                </c:pt>
                <c:pt idx="125">
                  <c:v>5.5081394630491234</c:v>
                </c:pt>
                <c:pt idx="126">
                  <c:v>5.838803792875142</c:v>
                </c:pt>
                <c:pt idx="127">
                  <c:v>6.2605144582195171</c:v>
                </c:pt>
                <c:pt idx="128">
                  <c:v>4.8480471277185861</c:v>
                </c:pt>
                <c:pt idx="129">
                  <c:v>6.4333012382512331</c:v>
                </c:pt>
                <c:pt idx="130">
                  <c:v>5.6334663334552495</c:v>
                </c:pt>
                <c:pt idx="131">
                  <c:v>6.2709134973285403</c:v>
                </c:pt>
                <c:pt idx="132">
                  <c:v>6.0352194015699432</c:v>
                </c:pt>
                <c:pt idx="133">
                  <c:v>6.6700219407933625</c:v>
                </c:pt>
                <c:pt idx="134">
                  <c:v>6.352568886914062</c:v>
                </c:pt>
                <c:pt idx="135">
                  <c:v>5.9719760650646148</c:v>
                </c:pt>
                <c:pt idx="136">
                  <c:v>5.7005365530493295</c:v>
                </c:pt>
                <c:pt idx="137">
                  <c:v>5.4346795484217481</c:v>
                </c:pt>
                <c:pt idx="138">
                  <c:v>6.3912288420856767</c:v>
                </c:pt>
                <c:pt idx="139">
                  <c:v>6.5086442540028413</c:v>
                </c:pt>
                <c:pt idx="140">
                  <c:v>7.0042131194003048</c:v>
                </c:pt>
                <c:pt idx="141">
                  <c:v>6.226769993752443</c:v>
                </c:pt>
                <c:pt idx="142">
                  <c:v>5.8049334238659576</c:v>
                </c:pt>
                <c:pt idx="143">
                  <c:v>6.5635311944378216</c:v>
                </c:pt>
                <c:pt idx="144">
                  <c:v>6.509359678379286</c:v>
                </c:pt>
                <c:pt idx="145">
                  <c:v>7.3199005410988525</c:v>
                </c:pt>
                <c:pt idx="146">
                  <c:v>7.2981300051338112</c:v>
                </c:pt>
                <c:pt idx="147">
                  <c:v>6.4367166775064897</c:v>
                </c:pt>
                <c:pt idx="148">
                  <c:v>7.230065834591084</c:v>
                </c:pt>
                <c:pt idx="149">
                  <c:v>6.7695685414344364</c:v>
                </c:pt>
              </c:numCache>
            </c:numRef>
          </c:yVal>
          <c:smooth val="0"/>
          <c:extLst>
            <c:ext xmlns:c16="http://schemas.microsoft.com/office/drawing/2014/chart" uri="{C3380CC4-5D6E-409C-BE32-E72D297353CC}">
              <c16:uniqueId val="{00000000-2E6C-4B86-B200-7FB19551CAEF}"/>
            </c:ext>
          </c:extLst>
        </c:ser>
        <c:dLbls>
          <c:showLegendKey val="0"/>
          <c:showVal val="0"/>
          <c:showCatName val="0"/>
          <c:showSerName val="0"/>
          <c:showPercent val="0"/>
          <c:showBubbleSize val="0"/>
        </c:dLbls>
        <c:axId val="1251576848"/>
        <c:axId val="1251573936"/>
      </c:scatterChart>
      <c:valAx>
        <c:axId val="1251576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573936"/>
        <c:crosses val="autoZero"/>
        <c:crossBetween val="midCat"/>
      </c:valAx>
      <c:valAx>
        <c:axId val="125157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5768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N0 -&gt; X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X!$K$1</c:f>
              <c:strCache>
                <c:ptCount val="1"/>
                <c:pt idx="0">
                  <c:v>X total</c:v>
                </c:pt>
              </c:strCache>
            </c:strRef>
          </c:tx>
          <c:spPr>
            <a:ln w="19050" cap="rnd">
              <a:noFill/>
              <a:round/>
            </a:ln>
            <a:effectLst/>
          </c:spPr>
          <c:marker>
            <c:symbol val="circle"/>
            <c:size val="5"/>
            <c:spPr>
              <a:solidFill>
                <a:schemeClr val="accent1"/>
              </a:solidFill>
              <a:ln w="9525">
                <a:solidFill>
                  <a:schemeClr val="accent1"/>
                </a:solidFill>
              </a:ln>
              <a:effectLst/>
            </c:spPr>
          </c:marker>
          <c:xVal>
            <c:numRef>
              <c:f>X!$C$2:$C$151</c:f>
              <c:numCache>
                <c:formatCode>General</c:formatCode>
                <c:ptCount val="150"/>
                <c:pt idx="0">
                  <c:v>125</c:v>
                </c:pt>
                <c:pt idx="1">
                  <c:v>125</c:v>
                </c:pt>
                <c:pt idx="2">
                  <c:v>216</c:v>
                </c:pt>
                <c:pt idx="3">
                  <c:v>216</c:v>
                </c:pt>
                <c:pt idx="4">
                  <c:v>64</c:v>
                </c:pt>
                <c:pt idx="5">
                  <c:v>125</c:v>
                </c:pt>
                <c:pt idx="6">
                  <c:v>343</c:v>
                </c:pt>
                <c:pt idx="7">
                  <c:v>125</c:v>
                </c:pt>
                <c:pt idx="8">
                  <c:v>125</c:v>
                </c:pt>
                <c:pt idx="9">
                  <c:v>125</c:v>
                </c:pt>
                <c:pt idx="10">
                  <c:v>64</c:v>
                </c:pt>
                <c:pt idx="11">
                  <c:v>125</c:v>
                </c:pt>
                <c:pt idx="12">
                  <c:v>125</c:v>
                </c:pt>
                <c:pt idx="13">
                  <c:v>125</c:v>
                </c:pt>
                <c:pt idx="14">
                  <c:v>125</c:v>
                </c:pt>
                <c:pt idx="15">
                  <c:v>125</c:v>
                </c:pt>
                <c:pt idx="16">
                  <c:v>216</c:v>
                </c:pt>
                <c:pt idx="17">
                  <c:v>125</c:v>
                </c:pt>
                <c:pt idx="18">
                  <c:v>216</c:v>
                </c:pt>
                <c:pt idx="19">
                  <c:v>216</c:v>
                </c:pt>
                <c:pt idx="20">
                  <c:v>125</c:v>
                </c:pt>
                <c:pt idx="21">
                  <c:v>125</c:v>
                </c:pt>
                <c:pt idx="22">
                  <c:v>216</c:v>
                </c:pt>
                <c:pt idx="23">
                  <c:v>125</c:v>
                </c:pt>
                <c:pt idx="24">
                  <c:v>512</c:v>
                </c:pt>
                <c:pt idx="25">
                  <c:v>216</c:v>
                </c:pt>
                <c:pt idx="26">
                  <c:v>512</c:v>
                </c:pt>
                <c:pt idx="27">
                  <c:v>216</c:v>
                </c:pt>
                <c:pt idx="28">
                  <c:v>125</c:v>
                </c:pt>
                <c:pt idx="29">
                  <c:v>216</c:v>
                </c:pt>
                <c:pt idx="30">
                  <c:v>125</c:v>
                </c:pt>
                <c:pt idx="31">
                  <c:v>125</c:v>
                </c:pt>
                <c:pt idx="32">
                  <c:v>216</c:v>
                </c:pt>
                <c:pt idx="33">
                  <c:v>125</c:v>
                </c:pt>
                <c:pt idx="34">
                  <c:v>125</c:v>
                </c:pt>
                <c:pt idx="35">
                  <c:v>125</c:v>
                </c:pt>
                <c:pt idx="36">
                  <c:v>125</c:v>
                </c:pt>
                <c:pt idx="37">
                  <c:v>216</c:v>
                </c:pt>
                <c:pt idx="38">
                  <c:v>125</c:v>
                </c:pt>
                <c:pt idx="39">
                  <c:v>216</c:v>
                </c:pt>
                <c:pt idx="40">
                  <c:v>64</c:v>
                </c:pt>
                <c:pt idx="41">
                  <c:v>125</c:v>
                </c:pt>
                <c:pt idx="42">
                  <c:v>216</c:v>
                </c:pt>
                <c:pt idx="43">
                  <c:v>216</c:v>
                </c:pt>
                <c:pt idx="44">
                  <c:v>343</c:v>
                </c:pt>
                <c:pt idx="45">
                  <c:v>343</c:v>
                </c:pt>
                <c:pt idx="46">
                  <c:v>64</c:v>
                </c:pt>
                <c:pt idx="47">
                  <c:v>64</c:v>
                </c:pt>
                <c:pt idx="48">
                  <c:v>343</c:v>
                </c:pt>
                <c:pt idx="49">
                  <c:v>125</c:v>
                </c:pt>
                <c:pt idx="50">
                  <c:v>216</c:v>
                </c:pt>
                <c:pt idx="51">
                  <c:v>64</c:v>
                </c:pt>
                <c:pt idx="52">
                  <c:v>343</c:v>
                </c:pt>
                <c:pt idx="53">
                  <c:v>216</c:v>
                </c:pt>
                <c:pt idx="54">
                  <c:v>216</c:v>
                </c:pt>
                <c:pt idx="55">
                  <c:v>216</c:v>
                </c:pt>
                <c:pt idx="56">
                  <c:v>64</c:v>
                </c:pt>
                <c:pt idx="57">
                  <c:v>343</c:v>
                </c:pt>
                <c:pt idx="58">
                  <c:v>125</c:v>
                </c:pt>
                <c:pt idx="59">
                  <c:v>343</c:v>
                </c:pt>
                <c:pt idx="60">
                  <c:v>64</c:v>
                </c:pt>
                <c:pt idx="61">
                  <c:v>216</c:v>
                </c:pt>
                <c:pt idx="62">
                  <c:v>216</c:v>
                </c:pt>
                <c:pt idx="63">
                  <c:v>216</c:v>
                </c:pt>
                <c:pt idx="64">
                  <c:v>64</c:v>
                </c:pt>
                <c:pt idx="65">
                  <c:v>125</c:v>
                </c:pt>
                <c:pt idx="66">
                  <c:v>64</c:v>
                </c:pt>
                <c:pt idx="67">
                  <c:v>64</c:v>
                </c:pt>
                <c:pt idx="68">
                  <c:v>216</c:v>
                </c:pt>
                <c:pt idx="69">
                  <c:v>64</c:v>
                </c:pt>
                <c:pt idx="70">
                  <c:v>125</c:v>
                </c:pt>
                <c:pt idx="71">
                  <c:v>216</c:v>
                </c:pt>
                <c:pt idx="72">
                  <c:v>343</c:v>
                </c:pt>
                <c:pt idx="73">
                  <c:v>343</c:v>
                </c:pt>
                <c:pt idx="74">
                  <c:v>343</c:v>
                </c:pt>
                <c:pt idx="75">
                  <c:v>343</c:v>
                </c:pt>
                <c:pt idx="76">
                  <c:v>216</c:v>
                </c:pt>
                <c:pt idx="77">
                  <c:v>125</c:v>
                </c:pt>
                <c:pt idx="78">
                  <c:v>343</c:v>
                </c:pt>
                <c:pt idx="79">
                  <c:v>512</c:v>
                </c:pt>
                <c:pt idx="80">
                  <c:v>216</c:v>
                </c:pt>
                <c:pt idx="81">
                  <c:v>343</c:v>
                </c:pt>
                <c:pt idx="82">
                  <c:v>512</c:v>
                </c:pt>
                <c:pt idx="83">
                  <c:v>343</c:v>
                </c:pt>
                <c:pt idx="84">
                  <c:v>125</c:v>
                </c:pt>
                <c:pt idx="85">
                  <c:v>512</c:v>
                </c:pt>
                <c:pt idx="86">
                  <c:v>343</c:v>
                </c:pt>
                <c:pt idx="87">
                  <c:v>512</c:v>
                </c:pt>
                <c:pt idx="88">
                  <c:v>64</c:v>
                </c:pt>
                <c:pt idx="89">
                  <c:v>343</c:v>
                </c:pt>
                <c:pt idx="90">
                  <c:v>64</c:v>
                </c:pt>
                <c:pt idx="91">
                  <c:v>216</c:v>
                </c:pt>
                <c:pt idx="92">
                  <c:v>64</c:v>
                </c:pt>
                <c:pt idx="93">
                  <c:v>512</c:v>
                </c:pt>
                <c:pt idx="94">
                  <c:v>343</c:v>
                </c:pt>
                <c:pt idx="95">
                  <c:v>512</c:v>
                </c:pt>
                <c:pt idx="96">
                  <c:v>512</c:v>
                </c:pt>
                <c:pt idx="97">
                  <c:v>216</c:v>
                </c:pt>
                <c:pt idx="98">
                  <c:v>64</c:v>
                </c:pt>
                <c:pt idx="99">
                  <c:v>343</c:v>
                </c:pt>
                <c:pt idx="100">
                  <c:v>512</c:v>
                </c:pt>
                <c:pt idx="101">
                  <c:v>216</c:v>
                </c:pt>
                <c:pt idx="102">
                  <c:v>343</c:v>
                </c:pt>
                <c:pt idx="103">
                  <c:v>64</c:v>
                </c:pt>
                <c:pt idx="104">
                  <c:v>343</c:v>
                </c:pt>
                <c:pt idx="105">
                  <c:v>64</c:v>
                </c:pt>
                <c:pt idx="106">
                  <c:v>343</c:v>
                </c:pt>
                <c:pt idx="107">
                  <c:v>512</c:v>
                </c:pt>
                <c:pt idx="108">
                  <c:v>64</c:v>
                </c:pt>
                <c:pt idx="109">
                  <c:v>64</c:v>
                </c:pt>
                <c:pt idx="110">
                  <c:v>64</c:v>
                </c:pt>
                <c:pt idx="111">
                  <c:v>216</c:v>
                </c:pt>
                <c:pt idx="112">
                  <c:v>512</c:v>
                </c:pt>
                <c:pt idx="113">
                  <c:v>343</c:v>
                </c:pt>
                <c:pt idx="114">
                  <c:v>343</c:v>
                </c:pt>
                <c:pt idx="115">
                  <c:v>64</c:v>
                </c:pt>
                <c:pt idx="116">
                  <c:v>64</c:v>
                </c:pt>
                <c:pt idx="117">
                  <c:v>512</c:v>
                </c:pt>
                <c:pt idx="118">
                  <c:v>512</c:v>
                </c:pt>
                <c:pt idx="119">
                  <c:v>64</c:v>
                </c:pt>
                <c:pt idx="120">
                  <c:v>512</c:v>
                </c:pt>
                <c:pt idx="121">
                  <c:v>343</c:v>
                </c:pt>
                <c:pt idx="122">
                  <c:v>343</c:v>
                </c:pt>
                <c:pt idx="123">
                  <c:v>512</c:v>
                </c:pt>
                <c:pt idx="124">
                  <c:v>64</c:v>
                </c:pt>
                <c:pt idx="125">
                  <c:v>343</c:v>
                </c:pt>
                <c:pt idx="126">
                  <c:v>64</c:v>
                </c:pt>
                <c:pt idx="127">
                  <c:v>343</c:v>
                </c:pt>
                <c:pt idx="128">
                  <c:v>512</c:v>
                </c:pt>
                <c:pt idx="129">
                  <c:v>512</c:v>
                </c:pt>
                <c:pt idx="130">
                  <c:v>512</c:v>
                </c:pt>
                <c:pt idx="131">
                  <c:v>64</c:v>
                </c:pt>
                <c:pt idx="132">
                  <c:v>512</c:v>
                </c:pt>
                <c:pt idx="133">
                  <c:v>512</c:v>
                </c:pt>
                <c:pt idx="134">
                  <c:v>343</c:v>
                </c:pt>
                <c:pt idx="135">
                  <c:v>216</c:v>
                </c:pt>
                <c:pt idx="136">
                  <c:v>64</c:v>
                </c:pt>
                <c:pt idx="137">
                  <c:v>512</c:v>
                </c:pt>
                <c:pt idx="138">
                  <c:v>64</c:v>
                </c:pt>
                <c:pt idx="139">
                  <c:v>64</c:v>
                </c:pt>
                <c:pt idx="140">
                  <c:v>512</c:v>
                </c:pt>
                <c:pt idx="141">
                  <c:v>512</c:v>
                </c:pt>
                <c:pt idx="142">
                  <c:v>512</c:v>
                </c:pt>
                <c:pt idx="143">
                  <c:v>512</c:v>
                </c:pt>
                <c:pt idx="144">
                  <c:v>343</c:v>
                </c:pt>
                <c:pt idx="145">
                  <c:v>512</c:v>
                </c:pt>
                <c:pt idx="146">
                  <c:v>512</c:v>
                </c:pt>
                <c:pt idx="147">
                  <c:v>343</c:v>
                </c:pt>
                <c:pt idx="148">
                  <c:v>512</c:v>
                </c:pt>
                <c:pt idx="149">
                  <c:v>512</c:v>
                </c:pt>
              </c:numCache>
            </c:numRef>
          </c:xVal>
          <c:yVal>
            <c:numRef>
              <c:f>X!$K$2:$K$151</c:f>
              <c:numCache>
                <c:formatCode>General</c:formatCode>
                <c:ptCount val="150"/>
                <c:pt idx="0">
                  <c:v>3.8541995614415998</c:v>
                </c:pt>
                <c:pt idx="1">
                  <c:v>2.9704718889994735</c:v>
                </c:pt>
                <c:pt idx="2">
                  <c:v>3.2506139333109849</c:v>
                </c:pt>
                <c:pt idx="3">
                  <c:v>3.3791650925688606</c:v>
                </c:pt>
                <c:pt idx="4">
                  <c:v>2.6584238914624603</c:v>
                </c:pt>
                <c:pt idx="5">
                  <c:v>3.6403501870932584</c:v>
                </c:pt>
                <c:pt idx="6">
                  <c:v>2.2536953618804176</c:v>
                </c:pt>
                <c:pt idx="7">
                  <c:v>4.4666609284673724</c:v>
                </c:pt>
                <c:pt idx="8">
                  <c:v>3.8176520909673504</c:v>
                </c:pt>
                <c:pt idx="9">
                  <c:v>3.9432912973794916</c:v>
                </c:pt>
                <c:pt idx="10">
                  <c:v>4.1138740656453914</c:v>
                </c:pt>
                <c:pt idx="11">
                  <c:v>4.5454012319530834</c:v>
                </c:pt>
                <c:pt idx="12">
                  <c:v>4.0187385676737559</c:v>
                </c:pt>
                <c:pt idx="13">
                  <c:v>4.4550860222189312</c:v>
                </c:pt>
                <c:pt idx="14">
                  <c:v>4.8672886753386058</c:v>
                </c:pt>
                <c:pt idx="15">
                  <c:v>3.6043463069116561</c:v>
                </c:pt>
                <c:pt idx="16">
                  <c:v>2.7257657280138643</c:v>
                </c:pt>
                <c:pt idx="17">
                  <c:v>4.0573729406426988</c:v>
                </c:pt>
                <c:pt idx="18">
                  <c:v>3.9463607027608463</c:v>
                </c:pt>
                <c:pt idx="19">
                  <c:v>2.894225546675036</c:v>
                </c:pt>
                <c:pt idx="20">
                  <c:v>3.4566760712613998</c:v>
                </c:pt>
                <c:pt idx="21">
                  <c:v>5.0158958371228524</c:v>
                </c:pt>
                <c:pt idx="22">
                  <c:v>3.5546931480898194</c:v>
                </c:pt>
                <c:pt idx="23">
                  <c:v>5.5394757067819977</c:v>
                </c:pt>
                <c:pt idx="24">
                  <c:v>2.3259181809421468</c:v>
                </c:pt>
                <c:pt idx="25">
                  <c:v>4.3569490470821055</c:v>
                </c:pt>
                <c:pt idx="26">
                  <c:v>2.6011021907616132</c:v>
                </c:pt>
                <c:pt idx="27">
                  <c:v>3.7139689140007182</c:v>
                </c:pt>
                <c:pt idx="28">
                  <c:v>4.4429598642800112</c:v>
                </c:pt>
                <c:pt idx="29">
                  <c:v>3.3076889977578494</c:v>
                </c:pt>
                <c:pt idx="30">
                  <c:v>4.0508120374768222</c:v>
                </c:pt>
                <c:pt idx="31">
                  <c:v>5.8241288262042978</c:v>
                </c:pt>
                <c:pt idx="32">
                  <c:v>3.8594248724286135</c:v>
                </c:pt>
                <c:pt idx="33">
                  <c:v>5.5753187126530834</c:v>
                </c:pt>
                <c:pt idx="34">
                  <c:v>5.3392705217493335</c:v>
                </c:pt>
                <c:pt idx="35">
                  <c:v>5.9900152265343376</c:v>
                </c:pt>
                <c:pt idx="36">
                  <c:v>4.9103570903192351</c:v>
                </c:pt>
                <c:pt idx="37">
                  <c:v>2.7952912460066104</c:v>
                </c:pt>
                <c:pt idx="38">
                  <c:v>4.8212792352042646</c:v>
                </c:pt>
                <c:pt idx="39">
                  <c:v>3.3447049363352721</c:v>
                </c:pt>
                <c:pt idx="40">
                  <c:v>4.168214011709253</c:v>
                </c:pt>
                <c:pt idx="41">
                  <c:v>5.9024526812569542</c:v>
                </c:pt>
                <c:pt idx="42">
                  <c:v>4.1187523248330296</c:v>
                </c:pt>
                <c:pt idx="43">
                  <c:v>4.9520498854225528</c:v>
                </c:pt>
                <c:pt idx="44">
                  <c:v>2.3908802292201616</c:v>
                </c:pt>
                <c:pt idx="45">
                  <c:v>2.0946000316330062</c:v>
                </c:pt>
                <c:pt idx="46">
                  <c:v>3.0921532603441277</c:v>
                </c:pt>
                <c:pt idx="47">
                  <c:v>4.263102362083881</c:v>
                </c:pt>
                <c:pt idx="48">
                  <c:v>3.0345556116703514</c:v>
                </c:pt>
                <c:pt idx="49">
                  <c:v>5.3943229579302123</c:v>
                </c:pt>
                <c:pt idx="50">
                  <c:v>4.545650364492472</c:v>
                </c:pt>
                <c:pt idx="51">
                  <c:v>3.6123842958364745</c:v>
                </c:pt>
                <c:pt idx="52">
                  <c:v>2.8702762789282543</c:v>
                </c:pt>
                <c:pt idx="53">
                  <c:v>5.2704826481136822</c:v>
                </c:pt>
                <c:pt idx="54">
                  <c:v>4.4683263207344623</c:v>
                </c:pt>
                <c:pt idx="55">
                  <c:v>2.873507228571087</c:v>
                </c:pt>
                <c:pt idx="56">
                  <c:v>3.1386939467141026</c:v>
                </c:pt>
                <c:pt idx="57">
                  <c:v>3.1504291127543178</c:v>
                </c:pt>
                <c:pt idx="58">
                  <c:v>5.7444446916190257</c:v>
                </c:pt>
                <c:pt idx="59">
                  <c:v>3.6149631059123952</c:v>
                </c:pt>
                <c:pt idx="60">
                  <c:v>4.5377005466246398</c:v>
                </c:pt>
                <c:pt idx="61">
                  <c:v>5.4350386864311533</c:v>
                </c:pt>
                <c:pt idx="62">
                  <c:v>5.0156439822759262</c:v>
                </c:pt>
                <c:pt idx="63">
                  <c:v>5.0865896869531655</c:v>
                </c:pt>
                <c:pt idx="64">
                  <c:v>4.6033839101098089</c:v>
                </c:pt>
                <c:pt idx="65">
                  <c:v>6.0950798752842346</c:v>
                </c:pt>
                <c:pt idx="66">
                  <c:v>4.1784866721145333</c:v>
                </c:pt>
                <c:pt idx="67">
                  <c:v>3.5753670828197959</c:v>
                </c:pt>
                <c:pt idx="68">
                  <c:v>4.922058478962601</c:v>
                </c:pt>
                <c:pt idx="69">
                  <c:v>4.6168162556488932</c:v>
                </c:pt>
                <c:pt idx="70">
                  <c:v>5.9397315138499298</c:v>
                </c:pt>
                <c:pt idx="71">
                  <c:v>4.2331583122084542</c:v>
                </c:pt>
                <c:pt idx="72">
                  <c:v>3.2706107729384666</c:v>
                </c:pt>
                <c:pt idx="73">
                  <c:v>2.813304304850333</c:v>
                </c:pt>
                <c:pt idx="74">
                  <c:v>2.1613886491195715</c:v>
                </c:pt>
                <c:pt idx="75">
                  <c:v>2.6646060977322454</c:v>
                </c:pt>
                <c:pt idx="76">
                  <c:v>5.2892332666715127</c:v>
                </c:pt>
                <c:pt idx="77">
                  <c:v>6.1172312623532967</c:v>
                </c:pt>
                <c:pt idx="78">
                  <c:v>3.8848557074272501</c:v>
                </c:pt>
                <c:pt idx="79">
                  <c:v>2.4480313763543116</c:v>
                </c:pt>
                <c:pt idx="80">
                  <c:v>5.4742693727764316</c:v>
                </c:pt>
                <c:pt idx="81">
                  <c:v>2.7728270548852754</c:v>
                </c:pt>
                <c:pt idx="82">
                  <c:v>2.89417202020765</c:v>
                </c:pt>
                <c:pt idx="83">
                  <c:v>4.675006868362459</c:v>
                </c:pt>
                <c:pt idx="84">
                  <c:v>6.0155416321801098</c:v>
                </c:pt>
                <c:pt idx="85">
                  <c:v>3.7597374664458001</c:v>
                </c:pt>
                <c:pt idx="86">
                  <c:v>4.0861523542982372</c:v>
                </c:pt>
                <c:pt idx="87">
                  <c:v>2.8145595109318777</c:v>
                </c:pt>
                <c:pt idx="88">
                  <c:v>5.1097061809284492</c:v>
                </c:pt>
                <c:pt idx="89">
                  <c:v>3.5654228322564419</c:v>
                </c:pt>
                <c:pt idx="90">
                  <c:v>4.1191229757779331</c:v>
                </c:pt>
                <c:pt idx="91">
                  <c:v>5.6290819888458969</c:v>
                </c:pt>
                <c:pt idx="92">
                  <c:v>4.1556375857223449</c:v>
                </c:pt>
                <c:pt idx="93">
                  <c:v>3.8296820034297259</c:v>
                </c:pt>
                <c:pt idx="94">
                  <c:v>5.0167896062981363</c:v>
                </c:pt>
                <c:pt idx="95">
                  <c:v>3.270111965725083</c:v>
                </c:pt>
                <c:pt idx="96">
                  <c:v>4.4601570317329022</c:v>
                </c:pt>
                <c:pt idx="97">
                  <c:v>4.8966386935902895</c:v>
                </c:pt>
                <c:pt idx="98">
                  <c:v>5.3773750107962481</c:v>
                </c:pt>
                <c:pt idx="99">
                  <c:v>5.4047961357589518</c:v>
                </c:pt>
                <c:pt idx="100">
                  <c:v>3.5645162306127602</c:v>
                </c:pt>
                <c:pt idx="101">
                  <c:v>5.8068054764542554</c:v>
                </c:pt>
                <c:pt idx="102">
                  <c:v>4.6092037957009255</c:v>
                </c:pt>
                <c:pt idx="103">
                  <c:v>4.5474928278378446</c:v>
                </c:pt>
                <c:pt idx="104">
                  <c:v>4.9775117548495436</c:v>
                </c:pt>
                <c:pt idx="105">
                  <c:v>5.8418529420716938</c:v>
                </c:pt>
                <c:pt idx="106">
                  <c:v>5.5987828297449536</c:v>
                </c:pt>
                <c:pt idx="107">
                  <c:v>3.0488105814260318</c:v>
                </c:pt>
                <c:pt idx="108">
                  <c:v>4.8450598800599076</c:v>
                </c:pt>
                <c:pt idx="109">
                  <c:v>5.2308703734442279</c:v>
                </c:pt>
                <c:pt idx="110">
                  <c:v>5.754904019037725</c:v>
                </c:pt>
                <c:pt idx="111">
                  <c:v>5.902524964063339</c:v>
                </c:pt>
                <c:pt idx="112">
                  <c:v>3.7686811643469067</c:v>
                </c:pt>
                <c:pt idx="113">
                  <c:v>4.1655889760323674</c:v>
                </c:pt>
                <c:pt idx="114">
                  <c:v>5.7208768430705836</c:v>
                </c:pt>
                <c:pt idx="115">
                  <c:v>6.08745584215783</c:v>
                </c:pt>
                <c:pt idx="116">
                  <c:v>4.2953747900994452</c:v>
                </c:pt>
                <c:pt idx="117">
                  <c:v>4.7898684313039483</c:v>
                </c:pt>
                <c:pt idx="118">
                  <c:v>4.140628897241541</c:v>
                </c:pt>
                <c:pt idx="119">
                  <c:v>6.1077119534603339</c:v>
                </c:pt>
                <c:pt idx="120">
                  <c:v>5.6536961418733753</c:v>
                </c:pt>
                <c:pt idx="121">
                  <c:v>6.0730786929090677</c:v>
                </c:pt>
                <c:pt idx="122">
                  <c:v>5.0341956633286919</c:v>
                </c:pt>
                <c:pt idx="123">
                  <c:v>4.6186786136242697</c:v>
                </c:pt>
                <c:pt idx="124">
                  <c:v>5.3072505246010007</c:v>
                </c:pt>
                <c:pt idx="125">
                  <c:v>5.5081394630491234</c:v>
                </c:pt>
                <c:pt idx="126">
                  <c:v>5.838803792875142</c:v>
                </c:pt>
                <c:pt idx="127">
                  <c:v>6.2605144582195171</c:v>
                </c:pt>
                <c:pt idx="128">
                  <c:v>4.8480471277185861</c:v>
                </c:pt>
                <c:pt idx="129">
                  <c:v>6.4333012382512331</c:v>
                </c:pt>
                <c:pt idx="130">
                  <c:v>5.6334663334552495</c:v>
                </c:pt>
                <c:pt idx="131">
                  <c:v>6.2709134973285403</c:v>
                </c:pt>
                <c:pt idx="132">
                  <c:v>6.0352194015699432</c:v>
                </c:pt>
                <c:pt idx="133">
                  <c:v>6.6700219407933625</c:v>
                </c:pt>
                <c:pt idx="134">
                  <c:v>6.352568886914062</c:v>
                </c:pt>
                <c:pt idx="135">
                  <c:v>5.9719760650646148</c:v>
                </c:pt>
                <c:pt idx="136">
                  <c:v>5.7005365530493295</c:v>
                </c:pt>
                <c:pt idx="137">
                  <c:v>5.4346795484217481</c:v>
                </c:pt>
                <c:pt idx="138">
                  <c:v>6.3912288420856767</c:v>
                </c:pt>
                <c:pt idx="139">
                  <c:v>6.5086442540028413</c:v>
                </c:pt>
                <c:pt idx="140">
                  <c:v>7.0042131194003048</c:v>
                </c:pt>
                <c:pt idx="141">
                  <c:v>6.226769993752443</c:v>
                </c:pt>
                <c:pt idx="142">
                  <c:v>5.8049334238659576</c:v>
                </c:pt>
                <c:pt idx="143">
                  <c:v>6.5635311944378216</c:v>
                </c:pt>
                <c:pt idx="144">
                  <c:v>6.509359678379286</c:v>
                </c:pt>
                <c:pt idx="145">
                  <c:v>7.3199005410988525</c:v>
                </c:pt>
                <c:pt idx="146">
                  <c:v>7.2981300051338112</c:v>
                </c:pt>
                <c:pt idx="147">
                  <c:v>6.4367166775064897</c:v>
                </c:pt>
                <c:pt idx="148">
                  <c:v>7.230065834591084</c:v>
                </c:pt>
                <c:pt idx="149">
                  <c:v>6.7695685414344364</c:v>
                </c:pt>
              </c:numCache>
            </c:numRef>
          </c:yVal>
          <c:smooth val="0"/>
          <c:extLst>
            <c:ext xmlns:c16="http://schemas.microsoft.com/office/drawing/2014/chart" uri="{C3380CC4-5D6E-409C-BE32-E72D297353CC}">
              <c16:uniqueId val="{00000000-27A4-4059-8500-4EED4DF7E638}"/>
            </c:ext>
          </c:extLst>
        </c:ser>
        <c:dLbls>
          <c:showLegendKey val="0"/>
          <c:showVal val="0"/>
          <c:showCatName val="0"/>
          <c:showSerName val="0"/>
          <c:showPercent val="0"/>
          <c:showBubbleSize val="0"/>
        </c:dLbls>
        <c:axId val="1468942592"/>
        <c:axId val="1468935520"/>
      </c:scatterChart>
      <c:valAx>
        <c:axId val="1468942592"/>
        <c:scaling>
          <c:logBase val="10"/>
          <c:orientation val="minMax"/>
          <c:min val="1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935520"/>
        <c:crosses val="autoZero"/>
        <c:crossBetween val="midCat"/>
      </c:valAx>
      <c:valAx>
        <c:axId val="1468935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9425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t>
            </a:r>
            <a:r>
              <a:rPr lang="en-US" baseline="0"/>
              <a:t> -&gt; share M2L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X!$H$1</c:f>
              <c:strCache>
                <c:ptCount val="1"/>
                <c:pt idx="0">
                  <c:v>t</c:v>
                </c:pt>
              </c:strCache>
            </c:strRef>
          </c:tx>
          <c:spPr>
            <a:ln w="19050" cap="rnd">
              <a:noFill/>
              <a:round/>
            </a:ln>
            <a:effectLst/>
          </c:spPr>
          <c:marker>
            <c:symbol val="circle"/>
            <c:size val="5"/>
            <c:spPr>
              <a:solidFill>
                <a:schemeClr val="accent1"/>
              </a:solidFill>
              <a:ln w="9525">
                <a:solidFill>
                  <a:schemeClr val="accent1"/>
                </a:solidFill>
              </a:ln>
              <a:effectLst/>
            </c:spPr>
          </c:marker>
          <c:xVal>
            <c:numRef>
              <c:f>X!$E$2:$E$151</c:f>
              <c:numCache>
                <c:formatCode>General</c:formatCode>
                <c:ptCount val="150"/>
                <c:pt idx="0">
                  <c:v>13</c:v>
                </c:pt>
                <c:pt idx="1">
                  <c:v>10</c:v>
                </c:pt>
                <c:pt idx="2">
                  <c:v>10</c:v>
                </c:pt>
                <c:pt idx="3">
                  <c:v>13</c:v>
                </c:pt>
                <c:pt idx="4">
                  <c:v>10</c:v>
                </c:pt>
                <c:pt idx="5">
                  <c:v>10</c:v>
                </c:pt>
                <c:pt idx="6">
                  <c:v>10</c:v>
                </c:pt>
                <c:pt idx="7">
                  <c:v>13</c:v>
                </c:pt>
                <c:pt idx="8">
                  <c:v>11</c:v>
                </c:pt>
                <c:pt idx="9">
                  <c:v>14</c:v>
                </c:pt>
                <c:pt idx="10">
                  <c:v>13</c:v>
                </c:pt>
                <c:pt idx="11">
                  <c:v>14</c:v>
                </c:pt>
                <c:pt idx="12">
                  <c:v>11</c:v>
                </c:pt>
                <c:pt idx="13">
                  <c:v>10</c:v>
                </c:pt>
                <c:pt idx="14">
                  <c:v>13</c:v>
                </c:pt>
                <c:pt idx="15">
                  <c:v>12</c:v>
                </c:pt>
                <c:pt idx="16">
                  <c:v>11</c:v>
                </c:pt>
                <c:pt idx="17">
                  <c:v>12</c:v>
                </c:pt>
                <c:pt idx="18">
                  <c:v>13</c:v>
                </c:pt>
                <c:pt idx="19">
                  <c:v>10</c:v>
                </c:pt>
                <c:pt idx="20">
                  <c:v>11</c:v>
                </c:pt>
                <c:pt idx="21">
                  <c:v>14</c:v>
                </c:pt>
                <c:pt idx="22">
                  <c:v>11</c:v>
                </c:pt>
                <c:pt idx="23">
                  <c:v>13</c:v>
                </c:pt>
                <c:pt idx="24">
                  <c:v>7</c:v>
                </c:pt>
                <c:pt idx="25">
                  <c:v>13</c:v>
                </c:pt>
                <c:pt idx="26">
                  <c:v>10</c:v>
                </c:pt>
                <c:pt idx="27">
                  <c:v>10</c:v>
                </c:pt>
                <c:pt idx="28">
                  <c:v>12</c:v>
                </c:pt>
                <c:pt idx="29">
                  <c:v>9</c:v>
                </c:pt>
                <c:pt idx="30">
                  <c:v>10</c:v>
                </c:pt>
                <c:pt idx="31">
                  <c:v>13</c:v>
                </c:pt>
                <c:pt idx="32">
                  <c:v>12</c:v>
                </c:pt>
                <c:pt idx="33">
                  <c:v>14</c:v>
                </c:pt>
                <c:pt idx="34">
                  <c:v>12</c:v>
                </c:pt>
                <c:pt idx="35">
                  <c:v>13</c:v>
                </c:pt>
                <c:pt idx="36">
                  <c:v>10</c:v>
                </c:pt>
                <c:pt idx="37">
                  <c:v>9</c:v>
                </c:pt>
                <c:pt idx="38">
                  <c:v>11</c:v>
                </c:pt>
                <c:pt idx="39">
                  <c:v>12</c:v>
                </c:pt>
                <c:pt idx="40">
                  <c:v>14</c:v>
                </c:pt>
                <c:pt idx="41">
                  <c:v>14</c:v>
                </c:pt>
                <c:pt idx="42">
                  <c:v>11</c:v>
                </c:pt>
                <c:pt idx="43">
                  <c:v>13</c:v>
                </c:pt>
                <c:pt idx="44">
                  <c:v>11</c:v>
                </c:pt>
                <c:pt idx="45">
                  <c:v>8</c:v>
                </c:pt>
                <c:pt idx="46">
                  <c:v>11</c:v>
                </c:pt>
                <c:pt idx="47">
                  <c:v>11</c:v>
                </c:pt>
                <c:pt idx="48">
                  <c:v>10</c:v>
                </c:pt>
                <c:pt idx="49">
                  <c:v>11</c:v>
                </c:pt>
                <c:pt idx="50">
                  <c:v>10</c:v>
                </c:pt>
                <c:pt idx="51">
                  <c:v>13</c:v>
                </c:pt>
                <c:pt idx="52">
                  <c:v>8</c:v>
                </c:pt>
                <c:pt idx="53">
                  <c:v>13</c:v>
                </c:pt>
                <c:pt idx="54">
                  <c:v>12</c:v>
                </c:pt>
                <c:pt idx="55">
                  <c:v>9</c:v>
                </c:pt>
                <c:pt idx="56">
                  <c:v>10</c:v>
                </c:pt>
                <c:pt idx="57">
                  <c:v>11</c:v>
                </c:pt>
                <c:pt idx="58">
                  <c:v>12</c:v>
                </c:pt>
                <c:pt idx="59">
                  <c:v>10</c:v>
                </c:pt>
                <c:pt idx="60">
                  <c:v>14</c:v>
                </c:pt>
                <c:pt idx="61">
                  <c:v>13</c:v>
                </c:pt>
                <c:pt idx="62">
                  <c:v>12</c:v>
                </c:pt>
                <c:pt idx="63">
                  <c:v>10</c:v>
                </c:pt>
                <c:pt idx="64">
                  <c:v>12</c:v>
                </c:pt>
                <c:pt idx="65">
                  <c:v>14</c:v>
                </c:pt>
                <c:pt idx="66">
                  <c:v>12</c:v>
                </c:pt>
                <c:pt idx="67">
                  <c:v>10</c:v>
                </c:pt>
                <c:pt idx="68">
                  <c:v>11</c:v>
                </c:pt>
                <c:pt idx="69">
                  <c:v>13</c:v>
                </c:pt>
                <c:pt idx="70">
                  <c:v>10</c:v>
                </c:pt>
                <c:pt idx="71">
                  <c:v>9</c:v>
                </c:pt>
                <c:pt idx="72">
                  <c:v>12</c:v>
                </c:pt>
                <c:pt idx="73">
                  <c:v>9</c:v>
                </c:pt>
                <c:pt idx="74">
                  <c:v>9</c:v>
                </c:pt>
                <c:pt idx="75">
                  <c:v>12</c:v>
                </c:pt>
                <c:pt idx="76">
                  <c:v>11</c:v>
                </c:pt>
                <c:pt idx="77">
                  <c:v>12</c:v>
                </c:pt>
                <c:pt idx="78">
                  <c:v>11</c:v>
                </c:pt>
                <c:pt idx="79">
                  <c:v>8</c:v>
                </c:pt>
                <c:pt idx="80">
                  <c:v>12</c:v>
                </c:pt>
                <c:pt idx="81">
                  <c:v>8</c:v>
                </c:pt>
                <c:pt idx="82">
                  <c:v>11</c:v>
                </c:pt>
                <c:pt idx="83">
                  <c:v>10</c:v>
                </c:pt>
                <c:pt idx="84">
                  <c:v>11</c:v>
                </c:pt>
                <c:pt idx="85">
                  <c:v>10</c:v>
                </c:pt>
                <c:pt idx="86">
                  <c:v>12</c:v>
                </c:pt>
                <c:pt idx="87">
                  <c:v>7</c:v>
                </c:pt>
                <c:pt idx="88">
                  <c:v>14</c:v>
                </c:pt>
                <c:pt idx="89">
                  <c:v>9</c:v>
                </c:pt>
                <c:pt idx="90">
                  <c:v>11</c:v>
                </c:pt>
                <c:pt idx="91">
                  <c:v>10</c:v>
                </c:pt>
                <c:pt idx="92">
                  <c:v>12</c:v>
                </c:pt>
                <c:pt idx="93">
                  <c:v>11</c:v>
                </c:pt>
                <c:pt idx="94">
                  <c:v>12</c:v>
                </c:pt>
                <c:pt idx="95">
                  <c:v>8</c:v>
                </c:pt>
                <c:pt idx="96">
                  <c:v>10</c:v>
                </c:pt>
                <c:pt idx="97">
                  <c:v>9</c:v>
                </c:pt>
                <c:pt idx="98">
                  <c:v>13</c:v>
                </c:pt>
                <c:pt idx="99">
                  <c:v>10</c:v>
                </c:pt>
                <c:pt idx="100">
                  <c:v>7</c:v>
                </c:pt>
                <c:pt idx="101">
                  <c:v>12</c:v>
                </c:pt>
                <c:pt idx="102">
                  <c:v>9</c:v>
                </c:pt>
                <c:pt idx="103">
                  <c:v>10</c:v>
                </c:pt>
                <c:pt idx="104">
                  <c:v>11</c:v>
                </c:pt>
                <c:pt idx="105">
                  <c:v>13</c:v>
                </c:pt>
                <c:pt idx="106">
                  <c:v>11</c:v>
                </c:pt>
                <c:pt idx="107">
                  <c:v>9</c:v>
                </c:pt>
                <c:pt idx="108">
                  <c:v>11</c:v>
                </c:pt>
                <c:pt idx="109">
                  <c:v>12</c:v>
                </c:pt>
                <c:pt idx="110">
                  <c:v>14</c:v>
                </c:pt>
                <c:pt idx="111">
                  <c:v>11</c:v>
                </c:pt>
                <c:pt idx="112">
                  <c:v>9</c:v>
                </c:pt>
                <c:pt idx="113">
                  <c:v>8</c:v>
                </c:pt>
                <c:pt idx="114">
                  <c:v>12</c:v>
                </c:pt>
                <c:pt idx="115">
                  <c:v>13</c:v>
                </c:pt>
                <c:pt idx="116">
                  <c:v>10</c:v>
                </c:pt>
                <c:pt idx="117">
                  <c:v>11</c:v>
                </c:pt>
                <c:pt idx="118">
                  <c:v>8</c:v>
                </c:pt>
                <c:pt idx="119">
                  <c:v>14</c:v>
                </c:pt>
                <c:pt idx="120">
                  <c:v>10</c:v>
                </c:pt>
                <c:pt idx="121">
                  <c:v>10</c:v>
                </c:pt>
                <c:pt idx="122">
                  <c:v>8</c:v>
                </c:pt>
                <c:pt idx="123">
                  <c:v>9</c:v>
                </c:pt>
                <c:pt idx="124">
                  <c:v>11</c:v>
                </c:pt>
                <c:pt idx="125">
                  <c:v>9</c:v>
                </c:pt>
                <c:pt idx="126">
                  <c:v>12</c:v>
                </c:pt>
                <c:pt idx="127">
                  <c:v>12</c:v>
                </c:pt>
                <c:pt idx="128">
                  <c:v>7</c:v>
                </c:pt>
                <c:pt idx="129">
                  <c:v>10</c:v>
                </c:pt>
                <c:pt idx="130">
                  <c:v>9</c:v>
                </c:pt>
                <c:pt idx="131">
                  <c:v>14</c:v>
                </c:pt>
                <c:pt idx="132">
                  <c:v>11</c:v>
                </c:pt>
                <c:pt idx="133">
                  <c:v>11</c:v>
                </c:pt>
                <c:pt idx="134">
                  <c:v>11</c:v>
                </c:pt>
                <c:pt idx="135">
                  <c:v>9</c:v>
                </c:pt>
                <c:pt idx="136">
                  <c:v>10</c:v>
                </c:pt>
                <c:pt idx="137">
                  <c:v>8</c:v>
                </c:pt>
                <c:pt idx="138">
                  <c:v>12</c:v>
                </c:pt>
                <c:pt idx="139">
                  <c:v>11</c:v>
                </c:pt>
                <c:pt idx="140">
                  <c:v>10</c:v>
                </c:pt>
                <c:pt idx="141">
                  <c:v>8</c:v>
                </c:pt>
                <c:pt idx="142">
                  <c:v>7</c:v>
                </c:pt>
                <c:pt idx="143">
                  <c:v>9</c:v>
                </c:pt>
                <c:pt idx="144">
                  <c:v>9</c:v>
                </c:pt>
                <c:pt idx="145">
                  <c:v>11</c:v>
                </c:pt>
                <c:pt idx="146">
                  <c:v>9</c:v>
                </c:pt>
                <c:pt idx="147">
                  <c:v>8</c:v>
                </c:pt>
                <c:pt idx="148">
                  <c:v>8</c:v>
                </c:pt>
                <c:pt idx="149">
                  <c:v>7</c:v>
                </c:pt>
              </c:numCache>
            </c:numRef>
          </c:xVal>
          <c:yVal>
            <c:numRef>
              <c:f>X!$X$2:$X$151</c:f>
              <c:numCache>
                <c:formatCode>General</c:formatCode>
                <c:ptCount val="150"/>
                <c:pt idx="0">
                  <c:v>0.43408591340810154</c:v>
                </c:pt>
                <c:pt idx="1">
                  <c:v>0.45039726739512381</c:v>
                </c:pt>
                <c:pt idx="2">
                  <c:v>0.42118123576141847</c:v>
                </c:pt>
                <c:pt idx="3">
                  <c:v>0.43700704026617415</c:v>
                </c:pt>
                <c:pt idx="4">
                  <c:v>0.25877861805536662</c:v>
                </c:pt>
                <c:pt idx="5">
                  <c:v>0.48530826752209166</c:v>
                </c:pt>
                <c:pt idx="6">
                  <c:v>0.4059966537853027</c:v>
                </c:pt>
                <c:pt idx="7">
                  <c:v>0.49255763689145238</c:v>
                </c:pt>
                <c:pt idx="8">
                  <c:v>0.24494290252702972</c:v>
                </c:pt>
                <c:pt idx="9">
                  <c:v>0.2516630999425355</c:v>
                </c:pt>
                <c:pt idx="10">
                  <c:v>0.2760785505265545</c:v>
                </c:pt>
                <c:pt idx="11">
                  <c:v>0.45048927509428066</c:v>
                </c:pt>
                <c:pt idx="12">
                  <c:v>0.45236389015181494</c:v>
                </c:pt>
                <c:pt idx="13">
                  <c:v>0.54430960676280804</c:v>
                </c:pt>
                <c:pt idx="14">
                  <c:v>0.587357934011695</c:v>
                </c:pt>
                <c:pt idx="15">
                  <c:v>0.43594575108970995</c:v>
                </c:pt>
                <c:pt idx="16">
                  <c:v>0.24699051606339478</c:v>
                </c:pt>
                <c:pt idx="17">
                  <c:v>0.20264234393108455</c:v>
                </c:pt>
                <c:pt idx="18">
                  <c:v>0.46131431794778444</c:v>
                </c:pt>
                <c:pt idx="19">
                  <c:v>0.46538095198066154</c:v>
                </c:pt>
                <c:pt idx="20">
                  <c:v>0.49747841681717186</c:v>
                </c:pt>
                <c:pt idx="21">
                  <c:v>0.52025952571013723</c:v>
                </c:pt>
                <c:pt idx="22">
                  <c:v>0.4250659983848083</c:v>
                </c:pt>
                <c:pt idx="23">
                  <c:v>0.64656911153095453</c:v>
                </c:pt>
                <c:pt idx="24">
                  <c:v>0.36153939623337916</c:v>
                </c:pt>
                <c:pt idx="25">
                  <c:v>0.55065704986946351</c:v>
                </c:pt>
                <c:pt idx="26">
                  <c:v>0.35397865888771213</c:v>
                </c:pt>
                <c:pt idx="27">
                  <c:v>0.51965862465288903</c:v>
                </c:pt>
                <c:pt idx="28">
                  <c:v>0.48938599850138631</c:v>
                </c:pt>
                <c:pt idx="29">
                  <c:v>0.40401506586488428</c:v>
                </c:pt>
                <c:pt idx="30">
                  <c:v>0.61209897459505158</c:v>
                </c:pt>
                <c:pt idx="31">
                  <c:v>0.68138091817380786</c:v>
                </c:pt>
                <c:pt idx="32">
                  <c:v>0.41236297080494361</c:v>
                </c:pt>
                <c:pt idx="33">
                  <c:v>0.59766091847962111</c:v>
                </c:pt>
                <c:pt idx="34">
                  <c:v>0.58587012840853114</c:v>
                </c:pt>
                <c:pt idx="35">
                  <c:v>0.67802759571683069</c:v>
                </c:pt>
                <c:pt idx="36">
                  <c:v>0.63705276676818523</c:v>
                </c:pt>
                <c:pt idx="37">
                  <c:v>0.23198089194897045</c:v>
                </c:pt>
                <c:pt idx="38">
                  <c:v>0.56406352019709771</c:v>
                </c:pt>
                <c:pt idx="39">
                  <c:v>0.19647969029530904</c:v>
                </c:pt>
                <c:pt idx="40">
                  <c:v>0.1295472487650019</c:v>
                </c:pt>
                <c:pt idx="41">
                  <c:v>0.63223743583885628</c:v>
                </c:pt>
                <c:pt idx="42">
                  <c:v>0.45723901133680533</c:v>
                </c:pt>
                <c:pt idx="43">
                  <c:v>0.58216697117572869</c:v>
                </c:pt>
                <c:pt idx="44">
                  <c:v>0.21545900775899016</c:v>
                </c:pt>
                <c:pt idx="45">
                  <c:v>0.21837480172009366</c:v>
                </c:pt>
                <c:pt idx="46">
                  <c:v>0.14198608566719198</c:v>
                </c:pt>
                <c:pt idx="47">
                  <c:v>0.22998508293379169</c:v>
                </c:pt>
                <c:pt idx="48">
                  <c:v>0.38695078457075088</c:v>
                </c:pt>
                <c:pt idx="49">
                  <c:v>0.58643442861171069</c:v>
                </c:pt>
                <c:pt idx="50">
                  <c:v>0.54414410868370799</c:v>
                </c:pt>
                <c:pt idx="51">
                  <c:v>0.29157888960113509</c:v>
                </c:pt>
                <c:pt idx="52">
                  <c:v>0.34057736555929313</c:v>
                </c:pt>
                <c:pt idx="53">
                  <c:v>0.60219715425371223</c:v>
                </c:pt>
                <c:pt idx="54">
                  <c:v>0.43744364570960304</c:v>
                </c:pt>
                <c:pt idx="55">
                  <c:v>0.40808011671137789</c:v>
                </c:pt>
                <c:pt idx="56">
                  <c:v>0.30618533976590134</c:v>
                </c:pt>
                <c:pt idx="57">
                  <c:v>0.36342345184415098</c:v>
                </c:pt>
                <c:pt idx="58">
                  <c:v>0.57467396896811318</c:v>
                </c:pt>
                <c:pt idx="59">
                  <c:v>0.4444996022240012</c:v>
                </c:pt>
                <c:pt idx="60">
                  <c:v>0.25716335208922947</c:v>
                </c:pt>
                <c:pt idx="61">
                  <c:v>0.59333416733762034</c:v>
                </c:pt>
                <c:pt idx="62">
                  <c:v>0.51908358942481803</c:v>
                </c:pt>
                <c:pt idx="63">
                  <c:v>0.54627473946279825</c:v>
                </c:pt>
                <c:pt idx="64">
                  <c:v>0.23407093818727473</c:v>
                </c:pt>
                <c:pt idx="65">
                  <c:v>0.57904947084151037</c:v>
                </c:pt>
                <c:pt idx="66">
                  <c:v>0.10098630897607815</c:v>
                </c:pt>
                <c:pt idx="67">
                  <c:v>0.32163434500921406</c:v>
                </c:pt>
                <c:pt idx="68">
                  <c:v>0.49085530664372351</c:v>
                </c:pt>
                <c:pt idx="69">
                  <c:v>0.33691308113265422</c:v>
                </c:pt>
                <c:pt idx="70">
                  <c:v>0.5587555898878247</c:v>
                </c:pt>
                <c:pt idx="71">
                  <c:v>0.47130669582495865</c:v>
                </c:pt>
                <c:pt idx="72">
                  <c:v>0.32542550582886087</c:v>
                </c:pt>
                <c:pt idx="73">
                  <c:v>0.31064961320180218</c:v>
                </c:pt>
                <c:pt idx="74">
                  <c:v>0.16069205552258611</c:v>
                </c:pt>
                <c:pt idx="75">
                  <c:v>0.15967174395779804</c:v>
                </c:pt>
                <c:pt idx="76">
                  <c:v>0.50873952102531428</c:v>
                </c:pt>
                <c:pt idx="77">
                  <c:v>0.53184046617522329</c:v>
                </c:pt>
                <c:pt idx="78">
                  <c:v>0.37152922318623421</c:v>
                </c:pt>
                <c:pt idx="79">
                  <c:v>0.15937779770948166</c:v>
                </c:pt>
                <c:pt idx="80">
                  <c:v>0.48750679896590282</c:v>
                </c:pt>
                <c:pt idx="81">
                  <c:v>0.33271653589610112</c:v>
                </c:pt>
                <c:pt idx="82">
                  <c:v>0.16314464417388058</c:v>
                </c:pt>
                <c:pt idx="83">
                  <c:v>0.43454042406788257</c:v>
                </c:pt>
                <c:pt idx="84">
                  <c:v>0.48053875367296434</c:v>
                </c:pt>
                <c:pt idx="85">
                  <c:v>0.30083665960197137</c:v>
                </c:pt>
                <c:pt idx="86">
                  <c:v>0.34727893809696753</c:v>
                </c:pt>
                <c:pt idx="87">
                  <c:v>0.28167447874746393</c:v>
                </c:pt>
                <c:pt idx="88">
                  <c:v>0.27986652853637584</c:v>
                </c:pt>
                <c:pt idx="89">
                  <c:v>0.31777049105033356</c:v>
                </c:pt>
                <c:pt idx="90">
                  <c:v>0.2739170812675103</c:v>
                </c:pt>
                <c:pt idx="91">
                  <c:v>0.464810252011779</c:v>
                </c:pt>
                <c:pt idx="92">
                  <c:v>0.24985289246736003</c:v>
                </c:pt>
                <c:pt idx="93">
                  <c:v>0.26874201231974115</c:v>
                </c:pt>
                <c:pt idx="94">
                  <c:v>0.40607044288239674</c:v>
                </c:pt>
                <c:pt idx="95">
                  <c:v>0.26703060113792304</c:v>
                </c:pt>
                <c:pt idx="96">
                  <c:v>0.33436308000923265</c:v>
                </c:pt>
                <c:pt idx="97">
                  <c:v>0.4078381880500439</c:v>
                </c:pt>
                <c:pt idx="98">
                  <c:v>0.36419124756728583</c:v>
                </c:pt>
                <c:pt idx="99">
                  <c:v>0.41960871680091116</c:v>
                </c:pt>
                <c:pt idx="100">
                  <c:v>0.28395509762550381</c:v>
                </c:pt>
                <c:pt idx="101">
                  <c:v>0.43791037267693561</c:v>
                </c:pt>
                <c:pt idx="102">
                  <c:v>0.36113892249946922</c:v>
                </c:pt>
                <c:pt idx="103">
                  <c:v>0.33472542515681636</c:v>
                </c:pt>
                <c:pt idx="104">
                  <c:v>0.37034924312114753</c:v>
                </c:pt>
                <c:pt idx="105">
                  <c:v>0.38055775527522062</c:v>
                </c:pt>
                <c:pt idx="106">
                  <c:v>0.38810969341580442</c:v>
                </c:pt>
                <c:pt idx="107">
                  <c:v>0.1122317299053054</c:v>
                </c:pt>
                <c:pt idx="108">
                  <c:v>0.27935732124815227</c:v>
                </c:pt>
                <c:pt idx="109">
                  <c:v>0.30351689642502078</c:v>
                </c:pt>
                <c:pt idx="110">
                  <c:v>0.31385286965313247</c:v>
                </c:pt>
                <c:pt idx="111">
                  <c:v>0.38678596144782468</c:v>
                </c:pt>
                <c:pt idx="112">
                  <c:v>0.20495041761118046</c:v>
                </c:pt>
                <c:pt idx="113">
                  <c:v>0.31017752780503188</c:v>
                </c:pt>
                <c:pt idx="114">
                  <c:v>0.36169477407193817</c:v>
                </c:pt>
                <c:pt idx="115">
                  <c:v>0.36730126097922489</c:v>
                </c:pt>
                <c:pt idx="116">
                  <c:v>0.33451313789165799</c:v>
                </c:pt>
                <c:pt idx="117">
                  <c:v>0.25508387693247059</c:v>
                </c:pt>
                <c:pt idx="118">
                  <c:v>0.22626377482693383</c:v>
                </c:pt>
                <c:pt idx="119">
                  <c:v>0.3289642402009888</c:v>
                </c:pt>
                <c:pt idx="120">
                  <c:v>0.30011579777232589</c:v>
                </c:pt>
                <c:pt idx="121">
                  <c:v>0.3353273651468916</c:v>
                </c:pt>
                <c:pt idx="122">
                  <c:v>0.28842836760745572</c:v>
                </c:pt>
                <c:pt idx="123">
                  <c:v>0.21849891036439667</c:v>
                </c:pt>
                <c:pt idx="124">
                  <c:v>0.29377879689915254</c:v>
                </c:pt>
                <c:pt idx="125">
                  <c:v>0.28859257773401098</c:v>
                </c:pt>
                <c:pt idx="126">
                  <c:v>0.28269563022390487</c:v>
                </c:pt>
                <c:pt idx="127">
                  <c:v>0.31222561107058255</c:v>
                </c:pt>
                <c:pt idx="128">
                  <c:v>0.22673088166543634</c:v>
                </c:pt>
                <c:pt idx="129">
                  <c:v>0.27672205592987381</c:v>
                </c:pt>
                <c:pt idx="130">
                  <c:v>0.24093443544806806</c:v>
                </c:pt>
                <c:pt idx="131">
                  <c:v>0.27359199064772532</c:v>
                </c:pt>
                <c:pt idx="132">
                  <c:v>0.23572193154823975</c:v>
                </c:pt>
                <c:pt idx="133">
                  <c:v>0.2570129852820644</c:v>
                </c:pt>
                <c:pt idx="134">
                  <c:v>0.26780951126696773</c:v>
                </c:pt>
                <c:pt idx="135">
                  <c:v>0.25304949015453404</c:v>
                </c:pt>
                <c:pt idx="136">
                  <c:v>0.25987770767066831</c:v>
                </c:pt>
                <c:pt idx="137">
                  <c:v>0.19268373995555907</c:v>
                </c:pt>
                <c:pt idx="138">
                  <c:v>0.23720125707839995</c:v>
                </c:pt>
                <c:pt idx="139">
                  <c:v>0.20425464728654499</c:v>
                </c:pt>
                <c:pt idx="140">
                  <c:v>0.20850207524075581</c:v>
                </c:pt>
                <c:pt idx="141">
                  <c:v>0.18123820982562439</c:v>
                </c:pt>
                <c:pt idx="142">
                  <c:v>0.17165311940838651</c:v>
                </c:pt>
                <c:pt idx="143">
                  <c:v>0.1803062309952603</c:v>
                </c:pt>
                <c:pt idx="144">
                  <c:v>0.16275399067130703</c:v>
                </c:pt>
                <c:pt idx="145">
                  <c:v>0.15943267246142401</c:v>
                </c:pt>
                <c:pt idx="146">
                  <c:v>9.1160069121965198E-2</c:v>
                </c:pt>
                <c:pt idx="147">
                  <c:v>6.3103555854748014E-2</c:v>
                </c:pt>
                <c:pt idx="148">
                  <c:v>3.3506628702658782E-2</c:v>
                </c:pt>
                <c:pt idx="149">
                  <c:v>1.077955825023285E-2</c:v>
                </c:pt>
              </c:numCache>
            </c:numRef>
          </c:yVal>
          <c:smooth val="0"/>
          <c:extLst>
            <c:ext xmlns:c16="http://schemas.microsoft.com/office/drawing/2014/chart" uri="{C3380CC4-5D6E-409C-BE32-E72D297353CC}">
              <c16:uniqueId val="{00000000-C944-40DD-ACCB-BFDD82BA0B5A}"/>
            </c:ext>
          </c:extLst>
        </c:ser>
        <c:dLbls>
          <c:showLegendKey val="0"/>
          <c:showVal val="0"/>
          <c:showCatName val="0"/>
          <c:showSerName val="0"/>
          <c:showPercent val="0"/>
          <c:showBubbleSize val="0"/>
        </c:dLbls>
        <c:axId val="1374401104"/>
        <c:axId val="1374408592"/>
      </c:scatterChart>
      <c:valAx>
        <c:axId val="1374401104"/>
        <c:scaling>
          <c:orientation val="minMax"/>
          <c:min val="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408592"/>
        <c:crosses val="autoZero"/>
        <c:crossBetween val="midCat"/>
      </c:valAx>
      <c:valAx>
        <c:axId val="1374408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4011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t>
            </a:r>
            <a:r>
              <a:rPr lang="en-US" baseline="0"/>
              <a:t> -&gt; share P2P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X!$H$1</c:f>
              <c:strCache>
                <c:ptCount val="1"/>
                <c:pt idx="0">
                  <c:v>t</c:v>
                </c:pt>
              </c:strCache>
            </c:strRef>
          </c:tx>
          <c:spPr>
            <a:ln w="19050" cap="rnd">
              <a:noFill/>
              <a:round/>
            </a:ln>
            <a:effectLst/>
          </c:spPr>
          <c:marker>
            <c:symbol val="circle"/>
            <c:size val="5"/>
            <c:spPr>
              <a:solidFill>
                <a:schemeClr val="accent1"/>
              </a:solidFill>
              <a:ln w="9525">
                <a:solidFill>
                  <a:schemeClr val="accent1"/>
                </a:solidFill>
              </a:ln>
              <a:effectLst/>
            </c:spPr>
          </c:marker>
          <c:xVal>
            <c:numRef>
              <c:f>X!$E$2:$E$151</c:f>
              <c:numCache>
                <c:formatCode>General</c:formatCode>
                <c:ptCount val="150"/>
                <c:pt idx="0">
                  <c:v>13</c:v>
                </c:pt>
                <c:pt idx="1">
                  <c:v>10</c:v>
                </c:pt>
                <c:pt idx="2">
                  <c:v>10</c:v>
                </c:pt>
                <c:pt idx="3">
                  <c:v>13</c:v>
                </c:pt>
                <c:pt idx="4">
                  <c:v>10</c:v>
                </c:pt>
                <c:pt idx="5">
                  <c:v>10</c:v>
                </c:pt>
                <c:pt idx="6">
                  <c:v>10</c:v>
                </c:pt>
                <c:pt idx="7">
                  <c:v>13</c:v>
                </c:pt>
                <c:pt idx="8">
                  <c:v>11</c:v>
                </c:pt>
                <c:pt idx="9">
                  <c:v>14</c:v>
                </c:pt>
                <c:pt idx="10">
                  <c:v>13</c:v>
                </c:pt>
                <c:pt idx="11">
                  <c:v>14</c:v>
                </c:pt>
                <c:pt idx="12">
                  <c:v>11</c:v>
                </c:pt>
                <c:pt idx="13">
                  <c:v>10</c:v>
                </c:pt>
                <c:pt idx="14">
                  <c:v>13</c:v>
                </c:pt>
                <c:pt idx="15">
                  <c:v>12</c:v>
                </c:pt>
                <c:pt idx="16">
                  <c:v>11</c:v>
                </c:pt>
                <c:pt idx="17">
                  <c:v>12</c:v>
                </c:pt>
                <c:pt idx="18">
                  <c:v>13</c:v>
                </c:pt>
                <c:pt idx="19">
                  <c:v>10</c:v>
                </c:pt>
                <c:pt idx="20">
                  <c:v>11</c:v>
                </c:pt>
                <c:pt idx="21">
                  <c:v>14</c:v>
                </c:pt>
                <c:pt idx="22">
                  <c:v>11</c:v>
                </c:pt>
                <c:pt idx="23">
                  <c:v>13</c:v>
                </c:pt>
                <c:pt idx="24">
                  <c:v>7</c:v>
                </c:pt>
                <c:pt idx="25">
                  <c:v>13</c:v>
                </c:pt>
                <c:pt idx="26">
                  <c:v>10</c:v>
                </c:pt>
                <c:pt idx="27">
                  <c:v>10</c:v>
                </c:pt>
                <c:pt idx="28">
                  <c:v>12</c:v>
                </c:pt>
                <c:pt idx="29">
                  <c:v>9</c:v>
                </c:pt>
                <c:pt idx="30">
                  <c:v>10</c:v>
                </c:pt>
                <c:pt idx="31">
                  <c:v>13</c:v>
                </c:pt>
                <c:pt idx="32">
                  <c:v>12</c:v>
                </c:pt>
                <c:pt idx="33">
                  <c:v>14</c:v>
                </c:pt>
                <c:pt idx="34">
                  <c:v>12</c:v>
                </c:pt>
                <c:pt idx="35">
                  <c:v>13</c:v>
                </c:pt>
                <c:pt idx="36">
                  <c:v>10</c:v>
                </c:pt>
                <c:pt idx="37">
                  <c:v>9</c:v>
                </c:pt>
                <c:pt idx="38">
                  <c:v>11</c:v>
                </c:pt>
                <c:pt idx="39">
                  <c:v>12</c:v>
                </c:pt>
                <c:pt idx="40">
                  <c:v>14</c:v>
                </c:pt>
                <c:pt idx="41">
                  <c:v>14</c:v>
                </c:pt>
                <c:pt idx="42">
                  <c:v>11</c:v>
                </c:pt>
                <c:pt idx="43">
                  <c:v>13</c:v>
                </c:pt>
                <c:pt idx="44">
                  <c:v>11</c:v>
                </c:pt>
                <c:pt idx="45">
                  <c:v>8</c:v>
                </c:pt>
                <c:pt idx="46">
                  <c:v>11</c:v>
                </c:pt>
                <c:pt idx="47">
                  <c:v>11</c:v>
                </c:pt>
                <c:pt idx="48">
                  <c:v>10</c:v>
                </c:pt>
                <c:pt idx="49">
                  <c:v>11</c:v>
                </c:pt>
                <c:pt idx="50">
                  <c:v>10</c:v>
                </c:pt>
                <c:pt idx="51">
                  <c:v>13</c:v>
                </c:pt>
                <c:pt idx="52">
                  <c:v>8</c:v>
                </c:pt>
                <c:pt idx="53">
                  <c:v>13</c:v>
                </c:pt>
                <c:pt idx="54">
                  <c:v>12</c:v>
                </c:pt>
                <c:pt idx="55">
                  <c:v>9</c:v>
                </c:pt>
                <c:pt idx="56">
                  <c:v>10</c:v>
                </c:pt>
                <c:pt idx="57">
                  <c:v>11</c:v>
                </c:pt>
                <c:pt idx="58">
                  <c:v>12</c:v>
                </c:pt>
                <c:pt idx="59">
                  <c:v>10</c:v>
                </c:pt>
                <c:pt idx="60">
                  <c:v>14</c:v>
                </c:pt>
                <c:pt idx="61">
                  <c:v>13</c:v>
                </c:pt>
                <c:pt idx="62">
                  <c:v>12</c:v>
                </c:pt>
                <c:pt idx="63">
                  <c:v>10</c:v>
                </c:pt>
                <c:pt idx="64">
                  <c:v>12</c:v>
                </c:pt>
                <c:pt idx="65">
                  <c:v>14</c:v>
                </c:pt>
                <c:pt idx="66">
                  <c:v>12</c:v>
                </c:pt>
                <c:pt idx="67">
                  <c:v>10</c:v>
                </c:pt>
                <c:pt idx="68">
                  <c:v>11</c:v>
                </c:pt>
                <c:pt idx="69">
                  <c:v>13</c:v>
                </c:pt>
                <c:pt idx="70">
                  <c:v>10</c:v>
                </c:pt>
                <c:pt idx="71">
                  <c:v>9</c:v>
                </c:pt>
                <c:pt idx="72">
                  <c:v>12</c:v>
                </c:pt>
                <c:pt idx="73">
                  <c:v>9</c:v>
                </c:pt>
                <c:pt idx="74">
                  <c:v>9</c:v>
                </c:pt>
                <c:pt idx="75">
                  <c:v>12</c:v>
                </c:pt>
                <c:pt idx="76">
                  <c:v>11</c:v>
                </c:pt>
                <c:pt idx="77">
                  <c:v>12</c:v>
                </c:pt>
                <c:pt idx="78">
                  <c:v>11</c:v>
                </c:pt>
                <c:pt idx="79">
                  <c:v>8</c:v>
                </c:pt>
                <c:pt idx="80">
                  <c:v>12</c:v>
                </c:pt>
                <c:pt idx="81">
                  <c:v>8</c:v>
                </c:pt>
                <c:pt idx="82">
                  <c:v>11</c:v>
                </c:pt>
                <c:pt idx="83">
                  <c:v>10</c:v>
                </c:pt>
                <c:pt idx="84">
                  <c:v>11</c:v>
                </c:pt>
                <c:pt idx="85">
                  <c:v>10</c:v>
                </c:pt>
                <c:pt idx="86">
                  <c:v>12</c:v>
                </c:pt>
                <c:pt idx="87">
                  <c:v>7</c:v>
                </c:pt>
                <c:pt idx="88">
                  <c:v>14</c:v>
                </c:pt>
                <c:pt idx="89">
                  <c:v>9</c:v>
                </c:pt>
                <c:pt idx="90">
                  <c:v>11</c:v>
                </c:pt>
                <c:pt idx="91">
                  <c:v>10</c:v>
                </c:pt>
                <c:pt idx="92">
                  <c:v>12</c:v>
                </c:pt>
                <c:pt idx="93">
                  <c:v>11</c:v>
                </c:pt>
                <c:pt idx="94">
                  <c:v>12</c:v>
                </c:pt>
                <c:pt idx="95">
                  <c:v>8</c:v>
                </c:pt>
                <c:pt idx="96">
                  <c:v>10</c:v>
                </c:pt>
                <c:pt idx="97">
                  <c:v>9</c:v>
                </c:pt>
                <c:pt idx="98">
                  <c:v>13</c:v>
                </c:pt>
                <c:pt idx="99">
                  <c:v>10</c:v>
                </c:pt>
                <c:pt idx="100">
                  <c:v>7</c:v>
                </c:pt>
                <c:pt idx="101">
                  <c:v>12</c:v>
                </c:pt>
                <c:pt idx="102">
                  <c:v>9</c:v>
                </c:pt>
                <c:pt idx="103">
                  <c:v>10</c:v>
                </c:pt>
                <c:pt idx="104">
                  <c:v>11</c:v>
                </c:pt>
                <c:pt idx="105">
                  <c:v>13</c:v>
                </c:pt>
                <c:pt idx="106">
                  <c:v>11</c:v>
                </c:pt>
                <c:pt idx="107">
                  <c:v>9</c:v>
                </c:pt>
                <c:pt idx="108">
                  <c:v>11</c:v>
                </c:pt>
                <c:pt idx="109">
                  <c:v>12</c:v>
                </c:pt>
                <c:pt idx="110">
                  <c:v>14</c:v>
                </c:pt>
                <c:pt idx="111">
                  <c:v>11</c:v>
                </c:pt>
                <c:pt idx="112">
                  <c:v>9</c:v>
                </c:pt>
                <c:pt idx="113">
                  <c:v>8</c:v>
                </c:pt>
                <c:pt idx="114">
                  <c:v>12</c:v>
                </c:pt>
                <c:pt idx="115">
                  <c:v>13</c:v>
                </c:pt>
                <c:pt idx="116">
                  <c:v>10</c:v>
                </c:pt>
                <c:pt idx="117">
                  <c:v>11</c:v>
                </c:pt>
                <c:pt idx="118">
                  <c:v>8</c:v>
                </c:pt>
                <c:pt idx="119">
                  <c:v>14</c:v>
                </c:pt>
                <c:pt idx="120">
                  <c:v>10</c:v>
                </c:pt>
                <c:pt idx="121">
                  <c:v>10</c:v>
                </c:pt>
                <c:pt idx="122">
                  <c:v>8</c:v>
                </c:pt>
                <c:pt idx="123">
                  <c:v>9</c:v>
                </c:pt>
                <c:pt idx="124">
                  <c:v>11</c:v>
                </c:pt>
                <c:pt idx="125">
                  <c:v>9</c:v>
                </c:pt>
                <c:pt idx="126">
                  <c:v>12</c:v>
                </c:pt>
                <c:pt idx="127">
                  <c:v>12</c:v>
                </c:pt>
                <c:pt idx="128">
                  <c:v>7</c:v>
                </c:pt>
                <c:pt idx="129">
                  <c:v>10</c:v>
                </c:pt>
                <c:pt idx="130">
                  <c:v>9</c:v>
                </c:pt>
                <c:pt idx="131">
                  <c:v>14</c:v>
                </c:pt>
                <c:pt idx="132">
                  <c:v>11</c:v>
                </c:pt>
                <c:pt idx="133">
                  <c:v>11</c:v>
                </c:pt>
                <c:pt idx="134">
                  <c:v>11</c:v>
                </c:pt>
                <c:pt idx="135">
                  <c:v>9</c:v>
                </c:pt>
                <c:pt idx="136">
                  <c:v>10</c:v>
                </c:pt>
                <c:pt idx="137">
                  <c:v>8</c:v>
                </c:pt>
                <c:pt idx="138">
                  <c:v>12</c:v>
                </c:pt>
                <c:pt idx="139">
                  <c:v>11</c:v>
                </c:pt>
                <c:pt idx="140">
                  <c:v>10</c:v>
                </c:pt>
                <c:pt idx="141">
                  <c:v>8</c:v>
                </c:pt>
                <c:pt idx="142">
                  <c:v>7</c:v>
                </c:pt>
                <c:pt idx="143">
                  <c:v>9</c:v>
                </c:pt>
                <c:pt idx="144">
                  <c:v>9</c:v>
                </c:pt>
                <c:pt idx="145">
                  <c:v>11</c:v>
                </c:pt>
                <c:pt idx="146">
                  <c:v>9</c:v>
                </c:pt>
                <c:pt idx="147">
                  <c:v>8</c:v>
                </c:pt>
                <c:pt idx="148">
                  <c:v>8</c:v>
                </c:pt>
                <c:pt idx="149">
                  <c:v>7</c:v>
                </c:pt>
              </c:numCache>
            </c:numRef>
          </c:xVal>
          <c:yVal>
            <c:numRef>
              <c:f>X!$Y$2:$Y$151</c:f>
              <c:numCache>
                <c:formatCode>General</c:formatCode>
                <c:ptCount val="150"/>
                <c:pt idx="0">
                  <c:v>7.5378101460527855E-2</c:v>
                </c:pt>
                <c:pt idx="1">
                  <c:v>7.8479853069739536E-2</c:v>
                </c:pt>
                <c:pt idx="2">
                  <c:v>9.9278110835958389E-2</c:v>
                </c:pt>
                <c:pt idx="3">
                  <c:v>0.10377498438333432</c:v>
                </c:pt>
                <c:pt idx="4">
                  <c:v>0.15415731291566162</c:v>
                </c:pt>
                <c:pt idx="5">
                  <c:v>0.1603957749748344</c:v>
                </c:pt>
                <c:pt idx="6">
                  <c:v>0.16138944356576437</c:v>
                </c:pt>
                <c:pt idx="7">
                  <c:v>0.16394702264468444</c:v>
                </c:pt>
                <c:pt idx="8">
                  <c:v>0.16467811611715136</c:v>
                </c:pt>
                <c:pt idx="9">
                  <c:v>0.17089875280743561</c:v>
                </c:pt>
                <c:pt idx="10">
                  <c:v>0.17745027636957769</c:v>
                </c:pt>
                <c:pt idx="11">
                  <c:v>0.18757943224469548</c:v>
                </c:pt>
                <c:pt idx="12">
                  <c:v>0.1889113078899739</c:v>
                </c:pt>
                <c:pt idx="13">
                  <c:v>0.19013108228268413</c:v>
                </c:pt>
                <c:pt idx="14">
                  <c:v>0.19965756545831506</c:v>
                </c:pt>
                <c:pt idx="15">
                  <c:v>0.20393884199750981</c:v>
                </c:pt>
                <c:pt idx="16">
                  <c:v>0.23152318117821796</c:v>
                </c:pt>
                <c:pt idx="17">
                  <c:v>0.23693046484779781</c:v>
                </c:pt>
                <c:pt idx="18">
                  <c:v>0.24433861928844622</c:v>
                </c:pt>
                <c:pt idx="19">
                  <c:v>0.24565058897349773</c:v>
                </c:pt>
                <c:pt idx="20">
                  <c:v>0.25346732815955836</c:v>
                </c:pt>
                <c:pt idx="21">
                  <c:v>0.25570689957006465</c:v>
                </c:pt>
                <c:pt idx="22">
                  <c:v>0.25644343522011792</c:v>
                </c:pt>
                <c:pt idx="23">
                  <c:v>0.25895018268500875</c:v>
                </c:pt>
                <c:pt idx="24">
                  <c:v>0.26277341391173903</c:v>
                </c:pt>
                <c:pt idx="25">
                  <c:v>0.26452703936912547</c:v>
                </c:pt>
                <c:pt idx="26">
                  <c:v>0.26457915923005387</c:v>
                </c:pt>
                <c:pt idx="27">
                  <c:v>0.26596719612474401</c:v>
                </c:pt>
                <c:pt idx="28">
                  <c:v>0.27827457182022275</c:v>
                </c:pt>
                <c:pt idx="29">
                  <c:v>0.27914650788438772</c:v>
                </c:pt>
                <c:pt idx="30">
                  <c:v>0.27928071552001582</c:v>
                </c:pt>
                <c:pt idx="31">
                  <c:v>0.28032026318223363</c:v>
                </c:pt>
                <c:pt idx="32">
                  <c:v>0.28665256691033919</c:v>
                </c:pt>
                <c:pt idx="33">
                  <c:v>0.3089222601445144</c:v>
                </c:pt>
                <c:pt idx="34">
                  <c:v>0.30984051684389613</c:v>
                </c:pt>
                <c:pt idx="35">
                  <c:v>0.3116437238486211</c:v>
                </c:pt>
                <c:pt idx="36">
                  <c:v>0.31439820442750693</c:v>
                </c:pt>
                <c:pt idx="37">
                  <c:v>0.31486710756017183</c:v>
                </c:pt>
                <c:pt idx="38">
                  <c:v>0.32180504394990417</c:v>
                </c:pt>
                <c:pt idx="39">
                  <c:v>0.32594350121371263</c:v>
                </c:pt>
                <c:pt idx="40">
                  <c:v>0.3273193389256393</c:v>
                </c:pt>
                <c:pt idx="41">
                  <c:v>0.32900983999987504</c:v>
                </c:pt>
                <c:pt idx="42">
                  <c:v>0.33801897583439339</c:v>
                </c:pt>
                <c:pt idx="43">
                  <c:v>0.33932266250706211</c:v>
                </c:pt>
                <c:pt idx="44">
                  <c:v>0.34026007956100585</c:v>
                </c:pt>
                <c:pt idx="45">
                  <c:v>0.34427533797878845</c:v>
                </c:pt>
                <c:pt idx="46">
                  <c:v>0.35605704184243464</c:v>
                </c:pt>
                <c:pt idx="47">
                  <c:v>0.35667789470895828</c:v>
                </c:pt>
                <c:pt idx="48">
                  <c:v>0.35898487659078271</c:v>
                </c:pt>
                <c:pt idx="49">
                  <c:v>0.36057623374912939</c:v>
                </c:pt>
                <c:pt idx="50">
                  <c:v>0.36151967689410308</c:v>
                </c:pt>
                <c:pt idx="51">
                  <c:v>0.36425970776519584</c:v>
                </c:pt>
                <c:pt idx="52">
                  <c:v>0.36702229751310844</c:v>
                </c:pt>
                <c:pt idx="53">
                  <c:v>0.36733592862035086</c:v>
                </c:pt>
                <c:pt idx="54">
                  <c:v>0.36868838736195686</c:v>
                </c:pt>
                <c:pt idx="55">
                  <c:v>0.37764537514018481</c:v>
                </c:pt>
                <c:pt idx="56">
                  <c:v>0.37850394052172937</c:v>
                </c:pt>
                <c:pt idx="57">
                  <c:v>0.37910509870026465</c:v>
                </c:pt>
                <c:pt idx="58">
                  <c:v>0.37970220231390001</c:v>
                </c:pt>
                <c:pt idx="59">
                  <c:v>0.38565693297657611</c:v>
                </c:pt>
                <c:pt idx="60">
                  <c:v>0.39016835779711279</c:v>
                </c:pt>
                <c:pt idx="61">
                  <c:v>0.39898909189875298</c:v>
                </c:pt>
                <c:pt idx="62">
                  <c:v>0.39946965019642877</c:v>
                </c:pt>
                <c:pt idx="63">
                  <c:v>0.40726032426604397</c:v>
                </c:pt>
                <c:pt idx="64">
                  <c:v>0.40764459823757276</c:v>
                </c:pt>
                <c:pt idx="65">
                  <c:v>0.41080534891330756</c:v>
                </c:pt>
                <c:pt idx="66">
                  <c:v>0.41208433103728775</c:v>
                </c:pt>
                <c:pt idx="67">
                  <c:v>0.41704443373703637</c:v>
                </c:pt>
                <c:pt idx="68">
                  <c:v>0.41820252298948096</c:v>
                </c:pt>
                <c:pt idx="69">
                  <c:v>0.4206028111878008</c:v>
                </c:pt>
                <c:pt idx="70">
                  <c:v>0.42107308531571319</c:v>
                </c:pt>
                <c:pt idx="71">
                  <c:v>0.42315613388345236</c:v>
                </c:pt>
                <c:pt idx="72">
                  <c:v>0.42498150862102912</c:v>
                </c:pt>
                <c:pt idx="73">
                  <c:v>0.43348848859761463</c:v>
                </c:pt>
                <c:pt idx="74">
                  <c:v>0.44070870712512433</c:v>
                </c:pt>
                <c:pt idx="75">
                  <c:v>0.45150403475860301</c:v>
                </c:pt>
                <c:pt idx="76">
                  <c:v>0.45196046657854128</c:v>
                </c:pt>
                <c:pt idx="77">
                  <c:v>0.45537125551940016</c:v>
                </c:pt>
                <c:pt idx="78">
                  <c:v>0.46980423453803394</c:v>
                </c:pt>
                <c:pt idx="79">
                  <c:v>0.47218868508601441</c:v>
                </c:pt>
                <c:pt idx="80">
                  <c:v>0.47808111890843885</c:v>
                </c:pt>
                <c:pt idx="81">
                  <c:v>0.47818849008973369</c:v>
                </c:pt>
                <c:pt idx="82">
                  <c:v>0.48852269344758625</c:v>
                </c:pt>
                <c:pt idx="83">
                  <c:v>0.48898060363517792</c:v>
                </c:pt>
                <c:pt idx="84">
                  <c:v>0.50226448600554885</c:v>
                </c:pt>
                <c:pt idx="85">
                  <c:v>0.50361650459984286</c:v>
                </c:pt>
                <c:pt idx="86">
                  <c:v>0.50667757137854585</c:v>
                </c:pt>
                <c:pt idx="87">
                  <c:v>0.51125796847544269</c:v>
                </c:pt>
                <c:pt idx="88">
                  <c:v>0.51300097530827238</c:v>
                </c:pt>
                <c:pt idx="89">
                  <c:v>0.51456521678080802</c:v>
                </c:pt>
                <c:pt idx="90">
                  <c:v>0.51959564098089417</c:v>
                </c:pt>
                <c:pt idx="91">
                  <c:v>0.52141172850252382</c:v>
                </c:pt>
                <c:pt idx="92">
                  <c:v>0.52863694591796073</c:v>
                </c:pt>
                <c:pt idx="93">
                  <c:v>0.53139436635774362</c:v>
                </c:pt>
                <c:pt idx="94">
                  <c:v>0.53250798928253029</c:v>
                </c:pt>
                <c:pt idx="95">
                  <c:v>0.53387918964063374</c:v>
                </c:pt>
                <c:pt idx="96">
                  <c:v>0.53671336521831514</c:v>
                </c:pt>
                <c:pt idx="97">
                  <c:v>0.53892484706048271</c:v>
                </c:pt>
                <c:pt idx="98">
                  <c:v>0.54101719772734291</c:v>
                </c:pt>
                <c:pt idx="99">
                  <c:v>0.54739193747713388</c:v>
                </c:pt>
                <c:pt idx="100">
                  <c:v>0.55145521732332858</c:v>
                </c:pt>
                <c:pt idx="101">
                  <c:v>0.55289980665895111</c:v>
                </c:pt>
                <c:pt idx="102">
                  <c:v>0.56162773462233362</c:v>
                </c:pt>
                <c:pt idx="103">
                  <c:v>0.56191406418587786</c:v>
                </c:pt>
                <c:pt idx="104">
                  <c:v>0.56203840035617414</c:v>
                </c:pt>
                <c:pt idx="105">
                  <c:v>0.5821210117174942</c:v>
                </c:pt>
                <c:pt idx="106">
                  <c:v>0.58318699654547435</c:v>
                </c:pt>
                <c:pt idx="107">
                  <c:v>0.59256508201960023</c:v>
                </c:pt>
                <c:pt idx="108">
                  <c:v>0.5942403994849198</c:v>
                </c:pt>
                <c:pt idx="109">
                  <c:v>0.59779507046758917</c:v>
                </c:pt>
                <c:pt idx="110">
                  <c:v>0.60058685283971136</c:v>
                </c:pt>
                <c:pt idx="111">
                  <c:v>0.60120030117410161</c:v>
                </c:pt>
                <c:pt idx="112">
                  <c:v>0.60153123493957361</c:v>
                </c:pt>
                <c:pt idx="113">
                  <c:v>0.60305612998677705</c:v>
                </c:pt>
                <c:pt idx="114">
                  <c:v>0.61311652584969811</c:v>
                </c:pt>
                <c:pt idx="115">
                  <c:v>0.62206844210777545</c:v>
                </c:pt>
                <c:pt idx="116">
                  <c:v>0.62236150398166756</c:v>
                </c:pt>
                <c:pt idx="117">
                  <c:v>0.62794960895635654</c:v>
                </c:pt>
                <c:pt idx="118">
                  <c:v>0.63261156973568422</c:v>
                </c:pt>
                <c:pt idx="119">
                  <c:v>0.63529252512017442</c:v>
                </c:pt>
                <c:pt idx="120">
                  <c:v>0.6456775902507681</c:v>
                </c:pt>
                <c:pt idx="121">
                  <c:v>0.65410173993356158</c:v>
                </c:pt>
                <c:pt idx="122">
                  <c:v>0.66110414112964744</c:v>
                </c:pt>
                <c:pt idx="123">
                  <c:v>0.66387242557513981</c:v>
                </c:pt>
                <c:pt idx="124">
                  <c:v>0.66708140843358388</c:v>
                </c:pt>
                <c:pt idx="125">
                  <c:v>0.67380086779032533</c:v>
                </c:pt>
                <c:pt idx="126">
                  <c:v>0.68080307083479163</c:v>
                </c:pt>
                <c:pt idx="127">
                  <c:v>0.68136396007582656</c:v>
                </c:pt>
                <c:pt idx="128">
                  <c:v>0.69891608623658996</c:v>
                </c:pt>
                <c:pt idx="129">
                  <c:v>0.70124230831395185</c:v>
                </c:pt>
                <c:pt idx="130">
                  <c:v>0.70379149839552879</c:v>
                </c:pt>
                <c:pt idx="131">
                  <c:v>0.71759039917154921</c:v>
                </c:pt>
                <c:pt idx="132">
                  <c:v>0.71780519275373422</c:v>
                </c:pt>
                <c:pt idx="133">
                  <c:v>0.72343192152793023</c:v>
                </c:pt>
                <c:pt idx="134">
                  <c:v>0.72411968975796337</c:v>
                </c:pt>
                <c:pt idx="135">
                  <c:v>0.72520663159671306</c:v>
                </c:pt>
                <c:pt idx="136">
                  <c:v>0.72574130251946878</c:v>
                </c:pt>
                <c:pt idx="137">
                  <c:v>0.74613497588333422</c:v>
                </c:pt>
                <c:pt idx="138">
                  <c:v>0.75144589299980857</c:v>
                </c:pt>
                <c:pt idx="139">
                  <c:v>0.78160302714111518</c:v>
                </c:pt>
                <c:pt idx="140">
                  <c:v>0.78463571848635827</c:v>
                </c:pt>
                <c:pt idx="141">
                  <c:v>0.78633788991954445</c:v>
                </c:pt>
                <c:pt idx="142">
                  <c:v>0.78814933581229896</c:v>
                </c:pt>
                <c:pt idx="143">
                  <c:v>0.79543077892856506</c:v>
                </c:pt>
                <c:pt idx="144">
                  <c:v>0.82367858072060107</c:v>
                </c:pt>
                <c:pt idx="145">
                  <c:v>0.8354132712821577</c:v>
                </c:pt>
                <c:pt idx="146">
                  <c:v>0.90053300110725376</c:v>
                </c:pt>
                <c:pt idx="147">
                  <c:v>0.91417002097715105</c:v>
                </c:pt>
                <c:pt idx="148">
                  <c:v>0.95429370944575487</c:v>
                </c:pt>
                <c:pt idx="149">
                  <c:v>0.96388679483258399</c:v>
                </c:pt>
              </c:numCache>
            </c:numRef>
          </c:yVal>
          <c:smooth val="0"/>
          <c:extLst>
            <c:ext xmlns:c16="http://schemas.microsoft.com/office/drawing/2014/chart" uri="{C3380CC4-5D6E-409C-BE32-E72D297353CC}">
              <c16:uniqueId val="{00000000-42D4-4472-9229-EF4591CC6ED7}"/>
            </c:ext>
          </c:extLst>
        </c:ser>
        <c:dLbls>
          <c:showLegendKey val="0"/>
          <c:showVal val="0"/>
          <c:showCatName val="0"/>
          <c:showSerName val="0"/>
          <c:showPercent val="0"/>
          <c:showBubbleSize val="0"/>
        </c:dLbls>
        <c:axId val="1374401104"/>
        <c:axId val="1374408592"/>
      </c:scatterChart>
      <c:valAx>
        <c:axId val="1374401104"/>
        <c:scaling>
          <c:orientation val="minMax"/>
          <c:min val="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408592"/>
        <c:crosses val="autoZero"/>
        <c:crossBetween val="midCat"/>
      </c:valAx>
      <c:valAx>
        <c:axId val="1374408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4011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a:t>
            </a:r>
            <a:r>
              <a:rPr lang="en-US" baseline="0"/>
              <a:t> -&gt; share NF</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X!$D$1</c:f>
              <c:strCache>
                <c:ptCount val="1"/>
                <c:pt idx="0">
                  <c:v>eta</c:v>
                </c:pt>
              </c:strCache>
            </c:strRef>
          </c:tx>
          <c:spPr>
            <a:noFill/>
            <a:ln>
              <a:solidFill>
                <a:schemeClr val="tx1"/>
              </a:solidFill>
            </a:ln>
            <a:effectLst/>
          </c:spPr>
          <c:invertIfNegative val="0"/>
          <c:xVal>
            <c:numRef>
              <c:f>X!$B$2:$B$151</c:f>
              <c:numCache>
                <c:formatCode>General</c:formatCode>
                <c:ptCount val="150"/>
                <c:pt idx="0">
                  <c:v>4</c:v>
                </c:pt>
                <c:pt idx="1">
                  <c:v>4</c:v>
                </c:pt>
                <c:pt idx="2">
                  <c:v>5</c:v>
                </c:pt>
                <c:pt idx="3">
                  <c:v>5</c:v>
                </c:pt>
                <c:pt idx="4">
                  <c:v>3</c:v>
                </c:pt>
                <c:pt idx="5">
                  <c:v>4</c:v>
                </c:pt>
                <c:pt idx="6">
                  <c:v>6</c:v>
                </c:pt>
                <c:pt idx="7">
                  <c:v>4</c:v>
                </c:pt>
                <c:pt idx="8">
                  <c:v>4</c:v>
                </c:pt>
                <c:pt idx="9">
                  <c:v>4</c:v>
                </c:pt>
                <c:pt idx="10">
                  <c:v>3</c:v>
                </c:pt>
                <c:pt idx="11">
                  <c:v>4</c:v>
                </c:pt>
                <c:pt idx="12">
                  <c:v>4</c:v>
                </c:pt>
                <c:pt idx="13">
                  <c:v>4</c:v>
                </c:pt>
                <c:pt idx="14">
                  <c:v>4</c:v>
                </c:pt>
                <c:pt idx="15">
                  <c:v>4</c:v>
                </c:pt>
                <c:pt idx="16">
                  <c:v>5</c:v>
                </c:pt>
                <c:pt idx="17">
                  <c:v>4</c:v>
                </c:pt>
                <c:pt idx="18">
                  <c:v>5</c:v>
                </c:pt>
                <c:pt idx="19">
                  <c:v>5</c:v>
                </c:pt>
                <c:pt idx="20">
                  <c:v>4</c:v>
                </c:pt>
                <c:pt idx="21">
                  <c:v>4</c:v>
                </c:pt>
                <c:pt idx="22">
                  <c:v>5</c:v>
                </c:pt>
                <c:pt idx="23">
                  <c:v>4</c:v>
                </c:pt>
                <c:pt idx="24">
                  <c:v>7</c:v>
                </c:pt>
                <c:pt idx="25">
                  <c:v>5</c:v>
                </c:pt>
                <c:pt idx="26">
                  <c:v>7</c:v>
                </c:pt>
                <c:pt idx="27">
                  <c:v>5</c:v>
                </c:pt>
                <c:pt idx="28">
                  <c:v>4</c:v>
                </c:pt>
                <c:pt idx="29">
                  <c:v>5</c:v>
                </c:pt>
                <c:pt idx="30">
                  <c:v>4</c:v>
                </c:pt>
                <c:pt idx="31">
                  <c:v>4</c:v>
                </c:pt>
                <c:pt idx="32">
                  <c:v>5</c:v>
                </c:pt>
                <c:pt idx="33">
                  <c:v>4</c:v>
                </c:pt>
                <c:pt idx="34">
                  <c:v>4</c:v>
                </c:pt>
                <c:pt idx="35">
                  <c:v>4</c:v>
                </c:pt>
                <c:pt idx="36">
                  <c:v>4</c:v>
                </c:pt>
                <c:pt idx="37">
                  <c:v>5</c:v>
                </c:pt>
                <c:pt idx="38">
                  <c:v>4</c:v>
                </c:pt>
                <c:pt idx="39">
                  <c:v>5</c:v>
                </c:pt>
                <c:pt idx="40">
                  <c:v>3</c:v>
                </c:pt>
                <c:pt idx="41">
                  <c:v>4</c:v>
                </c:pt>
                <c:pt idx="42">
                  <c:v>5</c:v>
                </c:pt>
                <c:pt idx="43">
                  <c:v>5</c:v>
                </c:pt>
                <c:pt idx="44">
                  <c:v>6</c:v>
                </c:pt>
                <c:pt idx="45">
                  <c:v>6</c:v>
                </c:pt>
                <c:pt idx="46">
                  <c:v>3</c:v>
                </c:pt>
                <c:pt idx="47">
                  <c:v>3</c:v>
                </c:pt>
                <c:pt idx="48">
                  <c:v>6</c:v>
                </c:pt>
                <c:pt idx="49">
                  <c:v>4</c:v>
                </c:pt>
                <c:pt idx="50">
                  <c:v>5</c:v>
                </c:pt>
                <c:pt idx="51">
                  <c:v>3</c:v>
                </c:pt>
                <c:pt idx="52">
                  <c:v>6</c:v>
                </c:pt>
                <c:pt idx="53">
                  <c:v>5</c:v>
                </c:pt>
                <c:pt idx="54">
                  <c:v>5</c:v>
                </c:pt>
                <c:pt idx="55">
                  <c:v>5</c:v>
                </c:pt>
                <c:pt idx="56">
                  <c:v>3</c:v>
                </c:pt>
                <c:pt idx="57">
                  <c:v>6</c:v>
                </c:pt>
                <c:pt idx="58">
                  <c:v>4</c:v>
                </c:pt>
                <c:pt idx="59">
                  <c:v>6</c:v>
                </c:pt>
                <c:pt idx="60">
                  <c:v>3</c:v>
                </c:pt>
                <c:pt idx="61">
                  <c:v>5</c:v>
                </c:pt>
                <c:pt idx="62">
                  <c:v>5</c:v>
                </c:pt>
                <c:pt idx="63">
                  <c:v>5</c:v>
                </c:pt>
                <c:pt idx="64">
                  <c:v>3</c:v>
                </c:pt>
                <c:pt idx="65">
                  <c:v>4</c:v>
                </c:pt>
                <c:pt idx="66">
                  <c:v>3</c:v>
                </c:pt>
                <c:pt idx="67">
                  <c:v>3</c:v>
                </c:pt>
                <c:pt idx="68">
                  <c:v>5</c:v>
                </c:pt>
                <c:pt idx="69">
                  <c:v>3</c:v>
                </c:pt>
                <c:pt idx="70">
                  <c:v>4</c:v>
                </c:pt>
                <c:pt idx="71">
                  <c:v>5</c:v>
                </c:pt>
                <c:pt idx="72">
                  <c:v>6</c:v>
                </c:pt>
                <c:pt idx="73">
                  <c:v>6</c:v>
                </c:pt>
                <c:pt idx="74">
                  <c:v>6</c:v>
                </c:pt>
                <c:pt idx="75">
                  <c:v>6</c:v>
                </c:pt>
                <c:pt idx="76">
                  <c:v>5</c:v>
                </c:pt>
                <c:pt idx="77">
                  <c:v>4</c:v>
                </c:pt>
                <c:pt idx="78">
                  <c:v>6</c:v>
                </c:pt>
                <c:pt idx="79">
                  <c:v>7</c:v>
                </c:pt>
                <c:pt idx="80">
                  <c:v>5</c:v>
                </c:pt>
                <c:pt idx="81">
                  <c:v>6</c:v>
                </c:pt>
                <c:pt idx="82">
                  <c:v>7</c:v>
                </c:pt>
                <c:pt idx="83">
                  <c:v>6</c:v>
                </c:pt>
                <c:pt idx="84">
                  <c:v>4</c:v>
                </c:pt>
                <c:pt idx="85">
                  <c:v>7</c:v>
                </c:pt>
                <c:pt idx="86">
                  <c:v>6</c:v>
                </c:pt>
                <c:pt idx="87">
                  <c:v>7</c:v>
                </c:pt>
                <c:pt idx="88">
                  <c:v>3</c:v>
                </c:pt>
                <c:pt idx="89">
                  <c:v>6</c:v>
                </c:pt>
                <c:pt idx="90">
                  <c:v>3</c:v>
                </c:pt>
                <c:pt idx="91">
                  <c:v>5</c:v>
                </c:pt>
                <c:pt idx="92">
                  <c:v>3</c:v>
                </c:pt>
                <c:pt idx="93">
                  <c:v>7</c:v>
                </c:pt>
                <c:pt idx="94">
                  <c:v>6</c:v>
                </c:pt>
                <c:pt idx="95">
                  <c:v>7</c:v>
                </c:pt>
                <c:pt idx="96">
                  <c:v>7</c:v>
                </c:pt>
                <c:pt idx="97">
                  <c:v>5</c:v>
                </c:pt>
                <c:pt idx="98">
                  <c:v>3</c:v>
                </c:pt>
                <c:pt idx="99">
                  <c:v>6</c:v>
                </c:pt>
                <c:pt idx="100">
                  <c:v>7</c:v>
                </c:pt>
                <c:pt idx="101">
                  <c:v>5</c:v>
                </c:pt>
                <c:pt idx="102">
                  <c:v>6</c:v>
                </c:pt>
                <c:pt idx="103">
                  <c:v>3</c:v>
                </c:pt>
                <c:pt idx="104">
                  <c:v>6</c:v>
                </c:pt>
                <c:pt idx="105">
                  <c:v>3</c:v>
                </c:pt>
                <c:pt idx="106">
                  <c:v>6</c:v>
                </c:pt>
                <c:pt idx="107">
                  <c:v>7</c:v>
                </c:pt>
                <c:pt idx="108">
                  <c:v>3</c:v>
                </c:pt>
                <c:pt idx="109">
                  <c:v>3</c:v>
                </c:pt>
                <c:pt idx="110">
                  <c:v>3</c:v>
                </c:pt>
                <c:pt idx="111">
                  <c:v>5</c:v>
                </c:pt>
                <c:pt idx="112">
                  <c:v>7</c:v>
                </c:pt>
                <c:pt idx="113">
                  <c:v>6</c:v>
                </c:pt>
                <c:pt idx="114">
                  <c:v>6</c:v>
                </c:pt>
                <c:pt idx="115">
                  <c:v>3</c:v>
                </c:pt>
                <c:pt idx="116">
                  <c:v>3</c:v>
                </c:pt>
                <c:pt idx="117">
                  <c:v>7</c:v>
                </c:pt>
                <c:pt idx="118">
                  <c:v>7</c:v>
                </c:pt>
                <c:pt idx="119">
                  <c:v>3</c:v>
                </c:pt>
                <c:pt idx="120">
                  <c:v>7</c:v>
                </c:pt>
                <c:pt idx="121">
                  <c:v>6</c:v>
                </c:pt>
                <c:pt idx="122">
                  <c:v>6</c:v>
                </c:pt>
                <c:pt idx="123">
                  <c:v>7</c:v>
                </c:pt>
                <c:pt idx="124">
                  <c:v>3</c:v>
                </c:pt>
                <c:pt idx="125">
                  <c:v>6</c:v>
                </c:pt>
                <c:pt idx="126">
                  <c:v>3</c:v>
                </c:pt>
                <c:pt idx="127">
                  <c:v>6</c:v>
                </c:pt>
                <c:pt idx="128">
                  <c:v>7</c:v>
                </c:pt>
                <c:pt idx="129">
                  <c:v>7</c:v>
                </c:pt>
                <c:pt idx="130">
                  <c:v>7</c:v>
                </c:pt>
                <c:pt idx="131">
                  <c:v>3</c:v>
                </c:pt>
                <c:pt idx="132">
                  <c:v>7</c:v>
                </c:pt>
                <c:pt idx="133">
                  <c:v>7</c:v>
                </c:pt>
                <c:pt idx="134">
                  <c:v>6</c:v>
                </c:pt>
                <c:pt idx="135">
                  <c:v>5</c:v>
                </c:pt>
                <c:pt idx="136">
                  <c:v>3</c:v>
                </c:pt>
                <c:pt idx="137">
                  <c:v>7</c:v>
                </c:pt>
                <c:pt idx="138">
                  <c:v>3</c:v>
                </c:pt>
                <c:pt idx="139">
                  <c:v>3</c:v>
                </c:pt>
                <c:pt idx="140">
                  <c:v>7</c:v>
                </c:pt>
                <c:pt idx="141">
                  <c:v>7</c:v>
                </c:pt>
                <c:pt idx="142">
                  <c:v>7</c:v>
                </c:pt>
                <c:pt idx="143">
                  <c:v>7</c:v>
                </c:pt>
                <c:pt idx="144">
                  <c:v>6</c:v>
                </c:pt>
                <c:pt idx="145">
                  <c:v>7</c:v>
                </c:pt>
                <c:pt idx="146">
                  <c:v>7</c:v>
                </c:pt>
                <c:pt idx="147">
                  <c:v>6</c:v>
                </c:pt>
                <c:pt idx="148">
                  <c:v>7</c:v>
                </c:pt>
                <c:pt idx="149">
                  <c:v>7</c:v>
                </c:pt>
              </c:numCache>
            </c:numRef>
          </c:xVal>
          <c:yVal>
            <c:numRef>
              <c:f>X!$D$2:$D$151</c:f>
              <c:numCache>
                <c:formatCode>General</c:formatCode>
                <c:ptCount val="150"/>
                <c:pt idx="0">
                  <c:v>0.95</c:v>
                </c:pt>
                <c:pt idx="1">
                  <c:v>0.95</c:v>
                </c:pt>
                <c:pt idx="2">
                  <c:v>0.95</c:v>
                </c:pt>
                <c:pt idx="3">
                  <c:v>0.95</c:v>
                </c:pt>
                <c:pt idx="4">
                  <c:v>0.95</c:v>
                </c:pt>
                <c:pt idx="5">
                  <c:v>0.8</c:v>
                </c:pt>
                <c:pt idx="6">
                  <c:v>0.95</c:v>
                </c:pt>
                <c:pt idx="7">
                  <c:v>0.8</c:v>
                </c:pt>
                <c:pt idx="8">
                  <c:v>0.95</c:v>
                </c:pt>
                <c:pt idx="9">
                  <c:v>0.95</c:v>
                </c:pt>
                <c:pt idx="10">
                  <c:v>0.95</c:v>
                </c:pt>
                <c:pt idx="11">
                  <c:v>0.8</c:v>
                </c:pt>
                <c:pt idx="12">
                  <c:v>0.8</c:v>
                </c:pt>
                <c:pt idx="13">
                  <c:v>0.65</c:v>
                </c:pt>
                <c:pt idx="14">
                  <c:v>0.65</c:v>
                </c:pt>
                <c:pt idx="15">
                  <c:v>0.8</c:v>
                </c:pt>
                <c:pt idx="16">
                  <c:v>0.95</c:v>
                </c:pt>
                <c:pt idx="17">
                  <c:v>0.95</c:v>
                </c:pt>
                <c:pt idx="18">
                  <c:v>0.8</c:v>
                </c:pt>
                <c:pt idx="19">
                  <c:v>0.8</c:v>
                </c:pt>
                <c:pt idx="20">
                  <c:v>0.65</c:v>
                </c:pt>
                <c:pt idx="21">
                  <c:v>0.65</c:v>
                </c:pt>
                <c:pt idx="22">
                  <c:v>0.8</c:v>
                </c:pt>
                <c:pt idx="23">
                  <c:v>0.5</c:v>
                </c:pt>
                <c:pt idx="24">
                  <c:v>0.95</c:v>
                </c:pt>
                <c:pt idx="25">
                  <c:v>0.65</c:v>
                </c:pt>
                <c:pt idx="26">
                  <c:v>0.95</c:v>
                </c:pt>
                <c:pt idx="27">
                  <c:v>0.65</c:v>
                </c:pt>
                <c:pt idx="28">
                  <c:v>0.65</c:v>
                </c:pt>
                <c:pt idx="29">
                  <c:v>0.8</c:v>
                </c:pt>
                <c:pt idx="30">
                  <c:v>0.5</c:v>
                </c:pt>
                <c:pt idx="31">
                  <c:v>0.35</c:v>
                </c:pt>
                <c:pt idx="32">
                  <c:v>0.8</c:v>
                </c:pt>
                <c:pt idx="33">
                  <c:v>0.5</c:v>
                </c:pt>
                <c:pt idx="34">
                  <c:v>0.5</c:v>
                </c:pt>
                <c:pt idx="35">
                  <c:v>0.2</c:v>
                </c:pt>
                <c:pt idx="36">
                  <c:v>0.35</c:v>
                </c:pt>
                <c:pt idx="37">
                  <c:v>0.95</c:v>
                </c:pt>
                <c:pt idx="38">
                  <c:v>0.5</c:v>
                </c:pt>
                <c:pt idx="39">
                  <c:v>0.95</c:v>
                </c:pt>
                <c:pt idx="40">
                  <c:v>0.95</c:v>
                </c:pt>
                <c:pt idx="41">
                  <c:v>0.35</c:v>
                </c:pt>
                <c:pt idx="42">
                  <c:v>0.65</c:v>
                </c:pt>
                <c:pt idx="43">
                  <c:v>0.5</c:v>
                </c:pt>
                <c:pt idx="44">
                  <c:v>0.95</c:v>
                </c:pt>
                <c:pt idx="45">
                  <c:v>0.95</c:v>
                </c:pt>
                <c:pt idx="46">
                  <c:v>0.95</c:v>
                </c:pt>
                <c:pt idx="47">
                  <c:v>0.8</c:v>
                </c:pt>
                <c:pt idx="48">
                  <c:v>0.8</c:v>
                </c:pt>
                <c:pt idx="49">
                  <c:v>0.35</c:v>
                </c:pt>
                <c:pt idx="50">
                  <c:v>0.5</c:v>
                </c:pt>
                <c:pt idx="51">
                  <c:v>0.8</c:v>
                </c:pt>
                <c:pt idx="52">
                  <c:v>0.8</c:v>
                </c:pt>
                <c:pt idx="53">
                  <c:v>0.35</c:v>
                </c:pt>
                <c:pt idx="54">
                  <c:v>0.65</c:v>
                </c:pt>
                <c:pt idx="55">
                  <c:v>0.65</c:v>
                </c:pt>
                <c:pt idx="56">
                  <c:v>0.8</c:v>
                </c:pt>
                <c:pt idx="57">
                  <c:v>0.8</c:v>
                </c:pt>
                <c:pt idx="58">
                  <c:v>0.35</c:v>
                </c:pt>
                <c:pt idx="59">
                  <c:v>0.65</c:v>
                </c:pt>
                <c:pt idx="60">
                  <c:v>0.8</c:v>
                </c:pt>
                <c:pt idx="61">
                  <c:v>0.2</c:v>
                </c:pt>
                <c:pt idx="62">
                  <c:v>0.5</c:v>
                </c:pt>
                <c:pt idx="63">
                  <c:v>0.35</c:v>
                </c:pt>
                <c:pt idx="64">
                  <c:v>0.8</c:v>
                </c:pt>
                <c:pt idx="65">
                  <c:v>0.2</c:v>
                </c:pt>
                <c:pt idx="66">
                  <c:v>0.95</c:v>
                </c:pt>
                <c:pt idx="67">
                  <c:v>0.65</c:v>
                </c:pt>
                <c:pt idx="68">
                  <c:v>0.5</c:v>
                </c:pt>
                <c:pt idx="69">
                  <c:v>0.65</c:v>
                </c:pt>
                <c:pt idx="70">
                  <c:v>0.2</c:v>
                </c:pt>
                <c:pt idx="71">
                  <c:v>0.5</c:v>
                </c:pt>
                <c:pt idx="72">
                  <c:v>0.8</c:v>
                </c:pt>
                <c:pt idx="73">
                  <c:v>0.8</c:v>
                </c:pt>
                <c:pt idx="74">
                  <c:v>0.95</c:v>
                </c:pt>
                <c:pt idx="75">
                  <c:v>0.95</c:v>
                </c:pt>
                <c:pt idx="76">
                  <c:v>0.35</c:v>
                </c:pt>
                <c:pt idx="77">
                  <c:v>0.2</c:v>
                </c:pt>
                <c:pt idx="78">
                  <c:v>0.65</c:v>
                </c:pt>
                <c:pt idx="79">
                  <c:v>0.95</c:v>
                </c:pt>
                <c:pt idx="80">
                  <c:v>0.35</c:v>
                </c:pt>
                <c:pt idx="81">
                  <c:v>0.65</c:v>
                </c:pt>
                <c:pt idx="82">
                  <c:v>0.95</c:v>
                </c:pt>
                <c:pt idx="83">
                  <c:v>0.5</c:v>
                </c:pt>
                <c:pt idx="84">
                  <c:v>0.2</c:v>
                </c:pt>
                <c:pt idx="85">
                  <c:v>0.8</c:v>
                </c:pt>
                <c:pt idx="86">
                  <c:v>0.65</c:v>
                </c:pt>
                <c:pt idx="87">
                  <c:v>0.8</c:v>
                </c:pt>
                <c:pt idx="88">
                  <c:v>0.65</c:v>
                </c:pt>
                <c:pt idx="89">
                  <c:v>0.65</c:v>
                </c:pt>
                <c:pt idx="90">
                  <c:v>0.65</c:v>
                </c:pt>
                <c:pt idx="91">
                  <c:v>0.2</c:v>
                </c:pt>
                <c:pt idx="92">
                  <c:v>0.65</c:v>
                </c:pt>
                <c:pt idx="93">
                  <c:v>0.8</c:v>
                </c:pt>
                <c:pt idx="94">
                  <c:v>0.5</c:v>
                </c:pt>
                <c:pt idx="95">
                  <c:v>0.8</c:v>
                </c:pt>
                <c:pt idx="96">
                  <c:v>0.65</c:v>
                </c:pt>
                <c:pt idx="97">
                  <c:v>0.35</c:v>
                </c:pt>
                <c:pt idx="98">
                  <c:v>0.5</c:v>
                </c:pt>
                <c:pt idx="99">
                  <c:v>0.35</c:v>
                </c:pt>
                <c:pt idx="100">
                  <c:v>0.65</c:v>
                </c:pt>
                <c:pt idx="101">
                  <c:v>0.2</c:v>
                </c:pt>
                <c:pt idx="102">
                  <c:v>0.5</c:v>
                </c:pt>
                <c:pt idx="103">
                  <c:v>0.5</c:v>
                </c:pt>
                <c:pt idx="104">
                  <c:v>0.5</c:v>
                </c:pt>
                <c:pt idx="105">
                  <c:v>0.35</c:v>
                </c:pt>
                <c:pt idx="106">
                  <c:v>0.35</c:v>
                </c:pt>
                <c:pt idx="107">
                  <c:v>0.95</c:v>
                </c:pt>
                <c:pt idx="108">
                  <c:v>0.5</c:v>
                </c:pt>
                <c:pt idx="109">
                  <c:v>0.5</c:v>
                </c:pt>
                <c:pt idx="110">
                  <c:v>0.5</c:v>
                </c:pt>
                <c:pt idx="111">
                  <c:v>0.2</c:v>
                </c:pt>
                <c:pt idx="112">
                  <c:v>0.8</c:v>
                </c:pt>
                <c:pt idx="113">
                  <c:v>0.5</c:v>
                </c:pt>
                <c:pt idx="114">
                  <c:v>0.35</c:v>
                </c:pt>
                <c:pt idx="115">
                  <c:v>0.2</c:v>
                </c:pt>
                <c:pt idx="116">
                  <c:v>0.35</c:v>
                </c:pt>
                <c:pt idx="117">
                  <c:v>0.65</c:v>
                </c:pt>
                <c:pt idx="118">
                  <c:v>0.65</c:v>
                </c:pt>
                <c:pt idx="119">
                  <c:v>0.35</c:v>
                </c:pt>
                <c:pt idx="120">
                  <c:v>0.5</c:v>
                </c:pt>
                <c:pt idx="121">
                  <c:v>0.2</c:v>
                </c:pt>
                <c:pt idx="122">
                  <c:v>0.35</c:v>
                </c:pt>
                <c:pt idx="123">
                  <c:v>0.65</c:v>
                </c:pt>
                <c:pt idx="124">
                  <c:v>0.35</c:v>
                </c:pt>
                <c:pt idx="125">
                  <c:v>0.35</c:v>
                </c:pt>
                <c:pt idx="126">
                  <c:v>0.35</c:v>
                </c:pt>
                <c:pt idx="127">
                  <c:v>0.2</c:v>
                </c:pt>
                <c:pt idx="128">
                  <c:v>0.5</c:v>
                </c:pt>
                <c:pt idx="129">
                  <c:v>0.35</c:v>
                </c:pt>
                <c:pt idx="130">
                  <c:v>0.5</c:v>
                </c:pt>
                <c:pt idx="131">
                  <c:v>0.2</c:v>
                </c:pt>
                <c:pt idx="132">
                  <c:v>0.5</c:v>
                </c:pt>
                <c:pt idx="133">
                  <c:v>0.35</c:v>
                </c:pt>
                <c:pt idx="134">
                  <c:v>0.2</c:v>
                </c:pt>
                <c:pt idx="135">
                  <c:v>0.2</c:v>
                </c:pt>
                <c:pt idx="136">
                  <c:v>0.2</c:v>
                </c:pt>
                <c:pt idx="137">
                  <c:v>0.5</c:v>
                </c:pt>
                <c:pt idx="138">
                  <c:v>0.2</c:v>
                </c:pt>
                <c:pt idx="139">
                  <c:v>0.2</c:v>
                </c:pt>
                <c:pt idx="140">
                  <c:v>0.2</c:v>
                </c:pt>
                <c:pt idx="141">
                  <c:v>0.35</c:v>
                </c:pt>
                <c:pt idx="142">
                  <c:v>0.35</c:v>
                </c:pt>
                <c:pt idx="143">
                  <c:v>0.35</c:v>
                </c:pt>
                <c:pt idx="144">
                  <c:v>0.2</c:v>
                </c:pt>
                <c:pt idx="145">
                  <c:v>0.2</c:v>
                </c:pt>
                <c:pt idx="146">
                  <c:v>0.2</c:v>
                </c:pt>
                <c:pt idx="147">
                  <c:v>0.2</c:v>
                </c:pt>
                <c:pt idx="148">
                  <c:v>0.2</c:v>
                </c:pt>
                <c:pt idx="149">
                  <c:v>0.2</c:v>
                </c:pt>
              </c:numCache>
            </c:numRef>
          </c:yVal>
          <c:bubbleSize>
            <c:numRef>
              <c:f>X!$Y$2:$Y$151</c:f>
              <c:numCache>
                <c:formatCode>General</c:formatCode>
                <c:ptCount val="150"/>
                <c:pt idx="0">
                  <c:v>7.5378101460527855E-2</c:v>
                </c:pt>
                <c:pt idx="1">
                  <c:v>7.8479853069739536E-2</c:v>
                </c:pt>
                <c:pt idx="2">
                  <c:v>9.9278110835958389E-2</c:v>
                </c:pt>
                <c:pt idx="3">
                  <c:v>0.10377498438333432</c:v>
                </c:pt>
                <c:pt idx="4">
                  <c:v>0.15415731291566162</c:v>
                </c:pt>
                <c:pt idx="5">
                  <c:v>0.1603957749748344</c:v>
                </c:pt>
                <c:pt idx="6">
                  <c:v>0.16138944356576437</c:v>
                </c:pt>
                <c:pt idx="7">
                  <c:v>0.16394702264468444</c:v>
                </c:pt>
                <c:pt idx="8">
                  <c:v>0.16467811611715136</c:v>
                </c:pt>
                <c:pt idx="9">
                  <c:v>0.17089875280743561</c:v>
                </c:pt>
                <c:pt idx="10">
                  <c:v>0.17745027636957769</c:v>
                </c:pt>
                <c:pt idx="11">
                  <c:v>0.18757943224469548</c:v>
                </c:pt>
                <c:pt idx="12">
                  <c:v>0.1889113078899739</c:v>
                </c:pt>
                <c:pt idx="13">
                  <c:v>0.19013108228268413</c:v>
                </c:pt>
                <c:pt idx="14">
                  <c:v>0.19965756545831506</c:v>
                </c:pt>
                <c:pt idx="15">
                  <c:v>0.20393884199750981</c:v>
                </c:pt>
                <c:pt idx="16">
                  <c:v>0.23152318117821796</c:v>
                </c:pt>
                <c:pt idx="17">
                  <c:v>0.23693046484779781</c:v>
                </c:pt>
                <c:pt idx="18">
                  <c:v>0.24433861928844622</c:v>
                </c:pt>
                <c:pt idx="19">
                  <c:v>0.24565058897349773</c:v>
                </c:pt>
                <c:pt idx="20">
                  <c:v>0.25346732815955836</c:v>
                </c:pt>
                <c:pt idx="21">
                  <c:v>0.25570689957006465</c:v>
                </c:pt>
                <c:pt idx="22">
                  <c:v>0.25644343522011792</c:v>
                </c:pt>
                <c:pt idx="23">
                  <c:v>0.25895018268500875</c:v>
                </c:pt>
                <c:pt idx="24">
                  <c:v>0.26277341391173903</c:v>
                </c:pt>
                <c:pt idx="25">
                  <c:v>0.26452703936912547</c:v>
                </c:pt>
                <c:pt idx="26">
                  <c:v>0.26457915923005387</c:v>
                </c:pt>
                <c:pt idx="27">
                  <c:v>0.26596719612474401</c:v>
                </c:pt>
                <c:pt idx="28">
                  <c:v>0.27827457182022275</c:v>
                </c:pt>
                <c:pt idx="29">
                  <c:v>0.27914650788438772</c:v>
                </c:pt>
                <c:pt idx="30">
                  <c:v>0.27928071552001582</c:v>
                </c:pt>
                <c:pt idx="31">
                  <c:v>0.28032026318223363</c:v>
                </c:pt>
                <c:pt idx="32">
                  <c:v>0.28665256691033919</c:v>
                </c:pt>
                <c:pt idx="33">
                  <c:v>0.3089222601445144</c:v>
                </c:pt>
                <c:pt idx="34">
                  <c:v>0.30984051684389613</c:v>
                </c:pt>
                <c:pt idx="35">
                  <c:v>0.3116437238486211</c:v>
                </c:pt>
                <c:pt idx="36">
                  <c:v>0.31439820442750693</c:v>
                </c:pt>
                <c:pt idx="37">
                  <c:v>0.31486710756017183</c:v>
                </c:pt>
                <c:pt idx="38">
                  <c:v>0.32180504394990417</c:v>
                </c:pt>
                <c:pt idx="39">
                  <c:v>0.32594350121371263</c:v>
                </c:pt>
                <c:pt idx="40">
                  <c:v>0.3273193389256393</c:v>
                </c:pt>
                <c:pt idx="41">
                  <c:v>0.32900983999987504</c:v>
                </c:pt>
                <c:pt idx="42">
                  <c:v>0.33801897583439339</c:v>
                </c:pt>
                <c:pt idx="43">
                  <c:v>0.33932266250706211</c:v>
                </c:pt>
                <c:pt idx="44">
                  <c:v>0.34026007956100585</c:v>
                </c:pt>
                <c:pt idx="45">
                  <c:v>0.34427533797878845</c:v>
                </c:pt>
                <c:pt idx="46">
                  <c:v>0.35605704184243464</c:v>
                </c:pt>
                <c:pt idx="47">
                  <c:v>0.35667789470895828</c:v>
                </c:pt>
                <c:pt idx="48">
                  <c:v>0.35898487659078271</c:v>
                </c:pt>
                <c:pt idx="49">
                  <c:v>0.36057623374912939</c:v>
                </c:pt>
                <c:pt idx="50">
                  <c:v>0.36151967689410308</c:v>
                </c:pt>
                <c:pt idx="51">
                  <c:v>0.36425970776519584</c:v>
                </c:pt>
                <c:pt idx="52">
                  <c:v>0.36702229751310844</c:v>
                </c:pt>
                <c:pt idx="53">
                  <c:v>0.36733592862035086</c:v>
                </c:pt>
                <c:pt idx="54">
                  <c:v>0.36868838736195686</c:v>
                </c:pt>
                <c:pt idx="55">
                  <c:v>0.37764537514018481</c:v>
                </c:pt>
                <c:pt idx="56">
                  <c:v>0.37850394052172937</c:v>
                </c:pt>
                <c:pt idx="57">
                  <c:v>0.37910509870026465</c:v>
                </c:pt>
                <c:pt idx="58">
                  <c:v>0.37970220231390001</c:v>
                </c:pt>
                <c:pt idx="59">
                  <c:v>0.38565693297657611</c:v>
                </c:pt>
                <c:pt idx="60">
                  <c:v>0.39016835779711279</c:v>
                </c:pt>
                <c:pt idx="61">
                  <c:v>0.39898909189875298</c:v>
                </c:pt>
                <c:pt idx="62">
                  <c:v>0.39946965019642877</c:v>
                </c:pt>
                <c:pt idx="63">
                  <c:v>0.40726032426604397</c:v>
                </c:pt>
                <c:pt idx="64">
                  <c:v>0.40764459823757276</c:v>
                </c:pt>
                <c:pt idx="65">
                  <c:v>0.41080534891330756</c:v>
                </c:pt>
                <c:pt idx="66">
                  <c:v>0.41208433103728775</c:v>
                </c:pt>
                <c:pt idx="67">
                  <c:v>0.41704443373703637</c:v>
                </c:pt>
                <c:pt idx="68">
                  <c:v>0.41820252298948096</c:v>
                </c:pt>
                <c:pt idx="69">
                  <c:v>0.4206028111878008</c:v>
                </c:pt>
                <c:pt idx="70">
                  <c:v>0.42107308531571319</c:v>
                </c:pt>
                <c:pt idx="71">
                  <c:v>0.42315613388345236</c:v>
                </c:pt>
                <c:pt idx="72">
                  <c:v>0.42498150862102912</c:v>
                </c:pt>
                <c:pt idx="73">
                  <c:v>0.43348848859761463</c:v>
                </c:pt>
                <c:pt idx="74">
                  <c:v>0.44070870712512433</c:v>
                </c:pt>
                <c:pt idx="75">
                  <c:v>0.45150403475860301</c:v>
                </c:pt>
                <c:pt idx="76">
                  <c:v>0.45196046657854128</c:v>
                </c:pt>
                <c:pt idx="77">
                  <c:v>0.45537125551940016</c:v>
                </c:pt>
                <c:pt idx="78">
                  <c:v>0.46980423453803394</c:v>
                </c:pt>
                <c:pt idx="79">
                  <c:v>0.47218868508601441</c:v>
                </c:pt>
                <c:pt idx="80">
                  <c:v>0.47808111890843885</c:v>
                </c:pt>
                <c:pt idx="81">
                  <c:v>0.47818849008973369</c:v>
                </c:pt>
                <c:pt idx="82">
                  <c:v>0.48852269344758625</c:v>
                </c:pt>
                <c:pt idx="83">
                  <c:v>0.48898060363517792</c:v>
                </c:pt>
                <c:pt idx="84">
                  <c:v>0.50226448600554885</c:v>
                </c:pt>
                <c:pt idx="85">
                  <c:v>0.50361650459984286</c:v>
                </c:pt>
                <c:pt idx="86">
                  <c:v>0.50667757137854585</c:v>
                </c:pt>
                <c:pt idx="87">
                  <c:v>0.51125796847544269</c:v>
                </c:pt>
                <c:pt idx="88">
                  <c:v>0.51300097530827238</c:v>
                </c:pt>
                <c:pt idx="89">
                  <c:v>0.51456521678080802</c:v>
                </c:pt>
                <c:pt idx="90">
                  <c:v>0.51959564098089417</c:v>
                </c:pt>
                <c:pt idx="91">
                  <c:v>0.52141172850252382</c:v>
                </c:pt>
                <c:pt idx="92">
                  <c:v>0.52863694591796073</c:v>
                </c:pt>
                <c:pt idx="93">
                  <c:v>0.53139436635774362</c:v>
                </c:pt>
                <c:pt idx="94">
                  <c:v>0.53250798928253029</c:v>
                </c:pt>
                <c:pt idx="95">
                  <c:v>0.53387918964063374</c:v>
                </c:pt>
                <c:pt idx="96">
                  <c:v>0.53671336521831514</c:v>
                </c:pt>
                <c:pt idx="97">
                  <c:v>0.53892484706048271</c:v>
                </c:pt>
                <c:pt idx="98">
                  <c:v>0.54101719772734291</c:v>
                </c:pt>
                <c:pt idx="99">
                  <c:v>0.54739193747713388</c:v>
                </c:pt>
                <c:pt idx="100">
                  <c:v>0.55145521732332858</c:v>
                </c:pt>
                <c:pt idx="101">
                  <c:v>0.55289980665895111</c:v>
                </c:pt>
                <c:pt idx="102">
                  <c:v>0.56162773462233362</c:v>
                </c:pt>
                <c:pt idx="103">
                  <c:v>0.56191406418587786</c:v>
                </c:pt>
                <c:pt idx="104">
                  <c:v>0.56203840035617414</c:v>
                </c:pt>
                <c:pt idx="105">
                  <c:v>0.5821210117174942</c:v>
                </c:pt>
                <c:pt idx="106">
                  <c:v>0.58318699654547435</c:v>
                </c:pt>
                <c:pt idx="107">
                  <c:v>0.59256508201960023</c:v>
                </c:pt>
                <c:pt idx="108">
                  <c:v>0.5942403994849198</c:v>
                </c:pt>
                <c:pt idx="109">
                  <c:v>0.59779507046758917</c:v>
                </c:pt>
                <c:pt idx="110">
                  <c:v>0.60058685283971136</c:v>
                </c:pt>
                <c:pt idx="111">
                  <c:v>0.60120030117410161</c:v>
                </c:pt>
                <c:pt idx="112">
                  <c:v>0.60153123493957361</c:v>
                </c:pt>
                <c:pt idx="113">
                  <c:v>0.60305612998677705</c:v>
                </c:pt>
                <c:pt idx="114">
                  <c:v>0.61311652584969811</c:v>
                </c:pt>
                <c:pt idx="115">
                  <c:v>0.62206844210777545</c:v>
                </c:pt>
                <c:pt idx="116">
                  <c:v>0.62236150398166756</c:v>
                </c:pt>
                <c:pt idx="117">
                  <c:v>0.62794960895635654</c:v>
                </c:pt>
                <c:pt idx="118">
                  <c:v>0.63261156973568422</c:v>
                </c:pt>
                <c:pt idx="119">
                  <c:v>0.63529252512017442</c:v>
                </c:pt>
                <c:pt idx="120">
                  <c:v>0.6456775902507681</c:v>
                </c:pt>
                <c:pt idx="121">
                  <c:v>0.65410173993356158</c:v>
                </c:pt>
                <c:pt idx="122">
                  <c:v>0.66110414112964744</c:v>
                </c:pt>
                <c:pt idx="123">
                  <c:v>0.66387242557513981</c:v>
                </c:pt>
                <c:pt idx="124">
                  <c:v>0.66708140843358388</c:v>
                </c:pt>
                <c:pt idx="125">
                  <c:v>0.67380086779032533</c:v>
                </c:pt>
                <c:pt idx="126">
                  <c:v>0.68080307083479163</c:v>
                </c:pt>
                <c:pt idx="127">
                  <c:v>0.68136396007582656</c:v>
                </c:pt>
                <c:pt idx="128">
                  <c:v>0.69891608623658996</c:v>
                </c:pt>
                <c:pt idx="129">
                  <c:v>0.70124230831395185</c:v>
                </c:pt>
                <c:pt idx="130">
                  <c:v>0.70379149839552879</c:v>
                </c:pt>
                <c:pt idx="131">
                  <c:v>0.71759039917154921</c:v>
                </c:pt>
                <c:pt idx="132">
                  <c:v>0.71780519275373422</c:v>
                </c:pt>
                <c:pt idx="133">
                  <c:v>0.72343192152793023</c:v>
                </c:pt>
                <c:pt idx="134">
                  <c:v>0.72411968975796337</c:v>
                </c:pt>
                <c:pt idx="135">
                  <c:v>0.72520663159671306</c:v>
                </c:pt>
                <c:pt idx="136">
                  <c:v>0.72574130251946878</c:v>
                </c:pt>
                <c:pt idx="137">
                  <c:v>0.74613497588333422</c:v>
                </c:pt>
                <c:pt idx="138">
                  <c:v>0.75144589299980857</c:v>
                </c:pt>
                <c:pt idx="139">
                  <c:v>0.78160302714111518</c:v>
                </c:pt>
                <c:pt idx="140">
                  <c:v>0.78463571848635827</c:v>
                </c:pt>
                <c:pt idx="141">
                  <c:v>0.78633788991954445</c:v>
                </c:pt>
                <c:pt idx="142">
                  <c:v>0.78814933581229896</c:v>
                </c:pt>
                <c:pt idx="143">
                  <c:v>0.79543077892856506</c:v>
                </c:pt>
                <c:pt idx="144">
                  <c:v>0.82367858072060107</c:v>
                </c:pt>
                <c:pt idx="145">
                  <c:v>0.8354132712821577</c:v>
                </c:pt>
                <c:pt idx="146">
                  <c:v>0.90053300110725376</c:v>
                </c:pt>
                <c:pt idx="147">
                  <c:v>0.91417002097715105</c:v>
                </c:pt>
                <c:pt idx="148">
                  <c:v>0.95429370944575487</c:v>
                </c:pt>
                <c:pt idx="149">
                  <c:v>0.96388679483258399</c:v>
                </c:pt>
              </c:numCache>
            </c:numRef>
          </c:bubbleSize>
          <c:bubble3D val="0"/>
          <c:extLst>
            <c:ext xmlns:c16="http://schemas.microsoft.com/office/drawing/2014/chart" uri="{C3380CC4-5D6E-409C-BE32-E72D297353CC}">
              <c16:uniqueId val="{00000000-6FB5-4A48-9942-9EC4E8514F56}"/>
            </c:ext>
          </c:extLst>
        </c:ser>
        <c:dLbls>
          <c:showLegendKey val="0"/>
          <c:showVal val="0"/>
          <c:showCatName val="0"/>
          <c:showSerName val="0"/>
          <c:showPercent val="0"/>
          <c:showBubbleSize val="0"/>
        </c:dLbls>
        <c:bubbleScale val="40"/>
        <c:showNegBubbles val="0"/>
        <c:axId val="1362814480"/>
        <c:axId val="1362815728"/>
      </c:bubbleChart>
      <c:valAx>
        <c:axId val="1362814480"/>
        <c:scaling>
          <c:orientation val="minMax"/>
          <c:min val="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815728"/>
        <c:crosses val="autoZero"/>
        <c:crossBetween val="midCat"/>
      </c:valAx>
      <c:valAx>
        <c:axId val="136281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8144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n-&gt; X CPU others FF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X!$AA$1</c:f>
              <c:strCache>
                <c:ptCount val="1"/>
                <c:pt idx="0">
                  <c:v>share CPU others FF</c:v>
                </c:pt>
              </c:strCache>
            </c:strRef>
          </c:tx>
          <c:spPr>
            <a:ln w="19050" cap="rnd">
              <a:noFill/>
              <a:round/>
            </a:ln>
            <a:effectLst/>
          </c:spPr>
          <c:marker>
            <c:symbol val="circle"/>
            <c:size val="5"/>
            <c:spPr>
              <a:solidFill>
                <a:schemeClr val="accent1"/>
              </a:solidFill>
              <a:ln w="9525">
                <a:solidFill>
                  <a:schemeClr val="accent1"/>
                </a:solidFill>
              </a:ln>
              <a:effectLst/>
            </c:spPr>
          </c:marker>
          <c:xVal>
            <c:numRef>
              <c:f>X!$B$2:$B$151</c:f>
              <c:numCache>
                <c:formatCode>General</c:formatCode>
                <c:ptCount val="150"/>
                <c:pt idx="0">
                  <c:v>4</c:v>
                </c:pt>
                <c:pt idx="1">
                  <c:v>4</c:v>
                </c:pt>
                <c:pt idx="2">
                  <c:v>5</c:v>
                </c:pt>
                <c:pt idx="3">
                  <c:v>5</c:v>
                </c:pt>
                <c:pt idx="4">
                  <c:v>3</c:v>
                </c:pt>
                <c:pt idx="5">
                  <c:v>4</c:v>
                </c:pt>
                <c:pt idx="6">
                  <c:v>6</c:v>
                </c:pt>
                <c:pt idx="7">
                  <c:v>4</c:v>
                </c:pt>
                <c:pt idx="8">
                  <c:v>4</c:v>
                </c:pt>
                <c:pt idx="9">
                  <c:v>4</c:v>
                </c:pt>
                <c:pt idx="10">
                  <c:v>3</c:v>
                </c:pt>
                <c:pt idx="11">
                  <c:v>4</c:v>
                </c:pt>
                <c:pt idx="12">
                  <c:v>4</c:v>
                </c:pt>
                <c:pt idx="13">
                  <c:v>4</c:v>
                </c:pt>
                <c:pt idx="14">
                  <c:v>4</c:v>
                </c:pt>
                <c:pt idx="15">
                  <c:v>4</c:v>
                </c:pt>
                <c:pt idx="16">
                  <c:v>5</c:v>
                </c:pt>
                <c:pt idx="17">
                  <c:v>4</c:v>
                </c:pt>
                <c:pt idx="18">
                  <c:v>5</c:v>
                </c:pt>
                <c:pt idx="19">
                  <c:v>5</c:v>
                </c:pt>
                <c:pt idx="20">
                  <c:v>4</c:v>
                </c:pt>
                <c:pt idx="21">
                  <c:v>4</c:v>
                </c:pt>
                <c:pt idx="22">
                  <c:v>5</c:v>
                </c:pt>
                <c:pt idx="23">
                  <c:v>4</c:v>
                </c:pt>
                <c:pt idx="24">
                  <c:v>7</c:v>
                </c:pt>
                <c:pt idx="25">
                  <c:v>5</c:v>
                </c:pt>
                <c:pt idx="26">
                  <c:v>7</c:v>
                </c:pt>
                <c:pt idx="27">
                  <c:v>5</c:v>
                </c:pt>
                <c:pt idx="28">
                  <c:v>4</c:v>
                </c:pt>
                <c:pt idx="29">
                  <c:v>5</c:v>
                </c:pt>
                <c:pt idx="30">
                  <c:v>4</c:v>
                </c:pt>
                <c:pt idx="31">
                  <c:v>4</c:v>
                </c:pt>
                <c:pt idx="32">
                  <c:v>5</c:v>
                </c:pt>
                <c:pt idx="33">
                  <c:v>4</c:v>
                </c:pt>
                <c:pt idx="34">
                  <c:v>4</c:v>
                </c:pt>
                <c:pt idx="35">
                  <c:v>4</c:v>
                </c:pt>
                <c:pt idx="36">
                  <c:v>4</c:v>
                </c:pt>
                <c:pt idx="37">
                  <c:v>5</c:v>
                </c:pt>
                <c:pt idx="38">
                  <c:v>4</c:v>
                </c:pt>
                <c:pt idx="39">
                  <c:v>5</c:v>
                </c:pt>
                <c:pt idx="40">
                  <c:v>3</c:v>
                </c:pt>
                <c:pt idx="41">
                  <c:v>4</c:v>
                </c:pt>
                <c:pt idx="42">
                  <c:v>5</c:v>
                </c:pt>
                <c:pt idx="43">
                  <c:v>5</c:v>
                </c:pt>
                <c:pt idx="44">
                  <c:v>6</c:v>
                </c:pt>
                <c:pt idx="45">
                  <c:v>6</c:v>
                </c:pt>
                <c:pt idx="46">
                  <c:v>3</c:v>
                </c:pt>
                <c:pt idx="47">
                  <c:v>3</c:v>
                </c:pt>
                <c:pt idx="48">
                  <c:v>6</c:v>
                </c:pt>
                <c:pt idx="49">
                  <c:v>4</c:v>
                </c:pt>
                <c:pt idx="50">
                  <c:v>5</c:v>
                </c:pt>
                <c:pt idx="51">
                  <c:v>3</c:v>
                </c:pt>
                <c:pt idx="52">
                  <c:v>6</c:v>
                </c:pt>
                <c:pt idx="53">
                  <c:v>5</c:v>
                </c:pt>
                <c:pt idx="54">
                  <c:v>5</c:v>
                </c:pt>
                <c:pt idx="55">
                  <c:v>5</c:v>
                </c:pt>
                <c:pt idx="56">
                  <c:v>3</c:v>
                </c:pt>
                <c:pt idx="57">
                  <c:v>6</c:v>
                </c:pt>
                <c:pt idx="58">
                  <c:v>4</c:v>
                </c:pt>
                <c:pt idx="59">
                  <c:v>6</c:v>
                </c:pt>
                <c:pt idx="60">
                  <c:v>3</c:v>
                </c:pt>
                <c:pt idx="61">
                  <c:v>5</c:v>
                </c:pt>
                <c:pt idx="62">
                  <c:v>5</c:v>
                </c:pt>
                <c:pt idx="63">
                  <c:v>5</c:v>
                </c:pt>
                <c:pt idx="64">
                  <c:v>3</c:v>
                </c:pt>
                <c:pt idx="65">
                  <c:v>4</c:v>
                </c:pt>
                <c:pt idx="66">
                  <c:v>3</c:v>
                </c:pt>
                <c:pt idx="67">
                  <c:v>3</c:v>
                </c:pt>
                <c:pt idx="68">
                  <c:v>5</c:v>
                </c:pt>
                <c:pt idx="69">
                  <c:v>3</c:v>
                </c:pt>
                <c:pt idx="70">
                  <c:v>4</c:v>
                </c:pt>
                <c:pt idx="71">
                  <c:v>5</c:v>
                </c:pt>
                <c:pt idx="72">
                  <c:v>6</c:v>
                </c:pt>
                <c:pt idx="73">
                  <c:v>6</c:v>
                </c:pt>
                <c:pt idx="74">
                  <c:v>6</c:v>
                </c:pt>
                <c:pt idx="75">
                  <c:v>6</c:v>
                </c:pt>
                <c:pt idx="76">
                  <c:v>5</c:v>
                </c:pt>
                <c:pt idx="77">
                  <c:v>4</c:v>
                </c:pt>
                <c:pt idx="78">
                  <c:v>6</c:v>
                </c:pt>
                <c:pt idx="79">
                  <c:v>7</c:v>
                </c:pt>
                <c:pt idx="80">
                  <c:v>5</c:v>
                </c:pt>
                <c:pt idx="81">
                  <c:v>6</c:v>
                </c:pt>
                <c:pt idx="82">
                  <c:v>7</c:v>
                </c:pt>
                <c:pt idx="83">
                  <c:v>6</c:v>
                </c:pt>
                <c:pt idx="84">
                  <c:v>4</c:v>
                </c:pt>
                <c:pt idx="85">
                  <c:v>7</c:v>
                </c:pt>
                <c:pt idx="86">
                  <c:v>6</c:v>
                </c:pt>
                <c:pt idx="87">
                  <c:v>7</c:v>
                </c:pt>
                <c:pt idx="88">
                  <c:v>3</c:v>
                </c:pt>
                <c:pt idx="89">
                  <c:v>6</c:v>
                </c:pt>
                <c:pt idx="90">
                  <c:v>3</c:v>
                </c:pt>
                <c:pt idx="91">
                  <c:v>5</c:v>
                </c:pt>
                <c:pt idx="92">
                  <c:v>3</c:v>
                </c:pt>
                <c:pt idx="93">
                  <c:v>7</c:v>
                </c:pt>
                <c:pt idx="94">
                  <c:v>6</c:v>
                </c:pt>
                <c:pt idx="95">
                  <c:v>7</c:v>
                </c:pt>
                <c:pt idx="96">
                  <c:v>7</c:v>
                </c:pt>
                <c:pt idx="97">
                  <c:v>5</c:v>
                </c:pt>
                <c:pt idx="98">
                  <c:v>3</c:v>
                </c:pt>
                <c:pt idx="99">
                  <c:v>6</c:v>
                </c:pt>
                <c:pt idx="100">
                  <c:v>7</c:v>
                </c:pt>
                <c:pt idx="101">
                  <c:v>5</c:v>
                </c:pt>
                <c:pt idx="102">
                  <c:v>6</c:v>
                </c:pt>
                <c:pt idx="103">
                  <c:v>3</c:v>
                </c:pt>
                <c:pt idx="104">
                  <c:v>6</c:v>
                </c:pt>
                <c:pt idx="105">
                  <c:v>3</c:v>
                </c:pt>
                <c:pt idx="106">
                  <c:v>6</c:v>
                </c:pt>
                <c:pt idx="107">
                  <c:v>7</c:v>
                </c:pt>
                <c:pt idx="108">
                  <c:v>3</c:v>
                </c:pt>
                <c:pt idx="109">
                  <c:v>3</c:v>
                </c:pt>
                <c:pt idx="110">
                  <c:v>3</c:v>
                </c:pt>
                <c:pt idx="111">
                  <c:v>5</c:v>
                </c:pt>
                <c:pt idx="112">
                  <c:v>7</c:v>
                </c:pt>
                <c:pt idx="113">
                  <c:v>6</c:v>
                </c:pt>
                <c:pt idx="114">
                  <c:v>6</c:v>
                </c:pt>
                <c:pt idx="115">
                  <c:v>3</c:v>
                </c:pt>
                <c:pt idx="116">
                  <c:v>3</c:v>
                </c:pt>
                <c:pt idx="117">
                  <c:v>7</c:v>
                </c:pt>
                <c:pt idx="118">
                  <c:v>7</c:v>
                </c:pt>
                <c:pt idx="119">
                  <c:v>3</c:v>
                </c:pt>
                <c:pt idx="120">
                  <c:v>7</c:v>
                </c:pt>
                <c:pt idx="121">
                  <c:v>6</c:v>
                </c:pt>
                <c:pt idx="122">
                  <c:v>6</c:v>
                </c:pt>
                <c:pt idx="123">
                  <c:v>7</c:v>
                </c:pt>
                <c:pt idx="124">
                  <c:v>3</c:v>
                </c:pt>
                <c:pt idx="125">
                  <c:v>6</c:v>
                </c:pt>
                <c:pt idx="126">
                  <c:v>3</c:v>
                </c:pt>
                <c:pt idx="127">
                  <c:v>6</c:v>
                </c:pt>
                <c:pt idx="128">
                  <c:v>7</c:v>
                </c:pt>
                <c:pt idx="129">
                  <c:v>7</c:v>
                </c:pt>
                <c:pt idx="130">
                  <c:v>7</c:v>
                </c:pt>
                <c:pt idx="131">
                  <c:v>3</c:v>
                </c:pt>
                <c:pt idx="132">
                  <c:v>7</c:v>
                </c:pt>
                <c:pt idx="133">
                  <c:v>7</c:v>
                </c:pt>
                <c:pt idx="134">
                  <c:v>6</c:v>
                </c:pt>
                <c:pt idx="135">
                  <c:v>5</c:v>
                </c:pt>
                <c:pt idx="136">
                  <c:v>3</c:v>
                </c:pt>
                <c:pt idx="137">
                  <c:v>7</c:v>
                </c:pt>
                <c:pt idx="138">
                  <c:v>3</c:v>
                </c:pt>
                <c:pt idx="139">
                  <c:v>3</c:v>
                </c:pt>
                <c:pt idx="140">
                  <c:v>7</c:v>
                </c:pt>
                <c:pt idx="141">
                  <c:v>7</c:v>
                </c:pt>
                <c:pt idx="142">
                  <c:v>7</c:v>
                </c:pt>
                <c:pt idx="143">
                  <c:v>7</c:v>
                </c:pt>
                <c:pt idx="144">
                  <c:v>6</c:v>
                </c:pt>
                <c:pt idx="145">
                  <c:v>7</c:v>
                </c:pt>
                <c:pt idx="146">
                  <c:v>7</c:v>
                </c:pt>
                <c:pt idx="147">
                  <c:v>6</c:v>
                </c:pt>
                <c:pt idx="148">
                  <c:v>7</c:v>
                </c:pt>
                <c:pt idx="149">
                  <c:v>7</c:v>
                </c:pt>
              </c:numCache>
            </c:numRef>
          </c:xVal>
          <c:yVal>
            <c:numRef>
              <c:f>X!$P$2:$P$151</c:f>
              <c:numCache>
                <c:formatCode>General</c:formatCode>
                <c:ptCount val="150"/>
                <c:pt idx="0">
                  <c:v>13.304144454526543</c:v>
                </c:pt>
                <c:pt idx="1">
                  <c:v>13.502565671992119</c:v>
                </c:pt>
                <c:pt idx="2">
                  <c:v>15.478041601196693</c:v>
                </c:pt>
                <c:pt idx="3">
                  <c:v>9.9231163886782383</c:v>
                </c:pt>
                <c:pt idx="4">
                  <c:v>17.601191349118572</c:v>
                </c:pt>
                <c:pt idx="5">
                  <c:v>14.343863158320444</c:v>
                </c:pt>
                <c:pt idx="6">
                  <c:v>13.090285714285709</c:v>
                </c:pt>
                <c:pt idx="7">
                  <c:v>16.395846715481028</c:v>
                </c:pt>
                <c:pt idx="8">
                  <c:v>13.921045996546125</c:v>
                </c:pt>
                <c:pt idx="9">
                  <c:v>15.802338270898126</c:v>
                </c:pt>
                <c:pt idx="10">
                  <c:v>15.953999755122085</c:v>
                </c:pt>
                <c:pt idx="11">
                  <c:v>1.7991684189692756</c:v>
                </c:pt>
                <c:pt idx="12">
                  <c:v>2.1293397506051006</c:v>
                </c:pt>
                <c:pt idx="13">
                  <c:v>11.379104353218892</c:v>
                </c:pt>
                <c:pt idx="14">
                  <c:v>2.1384794540726029</c:v>
                </c:pt>
                <c:pt idx="15">
                  <c:v>2.488328069814159</c:v>
                </c:pt>
                <c:pt idx="16">
                  <c:v>3.093244152833992</c:v>
                </c:pt>
                <c:pt idx="17">
                  <c:v>0.78387712015568345</c:v>
                </c:pt>
                <c:pt idx="18">
                  <c:v>1.6916060296800948</c:v>
                </c:pt>
                <c:pt idx="19">
                  <c:v>3.6982596758236874</c:v>
                </c:pt>
                <c:pt idx="20">
                  <c:v>3.3240359456234825</c:v>
                </c:pt>
                <c:pt idx="21">
                  <c:v>2.4479284474593173</c:v>
                </c:pt>
                <c:pt idx="22">
                  <c:v>4.0030772265067318</c:v>
                </c:pt>
                <c:pt idx="23">
                  <c:v>3.0862322288121149</c:v>
                </c:pt>
                <c:pt idx="24">
                  <c:v>1.104891058597343</c:v>
                </c:pt>
                <c:pt idx="25">
                  <c:v>14.402306152996148</c:v>
                </c:pt>
                <c:pt idx="26">
                  <c:v>3.3811343462708154</c:v>
                </c:pt>
                <c:pt idx="27">
                  <c:v>5.2072956410954747</c:v>
                </c:pt>
                <c:pt idx="28">
                  <c:v>5.6086716041119375</c:v>
                </c:pt>
                <c:pt idx="29">
                  <c:v>9.0342659140694206</c:v>
                </c:pt>
                <c:pt idx="30">
                  <c:v>16.468526013456998</c:v>
                </c:pt>
                <c:pt idx="31">
                  <c:v>15.825785823097394</c:v>
                </c:pt>
                <c:pt idx="32">
                  <c:v>9.4034838463531578</c:v>
                </c:pt>
                <c:pt idx="33">
                  <c:v>14.073955771054562</c:v>
                </c:pt>
                <c:pt idx="34">
                  <c:v>15.010540963117766</c:v>
                </c:pt>
                <c:pt idx="35">
                  <c:v>2.9351905547335342</c:v>
                </c:pt>
                <c:pt idx="36">
                  <c:v>2.5201354014930475</c:v>
                </c:pt>
                <c:pt idx="37">
                  <c:v>10.897619125059254</c:v>
                </c:pt>
                <c:pt idx="38">
                  <c:v>4.420575551578783</c:v>
                </c:pt>
                <c:pt idx="39">
                  <c:v>3.7592309681246316</c:v>
                </c:pt>
                <c:pt idx="40">
                  <c:v>5.2226047166174459</c:v>
                </c:pt>
                <c:pt idx="41">
                  <c:v>4.6019633415177754</c:v>
                </c:pt>
                <c:pt idx="42">
                  <c:v>2.9053504772346055</c:v>
                </c:pt>
                <c:pt idx="43">
                  <c:v>4.103575239907145</c:v>
                </c:pt>
                <c:pt idx="44">
                  <c:v>5.0906988785421792</c:v>
                </c:pt>
                <c:pt idx="45">
                  <c:v>4.7869063420799201</c:v>
                </c:pt>
                <c:pt idx="46">
                  <c:v>4.8022899330330073</c:v>
                </c:pt>
                <c:pt idx="47">
                  <c:v>1.5163404608062949</c:v>
                </c:pt>
                <c:pt idx="48">
                  <c:v>3.501160230848408</c:v>
                </c:pt>
                <c:pt idx="49">
                  <c:v>5.7024555943945821</c:v>
                </c:pt>
                <c:pt idx="50">
                  <c:v>5.4847112059991758</c:v>
                </c:pt>
                <c:pt idx="51">
                  <c:v>4.4648953256427291</c:v>
                </c:pt>
                <c:pt idx="52">
                  <c:v>6.3757526361423817</c:v>
                </c:pt>
                <c:pt idx="53">
                  <c:v>4.7683468376621088</c:v>
                </c:pt>
                <c:pt idx="54">
                  <c:v>15.319349482629473</c:v>
                </c:pt>
                <c:pt idx="55">
                  <c:v>7.0676789489237208</c:v>
                </c:pt>
                <c:pt idx="56">
                  <c:v>5.6997793584358325</c:v>
                </c:pt>
                <c:pt idx="57">
                  <c:v>8.5526896105445456</c:v>
                </c:pt>
                <c:pt idx="58">
                  <c:v>9.5198486639438524</c:v>
                </c:pt>
                <c:pt idx="59">
                  <c:v>10.510602400327963</c:v>
                </c:pt>
                <c:pt idx="60">
                  <c:v>15.079158444875006</c:v>
                </c:pt>
                <c:pt idx="61">
                  <c:v>12.57095703116568</c:v>
                </c:pt>
                <c:pt idx="62">
                  <c:v>12.385709610759331</c:v>
                </c:pt>
                <c:pt idx="63">
                  <c:v>5.0370724774443261</c:v>
                </c:pt>
                <c:pt idx="64">
                  <c:v>7.0593698455986917</c:v>
                </c:pt>
                <c:pt idx="65">
                  <c:v>4.1926520460783401</c:v>
                </c:pt>
                <c:pt idx="66">
                  <c:v>6.3739876698288889</c:v>
                </c:pt>
                <c:pt idx="67">
                  <c:v>3.0316403019171343</c:v>
                </c:pt>
                <c:pt idx="68">
                  <c:v>5.247984989820325</c:v>
                </c:pt>
                <c:pt idx="69">
                  <c:v>6.8867755592812498</c:v>
                </c:pt>
                <c:pt idx="70">
                  <c:v>6.3168207248505031</c:v>
                </c:pt>
                <c:pt idx="71">
                  <c:v>3.7307646138797508</c:v>
                </c:pt>
                <c:pt idx="72">
                  <c:v>6.3406946366397001</c:v>
                </c:pt>
                <c:pt idx="73">
                  <c:v>8.0851413032148578</c:v>
                </c:pt>
                <c:pt idx="74">
                  <c:v>7.0014940419970282</c:v>
                </c:pt>
                <c:pt idx="75">
                  <c:v>8.1525949799775272</c:v>
                </c:pt>
                <c:pt idx="76">
                  <c:v>7.3247807176561981</c:v>
                </c:pt>
                <c:pt idx="77">
                  <c:v>2.7167331572757729</c:v>
                </c:pt>
                <c:pt idx="78">
                  <c:v>5.2951737805981969</c:v>
                </c:pt>
                <c:pt idx="79">
                  <c:v>8.0453524294312331</c:v>
                </c:pt>
                <c:pt idx="80">
                  <c:v>7.9443413639284817</c:v>
                </c:pt>
                <c:pt idx="81">
                  <c:v>6.2860006745048667</c:v>
                </c:pt>
                <c:pt idx="82">
                  <c:v>7.8556197894447015</c:v>
                </c:pt>
                <c:pt idx="83">
                  <c:v>7.0823929163230011</c:v>
                </c:pt>
                <c:pt idx="84">
                  <c:v>8.0464893797432104</c:v>
                </c:pt>
                <c:pt idx="85">
                  <c:v>10.035717148929423</c:v>
                </c:pt>
                <c:pt idx="86">
                  <c:v>8.0224558742725804</c:v>
                </c:pt>
                <c:pt idx="87">
                  <c:v>11.462974081185957</c:v>
                </c:pt>
                <c:pt idx="88">
                  <c:v>11.447526391280224</c:v>
                </c:pt>
                <c:pt idx="89">
                  <c:v>7.0937832982504867</c:v>
                </c:pt>
                <c:pt idx="90">
                  <c:v>10.256635592811477</c:v>
                </c:pt>
                <c:pt idx="91">
                  <c:v>8.1574670081262486</c:v>
                </c:pt>
                <c:pt idx="92">
                  <c:v>3.2359328062730204</c:v>
                </c:pt>
                <c:pt idx="93">
                  <c:v>8.244756968802287</c:v>
                </c:pt>
                <c:pt idx="94">
                  <c:v>9.3878271380449672</c:v>
                </c:pt>
                <c:pt idx="95">
                  <c:v>4.2083093133200373</c:v>
                </c:pt>
                <c:pt idx="96">
                  <c:v>8.1659190459302824</c:v>
                </c:pt>
                <c:pt idx="97">
                  <c:v>9.9311264365325016</c:v>
                </c:pt>
                <c:pt idx="98">
                  <c:v>11.588640736089088</c:v>
                </c:pt>
                <c:pt idx="99">
                  <c:v>9.3193194773217289</c:v>
                </c:pt>
                <c:pt idx="100">
                  <c:v>9.8567564653449615</c:v>
                </c:pt>
                <c:pt idx="101">
                  <c:v>9.299897689986393</c:v>
                </c:pt>
                <c:pt idx="102">
                  <c:v>4.2438623278726961</c:v>
                </c:pt>
                <c:pt idx="103">
                  <c:v>8.8582064580215913</c:v>
                </c:pt>
                <c:pt idx="104">
                  <c:v>11.505431448311123</c:v>
                </c:pt>
                <c:pt idx="105">
                  <c:v>9.8752777725489</c:v>
                </c:pt>
                <c:pt idx="106">
                  <c:v>8.9456633155279857</c:v>
                </c:pt>
                <c:pt idx="107">
                  <c:v>11.692492463570492</c:v>
                </c:pt>
                <c:pt idx="108">
                  <c:v>4.104532553388486</c:v>
                </c:pt>
                <c:pt idx="109">
                  <c:v>8.4307142721829305</c:v>
                </c:pt>
                <c:pt idx="110">
                  <c:v>9.838689857765436</c:v>
                </c:pt>
                <c:pt idx="111">
                  <c:v>9.2803284672199933</c:v>
                </c:pt>
                <c:pt idx="112">
                  <c:v>11.410178280683736</c:v>
                </c:pt>
                <c:pt idx="113">
                  <c:v>9.8986129623255383</c:v>
                </c:pt>
                <c:pt idx="114">
                  <c:v>4.7335071652627319</c:v>
                </c:pt>
                <c:pt idx="115">
                  <c:v>11.534705484974824</c:v>
                </c:pt>
                <c:pt idx="116">
                  <c:v>11.49820369159027</c:v>
                </c:pt>
                <c:pt idx="117">
                  <c:v>8.5241762157669339</c:v>
                </c:pt>
                <c:pt idx="118">
                  <c:v>9.8260353111393002</c:v>
                </c:pt>
                <c:pt idx="119">
                  <c:v>11.469165103293603</c:v>
                </c:pt>
                <c:pt idx="120">
                  <c:v>10.492263000768126</c:v>
                </c:pt>
                <c:pt idx="121">
                  <c:v>6.0313151617772434</c:v>
                </c:pt>
                <c:pt idx="122">
                  <c:v>9.3950076652861529</c:v>
                </c:pt>
                <c:pt idx="123">
                  <c:v>5.910939761718998</c:v>
                </c:pt>
                <c:pt idx="124">
                  <c:v>9.5020213993852831</c:v>
                </c:pt>
                <c:pt idx="125">
                  <c:v>10.202786801031925</c:v>
                </c:pt>
                <c:pt idx="126">
                  <c:v>5.8325880490446691</c:v>
                </c:pt>
                <c:pt idx="127">
                  <c:v>9.0565439726840165</c:v>
                </c:pt>
                <c:pt idx="128">
                  <c:v>10.633768842587013</c:v>
                </c:pt>
                <c:pt idx="129">
                  <c:v>10.252595835846437</c:v>
                </c:pt>
                <c:pt idx="130">
                  <c:v>12.576114297830898</c:v>
                </c:pt>
                <c:pt idx="131">
                  <c:v>10.693830552215253</c:v>
                </c:pt>
                <c:pt idx="132">
                  <c:v>5.6540793995971255</c:v>
                </c:pt>
                <c:pt idx="133">
                  <c:v>8.9217538642955638</c:v>
                </c:pt>
                <c:pt idx="134">
                  <c:v>12.564829947495323</c:v>
                </c:pt>
                <c:pt idx="135">
                  <c:v>10.668344945338628</c:v>
                </c:pt>
                <c:pt idx="136">
                  <c:v>10.268399337586823</c:v>
                </c:pt>
                <c:pt idx="137">
                  <c:v>5.8198658671852037</c:v>
                </c:pt>
                <c:pt idx="138">
                  <c:v>9.4671472368168068</c:v>
                </c:pt>
                <c:pt idx="139">
                  <c:v>12.556164828946452</c:v>
                </c:pt>
                <c:pt idx="140">
                  <c:v>10.548245584999867</c:v>
                </c:pt>
                <c:pt idx="141">
                  <c:v>10.285774883725679</c:v>
                </c:pt>
                <c:pt idx="142">
                  <c:v>12.563201098049451</c:v>
                </c:pt>
                <c:pt idx="143">
                  <c:v>9.1102579584884129</c:v>
                </c:pt>
                <c:pt idx="144">
                  <c:v>6.9142600641173031</c:v>
                </c:pt>
                <c:pt idx="145">
                  <c:v>9.1234788438264278</c:v>
                </c:pt>
                <c:pt idx="146">
                  <c:v>12.501450081744162</c:v>
                </c:pt>
                <c:pt idx="147">
                  <c:v>10.519424500004332</c:v>
                </c:pt>
                <c:pt idx="148">
                  <c:v>10.816960661554536</c:v>
                </c:pt>
                <c:pt idx="149">
                  <c:v>12.715327235644637</c:v>
                </c:pt>
              </c:numCache>
            </c:numRef>
          </c:yVal>
          <c:smooth val="0"/>
          <c:extLst>
            <c:ext xmlns:c16="http://schemas.microsoft.com/office/drawing/2014/chart" uri="{C3380CC4-5D6E-409C-BE32-E72D297353CC}">
              <c16:uniqueId val="{00000000-1DEB-4C55-A2D6-7452212D79FB}"/>
            </c:ext>
          </c:extLst>
        </c:ser>
        <c:dLbls>
          <c:showLegendKey val="0"/>
          <c:showVal val="0"/>
          <c:showCatName val="0"/>
          <c:showSerName val="0"/>
          <c:showPercent val="0"/>
          <c:showBubbleSize val="0"/>
        </c:dLbls>
        <c:axId val="1368598432"/>
        <c:axId val="1368607168"/>
      </c:scatterChart>
      <c:valAx>
        <c:axId val="1368598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607168"/>
        <c:crosses val="autoZero"/>
        <c:crossBetween val="midCat"/>
      </c:valAx>
      <c:valAx>
        <c:axId val="136860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5984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eta-&gt; X CPU others FF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X!$AA$1</c:f>
              <c:strCache>
                <c:ptCount val="1"/>
                <c:pt idx="0">
                  <c:v>share CPU others FF</c:v>
                </c:pt>
              </c:strCache>
            </c:strRef>
          </c:tx>
          <c:spPr>
            <a:ln w="19050" cap="rnd">
              <a:noFill/>
              <a:round/>
            </a:ln>
            <a:effectLst/>
          </c:spPr>
          <c:marker>
            <c:symbol val="circle"/>
            <c:size val="5"/>
            <c:spPr>
              <a:solidFill>
                <a:schemeClr val="accent1"/>
              </a:solidFill>
              <a:ln w="9525">
                <a:solidFill>
                  <a:schemeClr val="accent1"/>
                </a:solidFill>
              </a:ln>
              <a:effectLst/>
            </c:spPr>
          </c:marker>
          <c:xVal>
            <c:numRef>
              <c:f>X!$D$2:$D$151</c:f>
              <c:numCache>
                <c:formatCode>General</c:formatCode>
                <c:ptCount val="150"/>
                <c:pt idx="0">
                  <c:v>0.95</c:v>
                </c:pt>
                <c:pt idx="1">
                  <c:v>0.95</c:v>
                </c:pt>
                <c:pt idx="2">
                  <c:v>0.95</c:v>
                </c:pt>
                <c:pt idx="3">
                  <c:v>0.95</c:v>
                </c:pt>
                <c:pt idx="4">
                  <c:v>0.95</c:v>
                </c:pt>
                <c:pt idx="5">
                  <c:v>0.8</c:v>
                </c:pt>
                <c:pt idx="6">
                  <c:v>0.95</c:v>
                </c:pt>
                <c:pt idx="7">
                  <c:v>0.8</c:v>
                </c:pt>
                <c:pt idx="8">
                  <c:v>0.95</c:v>
                </c:pt>
                <c:pt idx="9">
                  <c:v>0.95</c:v>
                </c:pt>
                <c:pt idx="10">
                  <c:v>0.95</c:v>
                </c:pt>
                <c:pt idx="11">
                  <c:v>0.8</c:v>
                </c:pt>
                <c:pt idx="12">
                  <c:v>0.8</c:v>
                </c:pt>
                <c:pt idx="13">
                  <c:v>0.65</c:v>
                </c:pt>
                <c:pt idx="14">
                  <c:v>0.65</c:v>
                </c:pt>
                <c:pt idx="15">
                  <c:v>0.8</c:v>
                </c:pt>
                <c:pt idx="16">
                  <c:v>0.95</c:v>
                </c:pt>
                <c:pt idx="17">
                  <c:v>0.95</c:v>
                </c:pt>
                <c:pt idx="18">
                  <c:v>0.8</c:v>
                </c:pt>
                <c:pt idx="19">
                  <c:v>0.8</c:v>
                </c:pt>
                <c:pt idx="20">
                  <c:v>0.65</c:v>
                </c:pt>
                <c:pt idx="21">
                  <c:v>0.65</c:v>
                </c:pt>
                <c:pt idx="22">
                  <c:v>0.8</c:v>
                </c:pt>
                <c:pt idx="23">
                  <c:v>0.5</c:v>
                </c:pt>
                <c:pt idx="24">
                  <c:v>0.95</c:v>
                </c:pt>
                <c:pt idx="25">
                  <c:v>0.65</c:v>
                </c:pt>
                <c:pt idx="26">
                  <c:v>0.95</c:v>
                </c:pt>
                <c:pt idx="27">
                  <c:v>0.65</c:v>
                </c:pt>
                <c:pt idx="28">
                  <c:v>0.65</c:v>
                </c:pt>
                <c:pt idx="29">
                  <c:v>0.8</c:v>
                </c:pt>
                <c:pt idx="30">
                  <c:v>0.5</c:v>
                </c:pt>
                <c:pt idx="31">
                  <c:v>0.35</c:v>
                </c:pt>
                <c:pt idx="32">
                  <c:v>0.8</c:v>
                </c:pt>
                <c:pt idx="33">
                  <c:v>0.5</c:v>
                </c:pt>
                <c:pt idx="34">
                  <c:v>0.5</c:v>
                </c:pt>
                <c:pt idx="35">
                  <c:v>0.2</c:v>
                </c:pt>
                <c:pt idx="36">
                  <c:v>0.35</c:v>
                </c:pt>
                <c:pt idx="37">
                  <c:v>0.95</c:v>
                </c:pt>
                <c:pt idx="38">
                  <c:v>0.5</c:v>
                </c:pt>
                <c:pt idx="39">
                  <c:v>0.95</c:v>
                </c:pt>
                <c:pt idx="40">
                  <c:v>0.95</c:v>
                </c:pt>
                <c:pt idx="41">
                  <c:v>0.35</c:v>
                </c:pt>
                <c:pt idx="42">
                  <c:v>0.65</c:v>
                </c:pt>
                <c:pt idx="43">
                  <c:v>0.5</c:v>
                </c:pt>
                <c:pt idx="44">
                  <c:v>0.95</c:v>
                </c:pt>
                <c:pt idx="45">
                  <c:v>0.95</c:v>
                </c:pt>
                <c:pt idx="46">
                  <c:v>0.95</c:v>
                </c:pt>
                <c:pt idx="47">
                  <c:v>0.8</c:v>
                </c:pt>
                <c:pt idx="48">
                  <c:v>0.8</c:v>
                </c:pt>
                <c:pt idx="49">
                  <c:v>0.35</c:v>
                </c:pt>
                <c:pt idx="50">
                  <c:v>0.5</c:v>
                </c:pt>
                <c:pt idx="51">
                  <c:v>0.8</c:v>
                </c:pt>
                <c:pt idx="52">
                  <c:v>0.8</c:v>
                </c:pt>
                <c:pt idx="53">
                  <c:v>0.35</c:v>
                </c:pt>
                <c:pt idx="54">
                  <c:v>0.65</c:v>
                </c:pt>
                <c:pt idx="55">
                  <c:v>0.65</c:v>
                </c:pt>
                <c:pt idx="56">
                  <c:v>0.8</c:v>
                </c:pt>
                <c:pt idx="57">
                  <c:v>0.8</c:v>
                </c:pt>
                <c:pt idx="58">
                  <c:v>0.35</c:v>
                </c:pt>
                <c:pt idx="59">
                  <c:v>0.65</c:v>
                </c:pt>
                <c:pt idx="60">
                  <c:v>0.8</c:v>
                </c:pt>
                <c:pt idx="61">
                  <c:v>0.2</c:v>
                </c:pt>
                <c:pt idx="62">
                  <c:v>0.5</c:v>
                </c:pt>
                <c:pt idx="63">
                  <c:v>0.35</c:v>
                </c:pt>
                <c:pt idx="64">
                  <c:v>0.8</c:v>
                </c:pt>
                <c:pt idx="65">
                  <c:v>0.2</c:v>
                </c:pt>
                <c:pt idx="66">
                  <c:v>0.95</c:v>
                </c:pt>
                <c:pt idx="67">
                  <c:v>0.65</c:v>
                </c:pt>
                <c:pt idx="68">
                  <c:v>0.5</c:v>
                </c:pt>
                <c:pt idx="69">
                  <c:v>0.65</c:v>
                </c:pt>
                <c:pt idx="70">
                  <c:v>0.2</c:v>
                </c:pt>
                <c:pt idx="71">
                  <c:v>0.5</c:v>
                </c:pt>
                <c:pt idx="72">
                  <c:v>0.8</c:v>
                </c:pt>
                <c:pt idx="73">
                  <c:v>0.8</c:v>
                </c:pt>
                <c:pt idx="74">
                  <c:v>0.95</c:v>
                </c:pt>
                <c:pt idx="75">
                  <c:v>0.95</c:v>
                </c:pt>
                <c:pt idx="76">
                  <c:v>0.35</c:v>
                </c:pt>
                <c:pt idx="77">
                  <c:v>0.2</c:v>
                </c:pt>
                <c:pt idx="78">
                  <c:v>0.65</c:v>
                </c:pt>
                <c:pt idx="79">
                  <c:v>0.95</c:v>
                </c:pt>
                <c:pt idx="80">
                  <c:v>0.35</c:v>
                </c:pt>
                <c:pt idx="81">
                  <c:v>0.65</c:v>
                </c:pt>
                <c:pt idx="82">
                  <c:v>0.95</c:v>
                </c:pt>
                <c:pt idx="83">
                  <c:v>0.5</c:v>
                </c:pt>
                <c:pt idx="84">
                  <c:v>0.2</c:v>
                </c:pt>
                <c:pt idx="85">
                  <c:v>0.8</c:v>
                </c:pt>
                <c:pt idx="86">
                  <c:v>0.65</c:v>
                </c:pt>
                <c:pt idx="87">
                  <c:v>0.8</c:v>
                </c:pt>
                <c:pt idx="88">
                  <c:v>0.65</c:v>
                </c:pt>
                <c:pt idx="89">
                  <c:v>0.65</c:v>
                </c:pt>
                <c:pt idx="90">
                  <c:v>0.65</c:v>
                </c:pt>
                <c:pt idx="91">
                  <c:v>0.2</c:v>
                </c:pt>
                <c:pt idx="92">
                  <c:v>0.65</c:v>
                </c:pt>
                <c:pt idx="93">
                  <c:v>0.8</c:v>
                </c:pt>
                <c:pt idx="94">
                  <c:v>0.5</c:v>
                </c:pt>
                <c:pt idx="95">
                  <c:v>0.8</c:v>
                </c:pt>
                <c:pt idx="96">
                  <c:v>0.65</c:v>
                </c:pt>
                <c:pt idx="97">
                  <c:v>0.35</c:v>
                </c:pt>
                <c:pt idx="98">
                  <c:v>0.5</c:v>
                </c:pt>
                <c:pt idx="99">
                  <c:v>0.35</c:v>
                </c:pt>
                <c:pt idx="100">
                  <c:v>0.65</c:v>
                </c:pt>
                <c:pt idx="101">
                  <c:v>0.2</c:v>
                </c:pt>
                <c:pt idx="102">
                  <c:v>0.5</c:v>
                </c:pt>
                <c:pt idx="103">
                  <c:v>0.5</c:v>
                </c:pt>
                <c:pt idx="104">
                  <c:v>0.5</c:v>
                </c:pt>
                <c:pt idx="105">
                  <c:v>0.35</c:v>
                </c:pt>
                <c:pt idx="106">
                  <c:v>0.35</c:v>
                </c:pt>
                <c:pt idx="107">
                  <c:v>0.95</c:v>
                </c:pt>
                <c:pt idx="108">
                  <c:v>0.5</c:v>
                </c:pt>
                <c:pt idx="109">
                  <c:v>0.5</c:v>
                </c:pt>
                <c:pt idx="110">
                  <c:v>0.5</c:v>
                </c:pt>
                <c:pt idx="111">
                  <c:v>0.2</c:v>
                </c:pt>
                <c:pt idx="112">
                  <c:v>0.8</c:v>
                </c:pt>
                <c:pt idx="113">
                  <c:v>0.5</c:v>
                </c:pt>
                <c:pt idx="114">
                  <c:v>0.35</c:v>
                </c:pt>
                <c:pt idx="115">
                  <c:v>0.2</c:v>
                </c:pt>
                <c:pt idx="116">
                  <c:v>0.35</c:v>
                </c:pt>
                <c:pt idx="117">
                  <c:v>0.65</c:v>
                </c:pt>
                <c:pt idx="118">
                  <c:v>0.65</c:v>
                </c:pt>
                <c:pt idx="119">
                  <c:v>0.35</c:v>
                </c:pt>
                <c:pt idx="120">
                  <c:v>0.5</c:v>
                </c:pt>
                <c:pt idx="121">
                  <c:v>0.2</c:v>
                </c:pt>
                <c:pt idx="122">
                  <c:v>0.35</c:v>
                </c:pt>
                <c:pt idx="123">
                  <c:v>0.65</c:v>
                </c:pt>
                <c:pt idx="124">
                  <c:v>0.35</c:v>
                </c:pt>
                <c:pt idx="125">
                  <c:v>0.35</c:v>
                </c:pt>
                <c:pt idx="126">
                  <c:v>0.35</c:v>
                </c:pt>
                <c:pt idx="127">
                  <c:v>0.2</c:v>
                </c:pt>
                <c:pt idx="128">
                  <c:v>0.5</c:v>
                </c:pt>
                <c:pt idx="129">
                  <c:v>0.35</c:v>
                </c:pt>
                <c:pt idx="130">
                  <c:v>0.5</c:v>
                </c:pt>
                <c:pt idx="131">
                  <c:v>0.2</c:v>
                </c:pt>
                <c:pt idx="132">
                  <c:v>0.5</c:v>
                </c:pt>
                <c:pt idx="133">
                  <c:v>0.35</c:v>
                </c:pt>
                <c:pt idx="134">
                  <c:v>0.2</c:v>
                </c:pt>
                <c:pt idx="135">
                  <c:v>0.2</c:v>
                </c:pt>
                <c:pt idx="136">
                  <c:v>0.2</c:v>
                </c:pt>
                <c:pt idx="137">
                  <c:v>0.5</c:v>
                </c:pt>
                <c:pt idx="138">
                  <c:v>0.2</c:v>
                </c:pt>
                <c:pt idx="139">
                  <c:v>0.2</c:v>
                </c:pt>
                <c:pt idx="140">
                  <c:v>0.2</c:v>
                </c:pt>
                <c:pt idx="141">
                  <c:v>0.35</c:v>
                </c:pt>
                <c:pt idx="142">
                  <c:v>0.35</c:v>
                </c:pt>
                <c:pt idx="143">
                  <c:v>0.35</c:v>
                </c:pt>
                <c:pt idx="144">
                  <c:v>0.2</c:v>
                </c:pt>
                <c:pt idx="145">
                  <c:v>0.2</c:v>
                </c:pt>
                <c:pt idx="146">
                  <c:v>0.2</c:v>
                </c:pt>
                <c:pt idx="147">
                  <c:v>0.2</c:v>
                </c:pt>
                <c:pt idx="148">
                  <c:v>0.2</c:v>
                </c:pt>
                <c:pt idx="149">
                  <c:v>0.2</c:v>
                </c:pt>
              </c:numCache>
            </c:numRef>
          </c:xVal>
          <c:yVal>
            <c:numRef>
              <c:f>X!$P$2:$P$151</c:f>
              <c:numCache>
                <c:formatCode>General</c:formatCode>
                <c:ptCount val="150"/>
                <c:pt idx="0">
                  <c:v>13.304144454526543</c:v>
                </c:pt>
                <c:pt idx="1">
                  <c:v>13.502565671992119</c:v>
                </c:pt>
                <c:pt idx="2">
                  <c:v>15.478041601196693</c:v>
                </c:pt>
                <c:pt idx="3">
                  <c:v>9.9231163886782383</c:v>
                </c:pt>
                <c:pt idx="4">
                  <c:v>17.601191349118572</c:v>
                </c:pt>
                <c:pt idx="5">
                  <c:v>14.343863158320444</c:v>
                </c:pt>
                <c:pt idx="6">
                  <c:v>13.090285714285709</c:v>
                </c:pt>
                <c:pt idx="7">
                  <c:v>16.395846715481028</c:v>
                </c:pt>
                <c:pt idx="8">
                  <c:v>13.921045996546125</c:v>
                </c:pt>
                <c:pt idx="9">
                  <c:v>15.802338270898126</c:v>
                </c:pt>
                <c:pt idx="10">
                  <c:v>15.953999755122085</c:v>
                </c:pt>
                <c:pt idx="11">
                  <c:v>1.7991684189692756</c:v>
                </c:pt>
                <c:pt idx="12">
                  <c:v>2.1293397506051006</c:v>
                </c:pt>
                <c:pt idx="13">
                  <c:v>11.379104353218892</c:v>
                </c:pt>
                <c:pt idx="14">
                  <c:v>2.1384794540726029</c:v>
                </c:pt>
                <c:pt idx="15">
                  <c:v>2.488328069814159</c:v>
                </c:pt>
                <c:pt idx="16">
                  <c:v>3.093244152833992</c:v>
                </c:pt>
                <c:pt idx="17">
                  <c:v>0.78387712015568345</c:v>
                </c:pt>
                <c:pt idx="18">
                  <c:v>1.6916060296800948</c:v>
                </c:pt>
                <c:pt idx="19">
                  <c:v>3.6982596758236874</c:v>
                </c:pt>
                <c:pt idx="20">
                  <c:v>3.3240359456234825</c:v>
                </c:pt>
                <c:pt idx="21">
                  <c:v>2.4479284474593173</c:v>
                </c:pt>
                <c:pt idx="22">
                  <c:v>4.0030772265067318</c:v>
                </c:pt>
                <c:pt idx="23">
                  <c:v>3.0862322288121149</c:v>
                </c:pt>
                <c:pt idx="24">
                  <c:v>1.104891058597343</c:v>
                </c:pt>
                <c:pt idx="25">
                  <c:v>14.402306152996148</c:v>
                </c:pt>
                <c:pt idx="26">
                  <c:v>3.3811343462708154</c:v>
                </c:pt>
                <c:pt idx="27">
                  <c:v>5.2072956410954747</c:v>
                </c:pt>
                <c:pt idx="28">
                  <c:v>5.6086716041119375</c:v>
                </c:pt>
                <c:pt idx="29">
                  <c:v>9.0342659140694206</c:v>
                </c:pt>
                <c:pt idx="30">
                  <c:v>16.468526013456998</c:v>
                </c:pt>
                <c:pt idx="31">
                  <c:v>15.825785823097394</c:v>
                </c:pt>
                <c:pt idx="32">
                  <c:v>9.4034838463531578</c:v>
                </c:pt>
                <c:pt idx="33">
                  <c:v>14.073955771054562</c:v>
                </c:pt>
                <c:pt idx="34">
                  <c:v>15.010540963117766</c:v>
                </c:pt>
                <c:pt idx="35">
                  <c:v>2.9351905547335342</c:v>
                </c:pt>
                <c:pt idx="36">
                  <c:v>2.5201354014930475</c:v>
                </c:pt>
                <c:pt idx="37">
                  <c:v>10.897619125059254</c:v>
                </c:pt>
                <c:pt idx="38">
                  <c:v>4.420575551578783</c:v>
                </c:pt>
                <c:pt idx="39">
                  <c:v>3.7592309681246316</c:v>
                </c:pt>
                <c:pt idx="40">
                  <c:v>5.2226047166174459</c:v>
                </c:pt>
                <c:pt idx="41">
                  <c:v>4.6019633415177754</c:v>
                </c:pt>
                <c:pt idx="42">
                  <c:v>2.9053504772346055</c:v>
                </c:pt>
                <c:pt idx="43">
                  <c:v>4.103575239907145</c:v>
                </c:pt>
                <c:pt idx="44">
                  <c:v>5.0906988785421792</c:v>
                </c:pt>
                <c:pt idx="45">
                  <c:v>4.7869063420799201</c:v>
                </c:pt>
                <c:pt idx="46">
                  <c:v>4.8022899330330073</c:v>
                </c:pt>
                <c:pt idx="47">
                  <c:v>1.5163404608062949</c:v>
                </c:pt>
                <c:pt idx="48">
                  <c:v>3.501160230848408</c:v>
                </c:pt>
                <c:pt idx="49">
                  <c:v>5.7024555943945821</c:v>
                </c:pt>
                <c:pt idx="50">
                  <c:v>5.4847112059991758</c:v>
                </c:pt>
                <c:pt idx="51">
                  <c:v>4.4648953256427291</c:v>
                </c:pt>
                <c:pt idx="52">
                  <c:v>6.3757526361423817</c:v>
                </c:pt>
                <c:pt idx="53">
                  <c:v>4.7683468376621088</c:v>
                </c:pt>
                <c:pt idx="54">
                  <c:v>15.319349482629473</c:v>
                </c:pt>
                <c:pt idx="55">
                  <c:v>7.0676789489237208</c:v>
                </c:pt>
                <c:pt idx="56">
                  <c:v>5.6997793584358325</c:v>
                </c:pt>
                <c:pt idx="57">
                  <c:v>8.5526896105445456</c:v>
                </c:pt>
                <c:pt idx="58">
                  <c:v>9.5198486639438524</c:v>
                </c:pt>
                <c:pt idx="59">
                  <c:v>10.510602400327963</c:v>
                </c:pt>
                <c:pt idx="60">
                  <c:v>15.079158444875006</c:v>
                </c:pt>
                <c:pt idx="61">
                  <c:v>12.57095703116568</c:v>
                </c:pt>
                <c:pt idx="62">
                  <c:v>12.385709610759331</c:v>
                </c:pt>
                <c:pt idx="63">
                  <c:v>5.0370724774443261</c:v>
                </c:pt>
                <c:pt idx="64">
                  <c:v>7.0593698455986917</c:v>
                </c:pt>
                <c:pt idx="65">
                  <c:v>4.1926520460783401</c:v>
                </c:pt>
                <c:pt idx="66">
                  <c:v>6.3739876698288889</c:v>
                </c:pt>
                <c:pt idx="67">
                  <c:v>3.0316403019171343</c:v>
                </c:pt>
                <c:pt idx="68">
                  <c:v>5.247984989820325</c:v>
                </c:pt>
                <c:pt idx="69">
                  <c:v>6.8867755592812498</c:v>
                </c:pt>
                <c:pt idx="70">
                  <c:v>6.3168207248505031</c:v>
                </c:pt>
                <c:pt idx="71">
                  <c:v>3.7307646138797508</c:v>
                </c:pt>
                <c:pt idx="72">
                  <c:v>6.3406946366397001</c:v>
                </c:pt>
                <c:pt idx="73">
                  <c:v>8.0851413032148578</c:v>
                </c:pt>
                <c:pt idx="74">
                  <c:v>7.0014940419970282</c:v>
                </c:pt>
                <c:pt idx="75">
                  <c:v>8.1525949799775272</c:v>
                </c:pt>
                <c:pt idx="76">
                  <c:v>7.3247807176561981</c:v>
                </c:pt>
                <c:pt idx="77">
                  <c:v>2.7167331572757729</c:v>
                </c:pt>
                <c:pt idx="78">
                  <c:v>5.2951737805981969</c:v>
                </c:pt>
                <c:pt idx="79">
                  <c:v>8.0453524294312331</c:v>
                </c:pt>
                <c:pt idx="80">
                  <c:v>7.9443413639284817</c:v>
                </c:pt>
                <c:pt idx="81">
                  <c:v>6.2860006745048667</c:v>
                </c:pt>
                <c:pt idx="82">
                  <c:v>7.8556197894447015</c:v>
                </c:pt>
                <c:pt idx="83">
                  <c:v>7.0823929163230011</c:v>
                </c:pt>
                <c:pt idx="84">
                  <c:v>8.0464893797432104</c:v>
                </c:pt>
                <c:pt idx="85">
                  <c:v>10.035717148929423</c:v>
                </c:pt>
                <c:pt idx="86">
                  <c:v>8.0224558742725804</c:v>
                </c:pt>
                <c:pt idx="87">
                  <c:v>11.462974081185957</c:v>
                </c:pt>
                <c:pt idx="88">
                  <c:v>11.447526391280224</c:v>
                </c:pt>
                <c:pt idx="89">
                  <c:v>7.0937832982504867</c:v>
                </c:pt>
                <c:pt idx="90">
                  <c:v>10.256635592811477</c:v>
                </c:pt>
                <c:pt idx="91">
                  <c:v>8.1574670081262486</c:v>
                </c:pt>
                <c:pt idx="92">
                  <c:v>3.2359328062730204</c:v>
                </c:pt>
                <c:pt idx="93">
                  <c:v>8.244756968802287</c:v>
                </c:pt>
                <c:pt idx="94">
                  <c:v>9.3878271380449672</c:v>
                </c:pt>
                <c:pt idx="95">
                  <c:v>4.2083093133200373</c:v>
                </c:pt>
                <c:pt idx="96">
                  <c:v>8.1659190459302824</c:v>
                </c:pt>
                <c:pt idx="97">
                  <c:v>9.9311264365325016</c:v>
                </c:pt>
                <c:pt idx="98">
                  <c:v>11.588640736089088</c:v>
                </c:pt>
                <c:pt idx="99">
                  <c:v>9.3193194773217289</c:v>
                </c:pt>
                <c:pt idx="100">
                  <c:v>9.8567564653449615</c:v>
                </c:pt>
                <c:pt idx="101">
                  <c:v>9.299897689986393</c:v>
                </c:pt>
                <c:pt idx="102">
                  <c:v>4.2438623278726961</c:v>
                </c:pt>
                <c:pt idx="103">
                  <c:v>8.8582064580215913</c:v>
                </c:pt>
                <c:pt idx="104">
                  <c:v>11.505431448311123</c:v>
                </c:pt>
                <c:pt idx="105">
                  <c:v>9.8752777725489</c:v>
                </c:pt>
                <c:pt idx="106">
                  <c:v>8.9456633155279857</c:v>
                </c:pt>
                <c:pt idx="107">
                  <c:v>11.692492463570492</c:v>
                </c:pt>
                <c:pt idx="108">
                  <c:v>4.104532553388486</c:v>
                </c:pt>
                <c:pt idx="109">
                  <c:v>8.4307142721829305</c:v>
                </c:pt>
                <c:pt idx="110">
                  <c:v>9.838689857765436</c:v>
                </c:pt>
                <c:pt idx="111">
                  <c:v>9.2803284672199933</c:v>
                </c:pt>
                <c:pt idx="112">
                  <c:v>11.410178280683736</c:v>
                </c:pt>
                <c:pt idx="113">
                  <c:v>9.8986129623255383</c:v>
                </c:pt>
                <c:pt idx="114">
                  <c:v>4.7335071652627319</c:v>
                </c:pt>
                <c:pt idx="115">
                  <c:v>11.534705484974824</c:v>
                </c:pt>
                <c:pt idx="116">
                  <c:v>11.49820369159027</c:v>
                </c:pt>
                <c:pt idx="117">
                  <c:v>8.5241762157669339</c:v>
                </c:pt>
                <c:pt idx="118">
                  <c:v>9.8260353111393002</c:v>
                </c:pt>
                <c:pt idx="119">
                  <c:v>11.469165103293603</c:v>
                </c:pt>
                <c:pt idx="120">
                  <c:v>10.492263000768126</c:v>
                </c:pt>
                <c:pt idx="121">
                  <c:v>6.0313151617772434</c:v>
                </c:pt>
                <c:pt idx="122">
                  <c:v>9.3950076652861529</c:v>
                </c:pt>
                <c:pt idx="123">
                  <c:v>5.910939761718998</c:v>
                </c:pt>
                <c:pt idx="124">
                  <c:v>9.5020213993852831</c:v>
                </c:pt>
                <c:pt idx="125">
                  <c:v>10.202786801031925</c:v>
                </c:pt>
                <c:pt idx="126">
                  <c:v>5.8325880490446691</c:v>
                </c:pt>
                <c:pt idx="127">
                  <c:v>9.0565439726840165</c:v>
                </c:pt>
                <c:pt idx="128">
                  <c:v>10.633768842587013</c:v>
                </c:pt>
                <c:pt idx="129">
                  <c:v>10.252595835846437</c:v>
                </c:pt>
                <c:pt idx="130">
                  <c:v>12.576114297830898</c:v>
                </c:pt>
                <c:pt idx="131">
                  <c:v>10.693830552215253</c:v>
                </c:pt>
                <c:pt idx="132">
                  <c:v>5.6540793995971255</c:v>
                </c:pt>
                <c:pt idx="133">
                  <c:v>8.9217538642955638</c:v>
                </c:pt>
                <c:pt idx="134">
                  <c:v>12.564829947495323</c:v>
                </c:pt>
                <c:pt idx="135">
                  <c:v>10.668344945338628</c:v>
                </c:pt>
                <c:pt idx="136">
                  <c:v>10.268399337586823</c:v>
                </c:pt>
                <c:pt idx="137">
                  <c:v>5.8198658671852037</c:v>
                </c:pt>
                <c:pt idx="138">
                  <c:v>9.4671472368168068</c:v>
                </c:pt>
                <c:pt idx="139">
                  <c:v>12.556164828946452</c:v>
                </c:pt>
                <c:pt idx="140">
                  <c:v>10.548245584999867</c:v>
                </c:pt>
                <c:pt idx="141">
                  <c:v>10.285774883725679</c:v>
                </c:pt>
                <c:pt idx="142">
                  <c:v>12.563201098049451</c:v>
                </c:pt>
                <c:pt idx="143">
                  <c:v>9.1102579584884129</c:v>
                </c:pt>
                <c:pt idx="144">
                  <c:v>6.9142600641173031</c:v>
                </c:pt>
                <c:pt idx="145">
                  <c:v>9.1234788438264278</c:v>
                </c:pt>
                <c:pt idx="146">
                  <c:v>12.501450081744162</c:v>
                </c:pt>
                <c:pt idx="147">
                  <c:v>10.519424500004332</c:v>
                </c:pt>
                <c:pt idx="148">
                  <c:v>10.816960661554536</c:v>
                </c:pt>
                <c:pt idx="149">
                  <c:v>12.715327235644637</c:v>
                </c:pt>
              </c:numCache>
            </c:numRef>
          </c:yVal>
          <c:smooth val="0"/>
          <c:extLst>
            <c:ext xmlns:c16="http://schemas.microsoft.com/office/drawing/2014/chart" uri="{C3380CC4-5D6E-409C-BE32-E72D297353CC}">
              <c16:uniqueId val="{00000000-DAB5-4096-820F-CBD247DA2FDC}"/>
            </c:ext>
          </c:extLst>
        </c:ser>
        <c:dLbls>
          <c:showLegendKey val="0"/>
          <c:showVal val="0"/>
          <c:showCatName val="0"/>
          <c:showSerName val="0"/>
          <c:showPercent val="0"/>
          <c:showBubbleSize val="0"/>
        </c:dLbls>
        <c:axId val="1368598432"/>
        <c:axId val="1368607168"/>
      </c:scatterChart>
      <c:valAx>
        <c:axId val="1368598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607168"/>
        <c:crosses val="autoZero"/>
        <c:crossBetween val="midCat"/>
      </c:valAx>
      <c:valAx>
        <c:axId val="136860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5984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n-&gt; share CPU others FF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X!$AA$1</c:f>
              <c:strCache>
                <c:ptCount val="1"/>
                <c:pt idx="0">
                  <c:v>share CPU others FF</c:v>
                </c:pt>
              </c:strCache>
            </c:strRef>
          </c:tx>
          <c:spPr>
            <a:ln w="19050" cap="rnd">
              <a:noFill/>
              <a:round/>
            </a:ln>
            <a:effectLst/>
          </c:spPr>
          <c:marker>
            <c:symbol val="circle"/>
            <c:size val="5"/>
            <c:spPr>
              <a:solidFill>
                <a:schemeClr val="accent1"/>
              </a:solidFill>
              <a:ln w="9525">
                <a:solidFill>
                  <a:schemeClr val="accent1"/>
                </a:solidFill>
              </a:ln>
              <a:effectLst/>
            </c:spPr>
          </c:marker>
          <c:xVal>
            <c:numRef>
              <c:f>X!$B$2:$B$151</c:f>
              <c:numCache>
                <c:formatCode>General</c:formatCode>
                <c:ptCount val="150"/>
                <c:pt idx="0">
                  <c:v>4</c:v>
                </c:pt>
                <c:pt idx="1">
                  <c:v>4</c:v>
                </c:pt>
                <c:pt idx="2">
                  <c:v>5</c:v>
                </c:pt>
                <c:pt idx="3">
                  <c:v>5</c:v>
                </c:pt>
                <c:pt idx="4">
                  <c:v>3</c:v>
                </c:pt>
                <c:pt idx="5">
                  <c:v>4</c:v>
                </c:pt>
                <c:pt idx="6">
                  <c:v>6</c:v>
                </c:pt>
                <c:pt idx="7">
                  <c:v>4</c:v>
                </c:pt>
                <c:pt idx="8">
                  <c:v>4</c:v>
                </c:pt>
                <c:pt idx="9">
                  <c:v>4</c:v>
                </c:pt>
                <c:pt idx="10">
                  <c:v>3</c:v>
                </c:pt>
                <c:pt idx="11">
                  <c:v>4</c:v>
                </c:pt>
                <c:pt idx="12">
                  <c:v>4</c:v>
                </c:pt>
                <c:pt idx="13">
                  <c:v>4</c:v>
                </c:pt>
                <c:pt idx="14">
                  <c:v>4</c:v>
                </c:pt>
                <c:pt idx="15">
                  <c:v>4</c:v>
                </c:pt>
                <c:pt idx="16">
                  <c:v>5</c:v>
                </c:pt>
                <c:pt idx="17">
                  <c:v>4</c:v>
                </c:pt>
                <c:pt idx="18">
                  <c:v>5</c:v>
                </c:pt>
                <c:pt idx="19">
                  <c:v>5</c:v>
                </c:pt>
                <c:pt idx="20">
                  <c:v>4</c:v>
                </c:pt>
                <c:pt idx="21">
                  <c:v>4</c:v>
                </c:pt>
                <c:pt idx="22">
                  <c:v>5</c:v>
                </c:pt>
                <c:pt idx="23">
                  <c:v>4</c:v>
                </c:pt>
                <c:pt idx="24">
                  <c:v>7</c:v>
                </c:pt>
                <c:pt idx="25">
                  <c:v>5</c:v>
                </c:pt>
                <c:pt idx="26">
                  <c:v>7</c:v>
                </c:pt>
                <c:pt idx="27">
                  <c:v>5</c:v>
                </c:pt>
                <c:pt idx="28">
                  <c:v>4</c:v>
                </c:pt>
                <c:pt idx="29">
                  <c:v>5</c:v>
                </c:pt>
                <c:pt idx="30">
                  <c:v>4</c:v>
                </c:pt>
                <c:pt idx="31">
                  <c:v>4</c:v>
                </c:pt>
                <c:pt idx="32">
                  <c:v>5</c:v>
                </c:pt>
                <c:pt idx="33">
                  <c:v>4</c:v>
                </c:pt>
                <c:pt idx="34">
                  <c:v>4</c:v>
                </c:pt>
                <c:pt idx="35">
                  <c:v>4</c:v>
                </c:pt>
                <c:pt idx="36">
                  <c:v>4</c:v>
                </c:pt>
                <c:pt idx="37">
                  <c:v>5</c:v>
                </c:pt>
                <c:pt idx="38">
                  <c:v>4</c:v>
                </c:pt>
                <c:pt idx="39">
                  <c:v>5</c:v>
                </c:pt>
                <c:pt idx="40">
                  <c:v>3</c:v>
                </c:pt>
                <c:pt idx="41">
                  <c:v>4</c:v>
                </c:pt>
                <c:pt idx="42">
                  <c:v>5</c:v>
                </c:pt>
                <c:pt idx="43">
                  <c:v>5</c:v>
                </c:pt>
                <c:pt idx="44">
                  <c:v>6</c:v>
                </c:pt>
                <c:pt idx="45">
                  <c:v>6</c:v>
                </c:pt>
                <c:pt idx="46">
                  <c:v>3</c:v>
                </c:pt>
                <c:pt idx="47">
                  <c:v>3</c:v>
                </c:pt>
                <c:pt idx="48">
                  <c:v>6</c:v>
                </c:pt>
                <c:pt idx="49">
                  <c:v>4</c:v>
                </c:pt>
                <c:pt idx="50">
                  <c:v>5</c:v>
                </c:pt>
                <c:pt idx="51">
                  <c:v>3</c:v>
                </c:pt>
                <c:pt idx="52">
                  <c:v>6</c:v>
                </c:pt>
                <c:pt idx="53">
                  <c:v>5</c:v>
                </c:pt>
                <c:pt idx="54">
                  <c:v>5</c:v>
                </c:pt>
                <c:pt idx="55">
                  <c:v>5</c:v>
                </c:pt>
                <c:pt idx="56">
                  <c:v>3</c:v>
                </c:pt>
                <c:pt idx="57">
                  <c:v>6</c:v>
                </c:pt>
                <c:pt idx="58">
                  <c:v>4</c:v>
                </c:pt>
                <c:pt idx="59">
                  <c:v>6</c:v>
                </c:pt>
                <c:pt idx="60">
                  <c:v>3</c:v>
                </c:pt>
                <c:pt idx="61">
                  <c:v>5</c:v>
                </c:pt>
                <c:pt idx="62">
                  <c:v>5</c:v>
                </c:pt>
                <c:pt idx="63">
                  <c:v>5</c:v>
                </c:pt>
                <c:pt idx="64">
                  <c:v>3</c:v>
                </c:pt>
                <c:pt idx="65">
                  <c:v>4</c:v>
                </c:pt>
                <c:pt idx="66">
                  <c:v>3</c:v>
                </c:pt>
                <c:pt idx="67">
                  <c:v>3</c:v>
                </c:pt>
                <c:pt idx="68">
                  <c:v>5</c:v>
                </c:pt>
                <c:pt idx="69">
                  <c:v>3</c:v>
                </c:pt>
                <c:pt idx="70">
                  <c:v>4</c:v>
                </c:pt>
                <c:pt idx="71">
                  <c:v>5</c:v>
                </c:pt>
                <c:pt idx="72">
                  <c:v>6</c:v>
                </c:pt>
                <c:pt idx="73">
                  <c:v>6</c:v>
                </c:pt>
                <c:pt idx="74">
                  <c:v>6</c:v>
                </c:pt>
                <c:pt idx="75">
                  <c:v>6</c:v>
                </c:pt>
                <c:pt idx="76">
                  <c:v>5</c:v>
                </c:pt>
                <c:pt idx="77">
                  <c:v>4</c:v>
                </c:pt>
                <c:pt idx="78">
                  <c:v>6</c:v>
                </c:pt>
                <c:pt idx="79">
                  <c:v>7</c:v>
                </c:pt>
                <c:pt idx="80">
                  <c:v>5</c:v>
                </c:pt>
                <c:pt idx="81">
                  <c:v>6</c:v>
                </c:pt>
                <c:pt idx="82">
                  <c:v>7</c:v>
                </c:pt>
                <c:pt idx="83">
                  <c:v>6</c:v>
                </c:pt>
                <c:pt idx="84">
                  <c:v>4</c:v>
                </c:pt>
                <c:pt idx="85">
                  <c:v>7</c:v>
                </c:pt>
                <c:pt idx="86">
                  <c:v>6</c:v>
                </c:pt>
                <c:pt idx="87">
                  <c:v>7</c:v>
                </c:pt>
                <c:pt idx="88">
                  <c:v>3</c:v>
                </c:pt>
                <c:pt idx="89">
                  <c:v>6</c:v>
                </c:pt>
                <c:pt idx="90">
                  <c:v>3</c:v>
                </c:pt>
                <c:pt idx="91">
                  <c:v>5</c:v>
                </c:pt>
                <c:pt idx="92">
                  <c:v>3</c:v>
                </c:pt>
                <c:pt idx="93">
                  <c:v>7</c:v>
                </c:pt>
                <c:pt idx="94">
                  <c:v>6</c:v>
                </c:pt>
                <c:pt idx="95">
                  <c:v>7</c:v>
                </c:pt>
                <c:pt idx="96">
                  <c:v>7</c:v>
                </c:pt>
                <c:pt idx="97">
                  <c:v>5</c:v>
                </c:pt>
                <c:pt idx="98">
                  <c:v>3</c:v>
                </c:pt>
                <c:pt idx="99">
                  <c:v>6</c:v>
                </c:pt>
                <c:pt idx="100">
                  <c:v>7</c:v>
                </c:pt>
                <c:pt idx="101">
                  <c:v>5</c:v>
                </c:pt>
                <c:pt idx="102">
                  <c:v>6</c:v>
                </c:pt>
                <c:pt idx="103">
                  <c:v>3</c:v>
                </c:pt>
                <c:pt idx="104">
                  <c:v>6</c:v>
                </c:pt>
                <c:pt idx="105">
                  <c:v>3</c:v>
                </c:pt>
                <c:pt idx="106">
                  <c:v>6</c:v>
                </c:pt>
                <c:pt idx="107">
                  <c:v>7</c:v>
                </c:pt>
                <c:pt idx="108">
                  <c:v>3</c:v>
                </c:pt>
                <c:pt idx="109">
                  <c:v>3</c:v>
                </c:pt>
                <c:pt idx="110">
                  <c:v>3</c:v>
                </c:pt>
                <c:pt idx="111">
                  <c:v>5</c:v>
                </c:pt>
                <c:pt idx="112">
                  <c:v>7</c:v>
                </c:pt>
                <c:pt idx="113">
                  <c:v>6</c:v>
                </c:pt>
                <c:pt idx="114">
                  <c:v>6</c:v>
                </c:pt>
                <c:pt idx="115">
                  <c:v>3</c:v>
                </c:pt>
                <c:pt idx="116">
                  <c:v>3</c:v>
                </c:pt>
                <c:pt idx="117">
                  <c:v>7</c:v>
                </c:pt>
                <c:pt idx="118">
                  <c:v>7</c:v>
                </c:pt>
                <c:pt idx="119">
                  <c:v>3</c:v>
                </c:pt>
                <c:pt idx="120">
                  <c:v>7</c:v>
                </c:pt>
                <c:pt idx="121">
                  <c:v>6</c:v>
                </c:pt>
                <c:pt idx="122">
                  <c:v>6</c:v>
                </c:pt>
                <c:pt idx="123">
                  <c:v>7</c:v>
                </c:pt>
                <c:pt idx="124">
                  <c:v>3</c:v>
                </c:pt>
                <c:pt idx="125">
                  <c:v>6</c:v>
                </c:pt>
                <c:pt idx="126">
                  <c:v>3</c:v>
                </c:pt>
                <c:pt idx="127">
                  <c:v>6</c:v>
                </c:pt>
                <c:pt idx="128">
                  <c:v>7</c:v>
                </c:pt>
                <c:pt idx="129">
                  <c:v>7</c:v>
                </c:pt>
                <c:pt idx="130">
                  <c:v>7</c:v>
                </c:pt>
                <c:pt idx="131">
                  <c:v>3</c:v>
                </c:pt>
                <c:pt idx="132">
                  <c:v>7</c:v>
                </c:pt>
                <c:pt idx="133">
                  <c:v>7</c:v>
                </c:pt>
                <c:pt idx="134">
                  <c:v>6</c:v>
                </c:pt>
                <c:pt idx="135">
                  <c:v>5</c:v>
                </c:pt>
                <c:pt idx="136">
                  <c:v>3</c:v>
                </c:pt>
                <c:pt idx="137">
                  <c:v>7</c:v>
                </c:pt>
                <c:pt idx="138">
                  <c:v>3</c:v>
                </c:pt>
                <c:pt idx="139">
                  <c:v>3</c:v>
                </c:pt>
                <c:pt idx="140">
                  <c:v>7</c:v>
                </c:pt>
                <c:pt idx="141">
                  <c:v>7</c:v>
                </c:pt>
                <c:pt idx="142">
                  <c:v>7</c:v>
                </c:pt>
                <c:pt idx="143">
                  <c:v>7</c:v>
                </c:pt>
                <c:pt idx="144">
                  <c:v>6</c:v>
                </c:pt>
                <c:pt idx="145">
                  <c:v>7</c:v>
                </c:pt>
                <c:pt idx="146">
                  <c:v>7</c:v>
                </c:pt>
                <c:pt idx="147">
                  <c:v>6</c:v>
                </c:pt>
                <c:pt idx="148">
                  <c:v>7</c:v>
                </c:pt>
                <c:pt idx="149">
                  <c:v>7</c:v>
                </c:pt>
              </c:numCache>
            </c:numRef>
          </c:xVal>
          <c:yVal>
            <c:numRef>
              <c:f>X!$AA$2:$AA$151</c:f>
              <c:numCache>
                <c:formatCode>General</c:formatCode>
                <c:ptCount val="150"/>
                <c:pt idx="0">
                  <c:v>0.47192663054468398</c:v>
                </c:pt>
                <c:pt idx="1">
                  <c:v>0.45637232270340472</c:v>
                </c:pt>
                <c:pt idx="2">
                  <c:v>0.47120213031706876</c:v>
                </c:pt>
                <c:pt idx="3">
                  <c:v>0.43794790052463145</c:v>
                </c:pt>
                <c:pt idx="4">
                  <c:v>0.56882836435043005</c:v>
                </c:pt>
                <c:pt idx="5">
                  <c:v>0.34551659962115566</c:v>
                </c:pt>
                <c:pt idx="6">
                  <c:v>0.42699804663042806</c:v>
                </c:pt>
                <c:pt idx="7">
                  <c:v>0.31673568746276126</c:v>
                </c:pt>
                <c:pt idx="8">
                  <c:v>0.57662069779596159</c:v>
                </c:pt>
                <c:pt idx="9">
                  <c:v>0.53978322072496887</c:v>
                </c:pt>
                <c:pt idx="10">
                  <c:v>0.51283393200008587</c:v>
                </c:pt>
                <c:pt idx="11">
                  <c:v>0.33913209856501331</c:v>
                </c:pt>
                <c:pt idx="12">
                  <c:v>0.34925395997815462</c:v>
                </c:pt>
                <c:pt idx="13">
                  <c:v>0.25861312229760325</c:v>
                </c:pt>
                <c:pt idx="14">
                  <c:v>0.20458313786485616</c:v>
                </c:pt>
                <c:pt idx="15">
                  <c:v>0.35050916185967101</c:v>
                </c:pt>
                <c:pt idx="16">
                  <c:v>0.51169884455876957</c:v>
                </c:pt>
                <c:pt idx="17">
                  <c:v>0.54581347373060352</c:v>
                </c:pt>
                <c:pt idx="18">
                  <c:v>0.28034431366688883</c:v>
                </c:pt>
                <c:pt idx="19">
                  <c:v>0.28361656751897901</c:v>
                </c:pt>
                <c:pt idx="20">
                  <c:v>0.24320225612226576</c:v>
                </c:pt>
                <c:pt idx="21">
                  <c:v>0.20953487169469776</c:v>
                </c:pt>
                <c:pt idx="22">
                  <c:v>0.31273466107307324</c:v>
                </c:pt>
                <c:pt idx="23">
                  <c:v>8.9776547733693923E-2</c:v>
                </c:pt>
                <c:pt idx="24">
                  <c:v>0.37293130747010794</c:v>
                </c:pt>
                <c:pt idx="25">
                  <c:v>0.17608384540686073</c:v>
                </c:pt>
                <c:pt idx="26">
                  <c:v>0.37650323477278463</c:v>
                </c:pt>
                <c:pt idx="27">
                  <c:v>0.21093900348170169</c:v>
                </c:pt>
                <c:pt idx="28">
                  <c:v>0.22639515365170138</c:v>
                </c:pt>
                <c:pt idx="29">
                  <c:v>0.31089890765102796</c:v>
                </c:pt>
                <c:pt idx="30">
                  <c:v>0.10542074749474639</c:v>
                </c:pt>
                <c:pt idx="31">
                  <c:v>3.7086644663753998E-2</c:v>
                </c:pt>
                <c:pt idx="32">
                  <c:v>0.29438692366533131</c:v>
                </c:pt>
                <c:pt idx="33">
                  <c:v>8.9222184687260064E-2</c:v>
                </c:pt>
                <c:pt idx="34">
                  <c:v>0.10166667975593824</c:v>
                </c:pt>
                <c:pt idx="35">
                  <c:v>9.6009466045455794E-3</c:v>
                </c:pt>
                <c:pt idx="36">
                  <c:v>4.7237118791082389E-2</c:v>
                </c:pt>
                <c:pt idx="37">
                  <c:v>0.44342120777677907</c:v>
                </c:pt>
                <c:pt idx="38">
                  <c:v>0.11135505783022481</c:v>
                </c:pt>
                <c:pt idx="39">
                  <c:v>0.46746343129621076</c:v>
                </c:pt>
                <c:pt idx="40">
                  <c:v>0.4795494968878844</c:v>
                </c:pt>
                <c:pt idx="41">
                  <c:v>3.6216600027327184E-2</c:v>
                </c:pt>
                <c:pt idx="42">
                  <c:v>0.20095729197194212</c:v>
                </c:pt>
                <c:pt idx="43">
                  <c:v>7.4762852777841893E-2</c:v>
                </c:pt>
                <c:pt idx="44">
                  <c:v>0.43699028568117437</c:v>
                </c:pt>
                <c:pt idx="45">
                  <c:v>0.43073904852476325</c:v>
                </c:pt>
                <c:pt idx="46">
                  <c:v>0.4733241183862652</c:v>
                </c:pt>
                <c:pt idx="47">
                  <c:v>0.39848849064433622</c:v>
                </c:pt>
                <c:pt idx="48">
                  <c:v>0.25039209567524107</c:v>
                </c:pt>
                <c:pt idx="49">
                  <c:v>5.1814344089410325E-2</c:v>
                </c:pt>
                <c:pt idx="50">
                  <c:v>9.2633883445237153E-2</c:v>
                </c:pt>
                <c:pt idx="51">
                  <c:v>0.32216568298423887</c:v>
                </c:pt>
                <c:pt idx="52">
                  <c:v>0.28890075422947964</c:v>
                </c:pt>
                <c:pt idx="53">
                  <c:v>2.9029908126162907E-2</c:v>
                </c:pt>
                <c:pt idx="54">
                  <c:v>0.18260520217482235</c:v>
                </c:pt>
                <c:pt idx="55">
                  <c:v>0.21087501256833119</c:v>
                </c:pt>
                <c:pt idx="56">
                  <c:v>0.29939086020337957</c:v>
                </c:pt>
                <c:pt idx="57">
                  <c:v>0.25310996844627814</c:v>
                </c:pt>
                <c:pt idx="58">
                  <c:v>4.4456398122285634E-2</c:v>
                </c:pt>
                <c:pt idx="59">
                  <c:v>0.16760956173172026</c:v>
                </c:pt>
                <c:pt idx="60">
                  <c:v>0.32025877137371406</c:v>
                </c:pt>
                <c:pt idx="61">
                  <c:v>7.4488111591984874E-3</c:v>
                </c:pt>
                <c:pt idx="62">
                  <c:v>7.8553520935689791E-2</c:v>
                </c:pt>
                <c:pt idx="63">
                  <c:v>4.5430876736123338E-2</c:v>
                </c:pt>
                <c:pt idx="64">
                  <c:v>0.34122519169999066</c:v>
                </c:pt>
                <c:pt idx="65">
                  <c:v>9.6437931997556126E-3</c:v>
                </c:pt>
                <c:pt idx="66">
                  <c:v>0.46316360121442385</c:v>
                </c:pt>
                <c:pt idx="67">
                  <c:v>0.25004382018668714</c:v>
                </c:pt>
                <c:pt idx="68">
                  <c:v>8.9236737266953192E-2</c:v>
                </c:pt>
                <c:pt idx="69">
                  <c:v>0.20875332716361955</c:v>
                </c:pt>
                <c:pt idx="70">
                  <c:v>1.7257244166625885E-2</c:v>
                </c:pt>
                <c:pt idx="71">
                  <c:v>0.10373965298220389</c:v>
                </c:pt>
                <c:pt idx="72">
                  <c:v>0.2415479068757902</c:v>
                </c:pt>
                <c:pt idx="73">
                  <c:v>0.25256905963221976</c:v>
                </c:pt>
                <c:pt idx="74">
                  <c:v>0.39384845589375017</c:v>
                </c:pt>
                <c:pt idx="75">
                  <c:v>0.37452466646546367</c:v>
                </c:pt>
                <c:pt idx="76">
                  <c:v>3.8623046200034761E-2</c:v>
                </c:pt>
                <c:pt idx="77">
                  <c:v>1.1300434813354188E-2</c:v>
                </c:pt>
                <c:pt idx="78">
                  <c:v>0.15604285514366883</c:v>
                </c:pt>
                <c:pt idx="79">
                  <c:v>0.36497065866383893</c:v>
                </c:pt>
                <c:pt idx="80">
                  <c:v>3.3251275920197998E-2</c:v>
                </c:pt>
                <c:pt idx="81">
                  <c:v>0.18661387509494537</c:v>
                </c:pt>
                <c:pt idx="82">
                  <c:v>0.33838991485274211</c:v>
                </c:pt>
                <c:pt idx="83">
                  <c:v>7.5440868757617074E-2</c:v>
                </c:pt>
                <c:pt idx="84">
                  <c:v>1.6807962926743303E-2</c:v>
                </c:pt>
                <c:pt idx="85">
                  <c:v>0.19295644473997076</c:v>
                </c:pt>
                <c:pt idx="86">
                  <c:v>0.14131474933066912</c:v>
                </c:pt>
                <c:pt idx="87">
                  <c:v>0.2053958476997863</c:v>
                </c:pt>
                <c:pt idx="88">
                  <c:v>0.19041101687453216</c:v>
                </c:pt>
                <c:pt idx="89">
                  <c:v>0.16558318078595963</c:v>
                </c:pt>
                <c:pt idx="90">
                  <c:v>0.19482992699510177</c:v>
                </c:pt>
                <c:pt idx="91">
                  <c:v>1.352406605589046E-2</c:v>
                </c:pt>
                <c:pt idx="92">
                  <c:v>0.21033922365914909</c:v>
                </c:pt>
                <c:pt idx="93">
                  <c:v>0.19393911633820504</c:v>
                </c:pt>
                <c:pt idx="94">
                  <c:v>5.9389167106009666E-2</c:v>
                </c:pt>
                <c:pt idx="95">
                  <c:v>0.19711717216155256</c:v>
                </c:pt>
                <c:pt idx="96">
                  <c:v>0.12724426192128369</c:v>
                </c:pt>
                <c:pt idx="97">
                  <c:v>5.2465619588791201E-2</c:v>
                </c:pt>
                <c:pt idx="98">
                  <c:v>8.7741171805513773E-2</c:v>
                </c:pt>
                <c:pt idx="99">
                  <c:v>3.2554918637459018E-2</c:v>
                </c:pt>
                <c:pt idx="100">
                  <c:v>0.16350675158576261</c:v>
                </c:pt>
                <c:pt idx="101">
                  <c:v>8.8397107138747377E-3</c:v>
                </c:pt>
                <c:pt idx="102">
                  <c:v>7.6258822029876439E-2</c:v>
                </c:pt>
                <c:pt idx="103">
                  <c:v>9.9018128392943883E-2</c:v>
                </c:pt>
                <c:pt idx="104">
                  <c:v>6.6484975421813641E-2</c:v>
                </c:pt>
                <c:pt idx="105">
                  <c:v>3.5011758813249139E-2</c:v>
                </c:pt>
                <c:pt idx="106">
                  <c:v>2.8208260827231768E-2</c:v>
                </c:pt>
                <c:pt idx="107">
                  <c:v>0.29200516673379806</c:v>
                </c:pt>
                <c:pt idx="108">
                  <c:v>0.12158414379473226</c:v>
                </c:pt>
                <c:pt idx="109">
                  <c:v>9.4030975443484988E-2</c:v>
                </c:pt>
                <c:pt idx="110">
                  <c:v>7.7466287269660539E-2</c:v>
                </c:pt>
                <c:pt idx="111">
                  <c:v>1.1803801124279423E-2</c:v>
                </c:pt>
                <c:pt idx="112">
                  <c:v>0.19155211336284386</c:v>
                </c:pt>
                <c:pt idx="113">
                  <c:v>8.5521015066685468E-2</c:v>
                </c:pt>
                <c:pt idx="114">
                  <c:v>2.464274518396653E-2</c:v>
                </c:pt>
                <c:pt idx="115">
                  <c:v>9.8038698387512557E-3</c:v>
                </c:pt>
                <c:pt idx="116">
                  <c:v>4.0056819523470621E-2</c:v>
                </c:pt>
                <c:pt idx="117">
                  <c:v>0.11340720073053945</c:v>
                </c:pt>
                <c:pt idx="118">
                  <c:v>0.13975025826878518</c:v>
                </c:pt>
                <c:pt idx="119">
                  <c:v>3.1254779874492489E-2</c:v>
                </c:pt>
                <c:pt idx="120">
                  <c:v>5.3478356892594114E-2</c:v>
                </c:pt>
                <c:pt idx="121">
                  <c:v>1.0430858903156592E-2</c:v>
                </c:pt>
                <c:pt idx="122">
                  <c:v>5.0039430773263949E-2</c:v>
                </c:pt>
                <c:pt idx="123">
                  <c:v>0.11637249780532744</c:v>
                </c:pt>
                <c:pt idx="124">
                  <c:v>3.7152617810670918E-2</c:v>
                </c:pt>
                <c:pt idx="125">
                  <c:v>3.7147717797621604E-2</c:v>
                </c:pt>
                <c:pt idx="126">
                  <c:v>3.4647950350975287E-2</c:v>
                </c:pt>
                <c:pt idx="127">
                  <c:v>6.2154075570464706E-3</c:v>
                </c:pt>
                <c:pt idx="128">
                  <c:v>7.3465081290209372E-2</c:v>
                </c:pt>
                <c:pt idx="129">
                  <c:v>2.1731823968034136E-2</c:v>
                </c:pt>
                <c:pt idx="130">
                  <c:v>5.4699323094103219E-2</c:v>
                </c:pt>
                <c:pt idx="131">
                  <c:v>8.2275326650314562E-3</c:v>
                </c:pt>
                <c:pt idx="132">
                  <c:v>4.511908660725969E-2</c:v>
                </c:pt>
                <c:pt idx="133">
                  <c:v>1.9004550387134278E-2</c:v>
                </c:pt>
                <c:pt idx="134">
                  <c:v>7.9392571631473063E-3</c:v>
                </c:pt>
                <c:pt idx="135">
                  <c:v>2.140639669281752E-2</c:v>
                </c:pt>
                <c:pt idx="136">
                  <c:v>1.344540953448542E-2</c:v>
                </c:pt>
                <c:pt idx="137">
                  <c:v>6.0585500956145427E-2</c:v>
                </c:pt>
                <c:pt idx="138">
                  <c:v>1.0635272250521577E-2</c:v>
                </c:pt>
                <c:pt idx="139">
                  <c:v>1.3598292855591582E-2</c:v>
                </c:pt>
                <c:pt idx="140">
                  <c:v>6.7728689789059715E-3</c:v>
                </c:pt>
                <c:pt idx="141">
                  <c:v>3.213156755136698E-2</c:v>
                </c:pt>
                <c:pt idx="142">
                  <c:v>3.9832657209349642E-2</c:v>
                </c:pt>
                <c:pt idx="143">
                  <c:v>2.4019256163150177E-2</c:v>
                </c:pt>
                <c:pt idx="144">
                  <c:v>1.3400006550448817E-2</c:v>
                </c:pt>
                <c:pt idx="145">
                  <c:v>5.0018103515330758E-3</c:v>
                </c:pt>
                <c:pt idx="146">
                  <c:v>8.2179976162677082E-3</c:v>
                </c:pt>
                <c:pt idx="147">
                  <c:v>2.2447429535373944E-2</c:v>
                </c:pt>
                <c:pt idx="148">
                  <c:v>1.2061750835272375E-2</c:v>
                </c:pt>
                <c:pt idx="149">
                  <c:v>2.5130539494313792E-2</c:v>
                </c:pt>
              </c:numCache>
            </c:numRef>
          </c:yVal>
          <c:smooth val="0"/>
          <c:extLst>
            <c:ext xmlns:c16="http://schemas.microsoft.com/office/drawing/2014/chart" uri="{C3380CC4-5D6E-409C-BE32-E72D297353CC}">
              <c16:uniqueId val="{00000000-CA95-49DC-8625-C2D34F6BCF7C}"/>
            </c:ext>
          </c:extLst>
        </c:ser>
        <c:dLbls>
          <c:showLegendKey val="0"/>
          <c:showVal val="0"/>
          <c:showCatName val="0"/>
          <c:showSerName val="0"/>
          <c:showPercent val="0"/>
          <c:showBubbleSize val="0"/>
        </c:dLbls>
        <c:axId val="1368598432"/>
        <c:axId val="1368607168"/>
      </c:scatterChart>
      <c:valAx>
        <c:axId val="1368598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607168"/>
        <c:crosses val="autoZero"/>
        <c:crossBetween val="midCat"/>
      </c:valAx>
      <c:valAx>
        <c:axId val="136860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5984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eta-&gt; share CPU others FF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X!$AA$1</c:f>
              <c:strCache>
                <c:ptCount val="1"/>
                <c:pt idx="0">
                  <c:v>share CPU others FF</c:v>
                </c:pt>
              </c:strCache>
            </c:strRef>
          </c:tx>
          <c:spPr>
            <a:ln w="19050" cap="rnd">
              <a:noFill/>
              <a:round/>
            </a:ln>
            <a:effectLst/>
          </c:spPr>
          <c:marker>
            <c:symbol val="circle"/>
            <c:size val="5"/>
            <c:spPr>
              <a:solidFill>
                <a:schemeClr val="accent1"/>
              </a:solidFill>
              <a:ln w="9525">
                <a:solidFill>
                  <a:schemeClr val="accent1"/>
                </a:solidFill>
              </a:ln>
              <a:effectLst/>
            </c:spPr>
          </c:marker>
          <c:xVal>
            <c:numRef>
              <c:f>X!$D$2:$D$151</c:f>
              <c:numCache>
                <c:formatCode>General</c:formatCode>
                <c:ptCount val="150"/>
                <c:pt idx="0">
                  <c:v>0.95</c:v>
                </c:pt>
                <c:pt idx="1">
                  <c:v>0.95</c:v>
                </c:pt>
                <c:pt idx="2">
                  <c:v>0.95</c:v>
                </c:pt>
                <c:pt idx="3">
                  <c:v>0.95</c:v>
                </c:pt>
                <c:pt idx="4">
                  <c:v>0.95</c:v>
                </c:pt>
                <c:pt idx="5">
                  <c:v>0.8</c:v>
                </c:pt>
                <c:pt idx="6">
                  <c:v>0.95</c:v>
                </c:pt>
                <c:pt idx="7">
                  <c:v>0.8</c:v>
                </c:pt>
                <c:pt idx="8">
                  <c:v>0.95</c:v>
                </c:pt>
                <c:pt idx="9">
                  <c:v>0.95</c:v>
                </c:pt>
                <c:pt idx="10">
                  <c:v>0.95</c:v>
                </c:pt>
                <c:pt idx="11">
                  <c:v>0.8</c:v>
                </c:pt>
                <c:pt idx="12">
                  <c:v>0.8</c:v>
                </c:pt>
                <c:pt idx="13">
                  <c:v>0.65</c:v>
                </c:pt>
                <c:pt idx="14">
                  <c:v>0.65</c:v>
                </c:pt>
                <c:pt idx="15">
                  <c:v>0.8</c:v>
                </c:pt>
                <c:pt idx="16">
                  <c:v>0.95</c:v>
                </c:pt>
                <c:pt idx="17">
                  <c:v>0.95</c:v>
                </c:pt>
                <c:pt idx="18">
                  <c:v>0.8</c:v>
                </c:pt>
                <c:pt idx="19">
                  <c:v>0.8</c:v>
                </c:pt>
                <c:pt idx="20">
                  <c:v>0.65</c:v>
                </c:pt>
                <c:pt idx="21">
                  <c:v>0.65</c:v>
                </c:pt>
                <c:pt idx="22">
                  <c:v>0.8</c:v>
                </c:pt>
                <c:pt idx="23">
                  <c:v>0.5</c:v>
                </c:pt>
                <c:pt idx="24">
                  <c:v>0.95</c:v>
                </c:pt>
                <c:pt idx="25">
                  <c:v>0.65</c:v>
                </c:pt>
                <c:pt idx="26">
                  <c:v>0.95</c:v>
                </c:pt>
                <c:pt idx="27">
                  <c:v>0.65</c:v>
                </c:pt>
                <c:pt idx="28">
                  <c:v>0.65</c:v>
                </c:pt>
                <c:pt idx="29">
                  <c:v>0.8</c:v>
                </c:pt>
                <c:pt idx="30">
                  <c:v>0.5</c:v>
                </c:pt>
                <c:pt idx="31">
                  <c:v>0.35</c:v>
                </c:pt>
                <c:pt idx="32">
                  <c:v>0.8</c:v>
                </c:pt>
                <c:pt idx="33">
                  <c:v>0.5</c:v>
                </c:pt>
                <c:pt idx="34">
                  <c:v>0.5</c:v>
                </c:pt>
                <c:pt idx="35">
                  <c:v>0.2</c:v>
                </c:pt>
                <c:pt idx="36">
                  <c:v>0.35</c:v>
                </c:pt>
                <c:pt idx="37">
                  <c:v>0.95</c:v>
                </c:pt>
                <c:pt idx="38">
                  <c:v>0.5</c:v>
                </c:pt>
                <c:pt idx="39">
                  <c:v>0.95</c:v>
                </c:pt>
                <c:pt idx="40">
                  <c:v>0.95</c:v>
                </c:pt>
                <c:pt idx="41">
                  <c:v>0.35</c:v>
                </c:pt>
                <c:pt idx="42">
                  <c:v>0.65</c:v>
                </c:pt>
                <c:pt idx="43">
                  <c:v>0.5</c:v>
                </c:pt>
                <c:pt idx="44">
                  <c:v>0.95</c:v>
                </c:pt>
                <c:pt idx="45">
                  <c:v>0.95</c:v>
                </c:pt>
                <c:pt idx="46">
                  <c:v>0.95</c:v>
                </c:pt>
                <c:pt idx="47">
                  <c:v>0.8</c:v>
                </c:pt>
                <c:pt idx="48">
                  <c:v>0.8</c:v>
                </c:pt>
                <c:pt idx="49">
                  <c:v>0.35</c:v>
                </c:pt>
                <c:pt idx="50">
                  <c:v>0.5</c:v>
                </c:pt>
                <c:pt idx="51">
                  <c:v>0.8</c:v>
                </c:pt>
                <c:pt idx="52">
                  <c:v>0.8</c:v>
                </c:pt>
                <c:pt idx="53">
                  <c:v>0.35</c:v>
                </c:pt>
                <c:pt idx="54">
                  <c:v>0.65</c:v>
                </c:pt>
                <c:pt idx="55">
                  <c:v>0.65</c:v>
                </c:pt>
                <c:pt idx="56">
                  <c:v>0.8</c:v>
                </c:pt>
                <c:pt idx="57">
                  <c:v>0.8</c:v>
                </c:pt>
                <c:pt idx="58">
                  <c:v>0.35</c:v>
                </c:pt>
                <c:pt idx="59">
                  <c:v>0.65</c:v>
                </c:pt>
                <c:pt idx="60">
                  <c:v>0.8</c:v>
                </c:pt>
                <c:pt idx="61">
                  <c:v>0.2</c:v>
                </c:pt>
                <c:pt idx="62">
                  <c:v>0.5</c:v>
                </c:pt>
                <c:pt idx="63">
                  <c:v>0.35</c:v>
                </c:pt>
                <c:pt idx="64">
                  <c:v>0.8</c:v>
                </c:pt>
                <c:pt idx="65">
                  <c:v>0.2</c:v>
                </c:pt>
                <c:pt idx="66">
                  <c:v>0.95</c:v>
                </c:pt>
                <c:pt idx="67">
                  <c:v>0.65</c:v>
                </c:pt>
                <c:pt idx="68">
                  <c:v>0.5</c:v>
                </c:pt>
                <c:pt idx="69">
                  <c:v>0.65</c:v>
                </c:pt>
                <c:pt idx="70">
                  <c:v>0.2</c:v>
                </c:pt>
                <c:pt idx="71">
                  <c:v>0.5</c:v>
                </c:pt>
                <c:pt idx="72">
                  <c:v>0.8</c:v>
                </c:pt>
                <c:pt idx="73">
                  <c:v>0.8</c:v>
                </c:pt>
                <c:pt idx="74">
                  <c:v>0.95</c:v>
                </c:pt>
                <c:pt idx="75">
                  <c:v>0.95</c:v>
                </c:pt>
                <c:pt idx="76">
                  <c:v>0.35</c:v>
                </c:pt>
                <c:pt idx="77">
                  <c:v>0.2</c:v>
                </c:pt>
                <c:pt idx="78">
                  <c:v>0.65</c:v>
                </c:pt>
                <c:pt idx="79">
                  <c:v>0.95</c:v>
                </c:pt>
                <c:pt idx="80">
                  <c:v>0.35</c:v>
                </c:pt>
                <c:pt idx="81">
                  <c:v>0.65</c:v>
                </c:pt>
                <c:pt idx="82">
                  <c:v>0.95</c:v>
                </c:pt>
                <c:pt idx="83">
                  <c:v>0.5</c:v>
                </c:pt>
                <c:pt idx="84">
                  <c:v>0.2</c:v>
                </c:pt>
                <c:pt idx="85">
                  <c:v>0.8</c:v>
                </c:pt>
                <c:pt idx="86">
                  <c:v>0.65</c:v>
                </c:pt>
                <c:pt idx="87">
                  <c:v>0.8</c:v>
                </c:pt>
                <c:pt idx="88">
                  <c:v>0.65</c:v>
                </c:pt>
                <c:pt idx="89">
                  <c:v>0.65</c:v>
                </c:pt>
                <c:pt idx="90">
                  <c:v>0.65</c:v>
                </c:pt>
                <c:pt idx="91">
                  <c:v>0.2</c:v>
                </c:pt>
                <c:pt idx="92">
                  <c:v>0.65</c:v>
                </c:pt>
                <c:pt idx="93">
                  <c:v>0.8</c:v>
                </c:pt>
                <c:pt idx="94">
                  <c:v>0.5</c:v>
                </c:pt>
                <c:pt idx="95">
                  <c:v>0.8</c:v>
                </c:pt>
                <c:pt idx="96">
                  <c:v>0.65</c:v>
                </c:pt>
                <c:pt idx="97">
                  <c:v>0.35</c:v>
                </c:pt>
                <c:pt idx="98">
                  <c:v>0.5</c:v>
                </c:pt>
                <c:pt idx="99">
                  <c:v>0.35</c:v>
                </c:pt>
                <c:pt idx="100">
                  <c:v>0.65</c:v>
                </c:pt>
                <c:pt idx="101">
                  <c:v>0.2</c:v>
                </c:pt>
                <c:pt idx="102">
                  <c:v>0.5</c:v>
                </c:pt>
                <c:pt idx="103">
                  <c:v>0.5</c:v>
                </c:pt>
                <c:pt idx="104">
                  <c:v>0.5</c:v>
                </c:pt>
                <c:pt idx="105">
                  <c:v>0.35</c:v>
                </c:pt>
                <c:pt idx="106">
                  <c:v>0.35</c:v>
                </c:pt>
                <c:pt idx="107">
                  <c:v>0.95</c:v>
                </c:pt>
                <c:pt idx="108">
                  <c:v>0.5</c:v>
                </c:pt>
                <c:pt idx="109">
                  <c:v>0.5</c:v>
                </c:pt>
                <c:pt idx="110">
                  <c:v>0.5</c:v>
                </c:pt>
                <c:pt idx="111">
                  <c:v>0.2</c:v>
                </c:pt>
                <c:pt idx="112">
                  <c:v>0.8</c:v>
                </c:pt>
                <c:pt idx="113">
                  <c:v>0.5</c:v>
                </c:pt>
                <c:pt idx="114">
                  <c:v>0.35</c:v>
                </c:pt>
                <c:pt idx="115">
                  <c:v>0.2</c:v>
                </c:pt>
                <c:pt idx="116">
                  <c:v>0.35</c:v>
                </c:pt>
                <c:pt idx="117">
                  <c:v>0.65</c:v>
                </c:pt>
                <c:pt idx="118">
                  <c:v>0.65</c:v>
                </c:pt>
                <c:pt idx="119">
                  <c:v>0.35</c:v>
                </c:pt>
                <c:pt idx="120">
                  <c:v>0.5</c:v>
                </c:pt>
                <c:pt idx="121">
                  <c:v>0.2</c:v>
                </c:pt>
                <c:pt idx="122">
                  <c:v>0.35</c:v>
                </c:pt>
                <c:pt idx="123">
                  <c:v>0.65</c:v>
                </c:pt>
                <c:pt idx="124">
                  <c:v>0.35</c:v>
                </c:pt>
                <c:pt idx="125">
                  <c:v>0.35</c:v>
                </c:pt>
                <c:pt idx="126">
                  <c:v>0.35</c:v>
                </c:pt>
                <c:pt idx="127">
                  <c:v>0.2</c:v>
                </c:pt>
                <c:pt idx="128">
                  <c:v>0.5</c:v>
                </c:pt>
                <c:pt idx="129">
                  <c:v>0.35</c:v>
                </c:pt>
                <c:pt idx="130">
                  <c:v>0.5</c:v>
                </c:pt>
                <c:pt idx="131">
                  <c:v>0.2</c:v>
                </c:pt>
                <c:pt idx="132">
                  <c:v>0.5</c:v>
                </c:pt>
                <c:pt idx="133">
                  <c:v>0.35</c:v>
                </c:pt>
                <c:pt idx="134">
                  <c:v>0.2</c:v>
                </c:pt>
                <c:pt idx="135">
                  <c:v>0.2</c:v>
                </c:pt>
                <c:pt idx="136">
                  <c:v>0.2</c:v>
                </c:pt>
                <c:pt idx="137">
                  <c:v>0.5</c:v>
                </c:pt>
                <c:pt idx="138">
                  <c:v>0.2</c:v>
                </c:pt>
                <c:pt idx="139">
                  <c:v>0.2</c:v>
                </c:pt>
                <c:pt idx="140">
                  <c:v>0.2</c:v>
                </c:pt>
                <c:pt idx="141">
                  <c:v>0.35</c:v>
                </c:pt>
                <c:pt idx="142">
                  <c:v>0.35</c:v>
                </c:pt>
                <c:pt idx="143">
                  <c:v>0.35</c:v>
                </c:pt>
                <c:pt idx="144">
                  <c:v>0.2</c:v>
                </c:pt>
                <c:pt idx="145">
                  <c:v>0.2</c:v>
                </c:pt>
                <c:pt idx="146">
                  <c:v>0.2</c:v>
                </c:pt>
                <c:pt idx="147">
                  <c:v>0.2</c:v>
                </c:pt>
                <c:pt idx="148">
                  <c:v>0.2</c:v>
                </c:pt>
                <c:pt idx="149">
                  <c:v>0.2</c:v>
                </c:pt>
              </c:numCache>
            </c:numRef>
          </c:xVal>
          <c:yVal>
            <c:numRef>
              <c:f>X!$AA$2:$AA$151</c:f>
              <c:numCache>
                <c:formatCode>General</c:formatCode>
                <c:ptCount val="150"/>
                <c:pt idx="0">
                  <c:v>0.47192663054468398</c:v>
                </c:pt>
                <c:pt idx="1">
                  <c:v>0.45637232270340472</c:v>
                </c:pt>
                <c:pt idx="2">
                  <c:v>0.47120213031706876</c:v>
                </c:pt>
                <c:pt idx="3">
                  <c:v>0.43794790052463145</c:v>
                </c:pt>
                <c:pt idx="4">
                  <c:v>0.56882836435043005</c:v>
                </c:pt>
                <c:pt idx="5">
                  <c:v>0.34551659962115566</c:v>
                </c:pt>
                <c:pt idx="6">
                  <c:v>0.42699804663042806</c:v>
                </c:pt>
                <c:pt idx="7">
                  <c:v>0.31673568746276126</c:v>
                </c:pt>
                <c:pt idx="8">
                  <c:v>0.57662069779596159</c:v>
                </c:pt>
                <c:pt idx="9">
                  <c:v>0.53978322072496887</c:v>
                </c:pt>
                <c:pt idx="10">
                  <c:v>0.51283393200008587</c:v>
                </c:pt>
                <c:pt idx="11">
                  <c:v>0.33913209856501331</c:v>
                </c:pt>
                <c:pt idx="12">
                  <c:v>0.34925395997815462</c:v>
                </c:pt>
                <c:pt idx="13">
                  <c:v>0.25861312229760325</c:v>
                </c:pt>
                <c:pt idx="14">
                  <c:v>0.20458313786485616</c:v>
                </c:pt>
                <c:pt idx="15">
                  <c:v>0.35050916185967101</c:v>
                </c:pt>
                <c:pt idx="16">
                  <c:v>0.51169884455876957</c:v>
                </c:pt>
                <c:pt idx="17">
                  <c:v>0.54581347373060352</c:v>
                </c:pt>
                <c:pt idx="18">
                  <c:v>0.28034431366688883</c:v>
                </c:pt>
                <c:pt idx="19">
                  <c:v>0.28361656751897901</c:v>
                </c:pt>
                <c:pt idx="20">
                  <c:v>0.24320225612226576</c:v>
                </c:pt>
                <c:pt idx="21">
                  <c:v>0.20953487169469776</c:v>
                </c:pt>
                <c:pt idx="22">
                  <c:v>0.31273466107307324</c:v>
                </c:pt>
                <c:pt idx="23">
                  <c:v>8.9776547733693923E-2</c:v>
                </c:pt>
                <c:pt idx="24">
                  <c:v>0.37293130747010794</c:v>
                </c:pt>
                <c:pt idx="25">
                  <c:v>0.17608384540686073</c:v>
                </c:pt>
                <c:pt idx="26">
                  <c:v>0.37650323477278463</c:v>
                </c:pt>
                <c:pt idx="27">
                  <c:v>0.21093900348170169</c:v>
                </c:pt>
                <c:pt idx="28">
                  <c:v>0.22639515365170138</c:v>
                </c:pt>
                <c:pt idx="29">
                  <c:v>0.31089890765102796</c:v>
                </c:pt>
                <c:pt idx="30">
                  <c:v>0.10542074749474639</c:v>
                </c:pt>
                <c:pt idx="31">
                  <c:v>3.7086644663753998E-2</c:v>
                </c:pt>
                <c:pt idx="32">
                  <c:v>0.29438692366533131</c:v>
                </c:pt>
                <c:pt idx="33">
                  <c:v>8.9222184687260064E-2</c:v>
                </c:pt>
                <c:pt idx="34">
                  <c:v>0.10166667975593824</c:v>
                </c:pt>
                <c:pt idx="35">
                  <c:v>9.6009466045455794E-3</c:v>
                </c:pt>
                <c:pt idx="36">
                  <c:v>4.7237118791082389E-2</c:v>
                </c:pt>
                <c:pt idx="37">
                  <c:v>0.44342120777677907</c:v>
                </c:pt>
                <c:pt idx="38">
                  <c:v>0.11135505783022481</c:v>
                </c:pt>
                <c:pt idx="39">
                  <c:v>0.46746343129621076</c:v>
                </c:pt>
                <c:pt idx="40">
                  <c:v>0.4795494968878844</c:v>
                </c:pt>
                <c:pt idx="41">
                  <c:v>3.6216600027327184E-2</c:v>
                </c:pt>
                <c:pt idx="42">
                  <c:v>0.20095729197194212</c:v>
                </c:pt>
                <c:pt idx="43">
                  <c:v>7.4762852777841893E-2</c:v>
                </c:pt>
                <c:pt idx="44">
                  <c:v>0.43699028568117437</c:v>
                </c:pt>
                <c:pt idx="45">
                  <c:v>0.43073904852476325</c:v>
                </c:pt>
                <c:pt idx="46">
                  <c:v>0.4733241183862652</c:v>
                </c:pt>
                <c:pt idx="47">
                  <c:v>0.39848849064433622</c:v>
                </c:pt>
                <c:pt idx="48">
                  <c:v>0.25039209567524107</c:v>
                </c:pt>
                <c:pt idx="49">
                  <c:v>5.1814344089410325E-2</c:v>
                </c:pt>
                <c:pt idx="50">
                  <c:v>9.2633883445237153E-2</c:v>
                </c:pt>
                <c:pt idx="51">
                  <c:v>0.32216568298423887</c:v>
                </c:pt>
                <c:pt idx="52">
                  <c:v>0.28890075422947964</c:v>
                </c:pt>
                <c:pt idx="53">
                  <c:v>2.9029908126162907E-2</c:v>
                </c:pt>
                <c:pt idx="54">
                  <c:v>0.18260520217482235</c:v>
                </c:pt>
                <c:pt idx="55">
                  <c:v>0.21087501256833119</c:v>
                </c:pt>
                <c:pt idx="56">
                  <c:v>0.29939086020337957</c:v>
                </c:pt>
                <c:pt idx="57">
                  <c:v>0.25310996844627814</c:v>
                </c:pt>
                <c:pt idx="58">
                  <c:v>4.4456398122285634E-2</c:v>
                </c:pt>
                <c:pt idx="59">
                  <c:v>0.16760956173172026</c:v>
                </c:pt>
                <c:pt idx="60">
                  <c:v>0.32025877137371406</c:v>
                </c:pt>
                <c:pt idx="61">
                  <c:v>7.4488111591984874E-3</c:v>
                </c:pt>
                <c:pt idx="62">
                  <c:v>7.8553520935689791E-2</c:v>
                </c:pt>
                <c:pt idx="63">
                  <c:v>4.5430876736123338E-2</c:v>
                </c:pt>
                <c:pt idx="64">
                  <c:v>0.34122519169999066</c:v>
                </c:pt>
                <c:pt idx="65">
                  <c:v>9.6437931997556126E-3</c:v>
                </c:pt>
                <c:pt idx="66">
                  <c:v>0.46316360121442385</c:v>
                </c:pt>
                <c:pt idx="67">
                  <c:v>0.25004382018668714</c:v>
                </c:pt>
                <c:pt idx="68">
                  <c:v>8.9236737266953192E-2</c:v>
                </c:pt>
                <c:pt idx="69">
                  <c:v>0.20875332716361955</c:v>
                </c:pt>
                <c:pt idx="70">
                  <c:v>1.7257244166625885E-2</c:v>
                </c:pt>
                <c:pt idx="71">
                  <c:v>0.10373965298220389</c:v>
                </c:pt>
                <c:pt idx="72">
                  <c:v>0.2415479068757902</c:v>
                </c:pt>
                <c:pt idx="73">
                  <c:v>0.25256905963221976</c:v>
                </c:pt>
                <c:pt idx="74">
                  <c:v>0.39384845589375017</c:v>
                </c:pt>
                <c:pt idx="75">
                  <c:v>0.37452466646546367</c:v>
                </c:pt>
                <c:pt idx="76">
                  <c:v>3.8623046200034761E-2</c:v>
                </c:pt>
                <c:pt idx="77">
                  <c:v>1.1300434813354188E-2</c:v>
                </c:pt>
                <c:pt idx="78">
                  <c:v>0.15604285514366883</c:v>
                </c:pt>
                <c:pt idx="79">
                  <c:v>0.36497065866383893</c:v>
                </c:pt>
                <c:pt idx="80">
                  <c:v>3.3251275920197998E-2</c:v>
                </c:pt>
                <c:pt idx="81">
                  <c:v>0.18661387509494537</c:v>
                </c:pt>
                <c:pt idx="82">
                  <c:v>0.33838991485274211</c:v>
                </c:pt>
                <c:pt idx="83">
                  <c:v>7.5440868757617074E-2</c:v>
                </c:pt>
                <c:pt idx="84">
                  <c:v>1.6807962926743303E-2</c:v>
                </c:pt>
                <c:pt idx="85">
                  <c:v>0.19295644473997076</c:v>
                </c:pt>
                <c:pt idx="86">
                  <c:v>0.14131474933066912</c:v>
                </c:pt>
                <c:pt idx="87">
                  <c:v>0.2053958476997863</c:v>
                </c:pt>
                <c:pt idx="88">
                  <c:v>0.19041101687453216</c:v>
                </c:pt>
                <c:pt idx="89">
                  <c:v>0.16558318078595963</c:v>
                </c:pt>
                <c:pt idx="90">
                  <c:v>0.19482992699510177</c:v>
                </c:pt>
                <c:pt idx="91">
                  <c:v>1.352406605589046E-2</c:v>
                </c:pt>
                <c:pt idx="92">
                  <c:v>0.21033922365914909</c:v>
                </c:pt>
                <c:pt idx="93">
                  <c:v>0.19393911633820504</c:v>
                </c:pt>
                <c:pt idx="94">
                  <c:v>5.9389167106009666E-2</c:v>
                </c:pt>
                <c:pt idx="95">
                  <c:v>0.19711717216155256</c:v>
                </c:pt>
                <c:pt idx="96">
                  <c:v>0.12724426192128369</c:v>
                </c:pt>
                <c:pt idx="97">
                  <c:v>5.2465619588791201E-2</c:v>
                </c:pt>
                <c:pt idx="98">
                  <c:v>8.7741171805513773E-2</c:v>
                </c:pt>
                <c:pt idx="99">
                  <c:v>3.2554918637459018E-2</c:v>
                </c:pt>
                <c:pt idx="100">
                  <c:v>0.16350675158576261</c:v>
                </c:pt>
                <c:pt idx="101">
                  <c:v>8.8397107138747377E-3</c:v>
                </c:pt>
                <c:pt idx="102">
                  <c:v>7.6258822029876439E-2</c:v>
                </c:pt>
                <c:pt idx="103">
                  <c:v>9.9018128392943883E-2</c:v>
                </c:pt>
                <c:pt idx="104">
                  <c:v>6.6484975421813641E-2</c:v>
                </c:pt>
                <c:pt idx="105">
                  <c:v>3.5011758813249139E-2</c:v>
                </c:pt>
                <c:pt idx="106">
                  <c:v>2.8208260827231768E-2</c:v>
                </c:pt>
                <c:pt idx="107">
                  <c:v>0.29200516673379806</c:v>
                </c:pt>
                <c:pt idx="108">
                  <c:v>0.12158414379473226</c:v>
                </c:pt>
                <c:pt idx="109">
                  <c:v>9.4030975443484988E-2</c:v>
                </c:pt>
                <c:pt idx="110">
                  <c:v>7.7466287269660539E-2</c:v>
                </c:pt>
                <c:pt idx="111">
                  <c:v>1.1803801124279423E-2</c:v>
                </c:pt>
                <c:pt idx="112">
                  <c:v>0.19155211336284386</c:v>
                </c:pt>
                <c:pt idx="113">
                  <c:v>8.5521015066685468E-2</c:v>
                </c:pt>
                <c:pt idx="114">
                  <c:v>2.464274518396653E-2</c:v>
                </c:pt>
                <c:pt idx="115">
                  <c:v>9.8038698387512557E-3</c:v>
                </c:pt>
                <c:pt idx="116">
                  <c:v>4.0056819523470621E-2</c:v>
                </c:pt>
                <c:pt idx="117">
                  <c:v>0.11340720073053945</c:v>
                </c:pt>
                <c:pt idx="118">
                  <c:v>0.13975025826878518</c:v>
                </c:pt>
                <c:pt idx="119">
                  <c:v>3.1254779874492489E-2</c:v>
                </c:pt>
                <c:pt idx="120">
                  <c:v>5.3478356892594114E-2</c:v>
                </c:pt>
                <c:pt idx="121">
                  <c:v>1.0430858903156592E-2</c:v>
                </c:pt>
                <c:pt idx="122">
                  <c:v>5.0039430773263949E-2</c:v>
                </c:pt>
                <c:pt idx="123">
                  <c:v>0.11637249780532744</c:v>
                </c:pt>
                <c:pt idx="124">
                  <c:v>3.7152617810670918E-2</c:v>
                </c:pt>
                <c:pt idx="125">
                  <c:v>3.7147717797621604E-2</c:v>
                </c:pt>
                <c:pt idx="126">
                  <c:v>3.4647950350975287E-2</c:v>
                </c:pt>
                <c:pt idx="127">
                  <c:v>6.2154075570464706E-3</c:v>
                </c:pt>
                <c:pt idx="128">
                  <c:v>7.3465081290209372E-2</c:v>
                </c:pt>
                <c:pt idx="129">
                  <c:v>2.1731823968034136E-2</c:v>
                </c:pt>
                <c:pt idx="130">
                  <c:v>5.4699323094103219E-2</c:v>
                </c:pt>
                <c:pt idx="131">
                  <c:v>8.2275326650314562E-3</c:v>
                </c:pt>
                <c:pt idx="132">
                  <c:v>4.511908660725969E-2</c:v>
                </c:pt>
                <c:pt idx="133">
                  <c:v>1.9004550387134278E-2</c:v>
                </c:pt>
                <c:pt idx="134">
                  <c:v>7.9392571631473063E-3</c:v>
                </c:pt>
                <c:pt idx="135">
                  <c:v>2.140639669281752E-2</c:v>
                </c:pt>
                <c:pt idx="136">
                  <c:v>1.344540953448542E-2</c:v>
                </c:pt>
                <c:pt idx="137">
                  <c:v>6.0585500956145427E-2</c:v>
                </c:pt>
                <c:pt idx="138">
                  <c:v>1.0635272250521577E-2</c:v>
                </c:pt>
                <c:pt idx="139">
                  <c:v>1.3598292855591582E-2</c:v>
                </c:pt>
                <c:pt idx="140">
                  <c:v>6.7728689789059715E-3</c:v>
                </c:pt>
                <c:pt idx="141">
                  <c:v>3.213156755136698E-2</c:v>
                </c:pt>
                <c:pt idx="142">
                  <c:v>3.9832657209349642E-2</c:v>
                </c:pt>
                <c:pt idx="143">
                  <c:v>2.4019256163150177E-2</c:v>
                </c:pt>
                <c:pt idx="144">
                  <c:v>1.3400006550448817E-2</c:v>
                </c:pt>
                <c:pt idx="145">
                  <c:v>5.0018103515330758E-3</c:v>
                </c:pt>
                <c:pt idx="146">
                  <c:v>8.2179976162677082E-3</c:v>
                </c:pt>
                <c:pt idx="147">
                  <c:v>2.2447429535373944E-2</c:v>
                </c:pt>
                <c:pt idx="148">
                  <c:v>1.2061750835272375E-2</c:v>
                </c:pt>
                <c:pt idx="149">
                  <c:v>2.5130539494313792E-2</c:v>
                </c:pt>
              </c:numCache>
            </c:numRef>
          </c:yVal>
          <c:smooth val="0"/>
          <c:extLst>
            <c:ext xmlns:c16="http://schemas.microsoft.com/office/drawing/2014/chart" uri="{C3380CC4-5D6E-409C-BE32-E72D297353CC}">
              <c16:uniqueId val="{00000000-AC0A-4391-AD59-043AE9BDF8CF}"/>
            </c:ext>
          </c:extLst>
        </c:ser>
        <c:dLbls>
          <c:showLegendKey val="0"/>
          <c:showVal val="0"/>
          <c:showCatName val="0"/>
          <c:showSerName val="0"/>
          <c:showPercent val="0"/>
          <c:showBubbleSize val="0"/>
        </c:dLbls>
        <c:axId val="1368598432"/>
        <c:axId val="1368607168"/>
      </c:scatterChart>
      <c:valAx>
        <c:axId val="1368598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607168"/>
        <c:crosses val="autoZero"/>
        <c:crossBetween val="midCat"/>
      </c:valAx>
      <c:valAx>
        <c:axId val="136860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5984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share CPU others FF -&gt; X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X!$AA$1</c:f>
              <c:strCache>
                <c:ptCount val="1"/>
                <c:pt idx="0">
                  <c:v>share CPU others FF</c:v>
                </c:pt>
              </c:strCache>
            </c:strRef>
          </c:tx>
          <c:spPr>
            <a:ln w="19050" cap="rnd">
              <a:noFill/>
              <a:round/>
            </a:ln>
            <a:effectLst/>
          </c:spPr>
          <c:marker>
            <c:symbol val="circle"/>
            <c:size val="5"/>
            <c:spPr>
              <a:solidFill>
                <a:schemeClr val="accent1"/>
              </a:solidFill>
              <a:ln w="9525">
                <a:solidFill>
                  <a:schemeClr val="accent1"/>
                </a:solidFill>
              </a:ln>
              <a:effectLst/>
            </c:spPr>
          </c:marker>
          <c:xVal>
            <c:numRef>
              <c:f>X!$AA$2:$AA$151</c:f>
              <c:numCache>
                <c:formatCode>General</c:formatCode>
                <c:ptCount val="150"/>
                <c:pt idx="0">
                  <c:v>0.47192663054468398</c:v>
                </c:pt>
                <c:pt idx="1">
                  <c:v>0.45637232270340472</c:v>
                </c:pt>
                <c:pt idx="2">
                  <c:v>0.47120213031706876</c:v>
                </c:pt>
                <c:pt idx="3">
                  <c:v>0.43794790052463145</c:v>
                </c:pt>
                <c:pt idx="4">
                  <c:v>0.56882836435043005</c:v>
                </c:pt>
                <c:pt idx="5">
                  <c:v>0.34551659962115566</c:v>
                </c:pt>
                <c:pt idx="6">
                  <c:v>0.42699804663042806</c:v>
                </c:pt>
                <c:pt idx="7">
                  <c:v>0.31673568746276126</c:v>
                </c:pt>
                <c:pt idx="8">
                  <c:v>0.57662069779596159</c:v>
                </c:pt>
                <c:pt idx="9">
                  <c:v>0.53978322072496887</c:v>
                </c:pt>
                <c:pt idx="10">
                  <c:v>0.51283393200008587</c:v>
                </c:pt>
                <c:pt idx="11">
                  <c:v>0.33913209856501331</c:v>
                </c:pt>
                <c:pt idx="12">
                  <c:v>0.34925395997815462</c:v>
                </c:pt>
                <c:pt idx="13">
                  <c:v>0.25861312229760325</c:v>
                </c:pt>
                <c:pt idx="14">
                  <c:v>0.20458313786485616</c:v>
                </c:pt>
                <c:pt idx="15">
                  <c:v>0.35050916185967101</c:v>
                </c:pt>
                <c:pt idx="16">
                  <c:v>0.51169884455876957</c:v>
                </c:pt>
                <c:pt idx="17">
                  <c:v>0.54581347373060352</c:v>
                </c:pt>
                <c:pt idx="18">
                  <c:v>0.28034431366688883</c:v>
                </c:pt>
                <c:pt idx="19">
                  <c:v>0.28361656751897901</c:v>
                </c:pt>
                <c:pt idx="20">
                  <c:v>0.24320225612226576</c:v>
                </c:pt>
                <c:pt idx="21">
                  <c:v>0.20953487169469776</c:v>
                </c:pt>
                <c:pt idx="22">
                  <c:v>0.31273466107307324</c:v>
                </c:pt>
                <c:pt idx="23">
                  <c:v>8.9776547733693923E-2</c:v>
                </c:pt>
                <c:pt idx="24">
                  <c:v>0.37293130747010794</c:v>
                </c:pt>
                <c:pt idx="25">
                  <c:v>0.17608384540686073</c:v>
                </c:pt>
                <c:pt idx="26">
                  <c:v>0.37650323477278463</c:v>
                </c:pt>
                <c:pt idx="27">
                  <c:v>0.21093900348170169</c:v>
                </c:pt>
                <c:pt idx="28">
                  <c:v>0.22639515365170138</c:v>
                </c:pt>
                <c:pt idx="29">
                  <c:v>0.31089890765102796</c:v>
                </c:pt>
                <c:pt idx="30">
                  <c:v>0.10542074749474639</c:v>
                </c:pt>
                <c:pt idx="31">
                  <c:v>3.7086644663753998E-2</c:v>
                </c:pt>
                <c:pt idx="32">
                  <c:v>0.29438692366533131</c:v>
                </c:pt>
                <c:pt idx="33">
                  <c:v>8.9222184687260064E-2</c:v>
                </c:pt>
                <c:pt idx="34">
                  <c:v>0.10166667975593824</c:v>
                </c:pt>
                <c:pt idx="35">
                  <c:v>9.6009466045455794E-3</c:v>
                </c:pt>
                <c:pt idx="36">
                  <c:v>4.7237118791082389E-2</c:v>
                </c:pt>
                <c:pt idx="37">
                  <c:v>0.44342120777677907</c:v>
                </c:pt>
                <c:pt idx="38">
                  <c:v>0.11135505783022481</c:v>
                </c:pt>
                <c:pt idx="39">
                  <c:v>0.46746343129621076</c:v>
                </c:pt>
                <c:pt idx="40">
                  <c:v>0.4795494968878844</c:v>
                </c:pt>
                <c:pt idx="41">
                  <c:v>3.6216600027327184E-2</c:v>
                </c:pt>
                <c:pt idx="42">
                  <c:v>0.20095729197194212</c:v>
                </c:pt>
                <c:pt idx="43">
                  <c:v>7.4762852777841893E-2</c:v>
                </c:pt>
                <c:pt idx="44">
                  <c:v>0.43699028568117437</c:v>
                </c:pt>
                <c:pt idx="45">
                  <c:v>0.43073904852476325</c:v>
                </c:pt>
                <c:pt idx="46">
                  <c:v>0.4733241183862652</c:v>
                </c:pt>
                <c:pt idx="47">
                  <c:v>0.39848849064433622</c:v>
                </c:pt>
                <c:pt idx="48">
                  <c:v>0.25039209567524107</c:v>
                </c:pt>
                <c:pt idx="49">
                  <c:v>5.1814344089410325E-2</c:v>
                </c:pt>
                <c:pt idx="50">
                  <c:v>9.2633883445237153E-2</c:v>
                </c:pt>
                <c:pt idx="51">
                  <c:v>0.32216568298423887</c:v>
                </c:pt>
                <c:pt idx="52">
                  <c:v>0.28890075422947964</c:v>
                </c:pt>
                <c:pt idx="53">
                  <c:v>2.9029908126162907E-2</c:v>
                </c:pt>
                <c:pt idx="54">
                  <c:v>0.18260520217482235</c:v>
                </c:pt>
                <c:pt idx="55">
                  <c:v>0.21087501256833119</c:v>
                </c:pt>
                <c:pt idx="56">
                  <c:v>0.29939086020337957</c:v>
                </c:pt>
                <c:pt idx="57">
                  <c:v>0.25310996844627814</c:v>
                </c:pt>
                <c:pt idx="58">
                  <c:v>4.4456398122285634E-2</c:v>
                </c:pt>
                <c:pt idx="59">
                  <c:v>0.16760956173172026</c:v>
                </c:pt>
                <c:pt idx="60">
                  <c:v>0.32025877137371406</c:v>
                </c:pt>
                <c:pt idx="61">
                  <c:v>7.4488111591984874E-3</c:v>
                </c:pt>
                <c:pt idx="62">
                  <c:v>7.8553520935689791E-2</c:v>
                </c:pt>
                <c:pt idx="63">
                  <c:v>4.5430876736123338E-2</c:v>
                </c:pt>
                <c:pt idx="64">
                  <c:v>0.34122519169999066</c:v>
                </c:pt>
                <c:pt idx="65">
                  <c:v>9.6437931997556126E-3</c:v>
                </c:pt>
                <c:pt idx="66">
                  <c:v>0.46316360121442385</c:v>
                </c:pt>
                <c:pt idx="67">
                  <c:v>0.25004382018668714</c:v>
                </c:pt>
                <c:pt idx="68">
                  <c:v>8.9236737266953192E-2</c:v>
                </c:pt>
                <c:pt idx="69">
                  <c:v>0.20875332716361955</c:v>
                </c:pt>
                <c:pt idx="70">
                  <c:v>1.7257244166625885E-2</c:v>
                </c:pt>
                <c:pt idx="71">
                  <c:v>0.10373965298220389</c:v>
                </c:pt>
                <c:pt idx="72">
                  <c:v>0.2415479068757902</c:v>
                </c:pt>
                <c:pt idx="73">
                  <c:v>0.25256905963221976</c:v>
                </c:pt>
                <c:pt idx="74">
                  <c:v>0.39384845589375017</c:v>
                </c:pt>
                <c:pt idx="75">
                  <c:v>0.37452466646546367</c:v>
                </c:pt>
                <c:pt idx="76">
                  <c:v>3.8623046200034761E-2</c:v>
                </c:pt>
                <c:pt idx="77">
                  <c:v>1.1300434813354188E-2</c:v>
                </c:pt>
                <c:pt idx="78">
                  <c:v>0.15604285514366883</c:v>
                </c:pt>
                <c:pt idx="79">
                  <c:v>0.36497065866383893</c:v>
                </c:pt>
                <c:pt idx="80">
                  <c:v>3.3251275920197998E-2</c:v>
                </c:pt>
                <c:pt idx="81">
                  <c:v>0.18661387509494537</c:v>
                </c:pt>
                <c:pt idx="82">
                  <c:v>0.33838991485274211</c:v>
                </c:pt>
                <c:pt idx="83">
                  <c:v>7.5440868757617074E-2</c:v>
                </c:pt>
                <c:pt idx="84">
                  <c:v>1.6807962926743303E-2</c:v>
                </c:pt>
                <c:pt idx="85">
                  <c:v>0.19295644473997076</c:v>
                </c:pt>
                <c:pt idx="86">
                  <c:v>0.14131474933066912</c:v>
                </c:pt>
                <c:pt idx="87">
                  <c:v>0.2053958476997863</c:v>
                </c:pt>
                <c:pt idx="88">
                  <c:v>0.19041101687453216</c:v>
                </c:pt>
                <c:pt idx="89">
                  <c:v>0.16558318078595963</c:v>
                </c:pt>
                <c:pt idx="90">
                  <c:v>0.19482992699510177</c:v>
                </c:pt>
                <c:pt idx="91">
                  <c:v>1.352406605589046E-2</c:v>
                </c:pt>
                <c:pt idx="92">
                  <c:v>0.21033922365914909</c:v>
                </c:pt>
                <c:pt idx="93">
                  <c:v>0.19393911633820504</c:v>
                </c:pt>
                <c:pt idx="94">
                  <c:v>5.9389167106009666E-2</c:v>
                </c:pt>
                <c:pt idx="95">
                  <c:v>0.19711717216155256</c:v>
                </c:pt>
                <c:pt idx="96">
                  <c:v>0.12724426192128369</c:v>
                </c:pt>
                <c:pt idx="97">
                  <c:v>5.2465619588791201E-2</c:v>
                </c:pt>
                <c:pt idx="98">
                  <c:v>8.7741171805513773E-2</c:v>
                </c:pt>
                <c:pt idx="99">
                  <c:v>3.2554918637459018E-2</c:v>
                </c:pt>
                <c:pt idx="100">
                  <c:v>0.16350675158576261</c:v>
                </c:pt>
                <c:pt idx="101">
                  <c:v>8.8397107138747377E-3</c:v>
                </c:pt>
                <c:pt idx="102">
                  <c:v>7.6258822029876439E-2</c:v>
                </c:pt>
                <c:pt idx="103">
                  <c:v>9.9018128392943883E-2</c:v>
                </c:pt>
                <c:pt idx="104">
                  <c:v>6.6484975421813641E-2</c:v>
                </c:pt>
                <c:pt idx="105">
                  <c:v>3.5011758813249139E-2</c:v>
                </c:pt>
                <c:pt idx="106">
                  <c:v>2.8208260827231768E-2</c:v>
                </c:pt>
                <c:pt idx="107">
                  <c:v>0.29200516673379806</c:v>
                </c:pt>
                <c:pt idx="108">
                  <c:v>0.12158414379473226</c:v>
                </c:pt>
                <c:pt idx="109">
                  <c:v>9.4030975443484988E-2</c:v>
                </c:pt>
                <c:pt idx="110">
                  <c:v>7.7466287269660539E-2</c:v>
                </c:pt>
                <c:pt idx="111">
                  <c:v>1.1803801124279423E-2</c:v>
                </c:pt>
                <c:pt idx="112">
                  <c:v>0.19155211336284386</c:v>
                </c:pt>
                <c:pt idx="113">
                  <c:v>8.5521015066685468E-2</c:v>
                </c:pt>
                <c:pt idx="114">
                  <c:v>2.464274518396653E-2</c:v>
                </c:pt>
                <c:pt idx="115">
                  <c:v>9.8038698387512557E-3</c:v>
                </c:pt>
                <c:pt idx="116">
                  <c:v>4.0056819523470621E-2</c:v>
                </c:pt>
                <c:pt idx="117">
                  <c:v>0.11340720073053945</c:v>
                </c:pt>
                <c:pt idx="118">
                  <c:v>0.13975025826878518</c:v>
                </c:pt>
                <c:pt idx="119">
                  <c:v>3.1254779874492489E-2</c:v>
                </c:pt>
                <c:pt idx="120">
                  <c:v>5.3478356892594114E-2</c:v>
                </c:pt>
                <c:pt idx="121">
                  <c:v>1.0430858903156592E-2</c:v>
                </c:pt>
                <c:pt idx="122">
                  <c:v>5.0039430773263949E-2</c:v>
                </c:pt>
                <c:pt idx="123">
                  <c:v>0.11637249780532744</c:v>
                </c:pt>
                <c:pt idx="124">
                  <c:v>3.7152617810670918E-2</c:v>
                </c:pt>
                <c:pt idx="125">
                  <c:v>3.7147717797621604E-2</c:v>
                </c:pt>
                <c:pt idx="126">
                  <c:v>3.4647950350975287E-2</c:v>
                </c:pt>
                <c:pt idx="127">
                  <c:v>6.2154075570464706E-3</c:v>
                </c:pt>
                <c:pt idx="128">
                  <c:v>7.3465081290209372E-2</c:v>
                </c:pt>
                <c:pt idx="129">
                  <c:v>2.1731823968034136E-2</c:v>
                </c:pt>
                <c:pt idx="130">
                  <c:v>5.4699323094103219E-2</c:v>
                </c:pt>
                <c:pt idx="131">
                  <c:v>8.2275326650314562E-3</c:v>
                </c:pt>
                <c:pt idx="132">
                  <c:v>4.511908660725969E-2</c:v>
                </c:pt>
                <c:pt idx="133">
                  <c:v>1.9004550387134278E-2</c:v>
                </c:pt>
                <c:pt idx="134">
                  <c:v>7.9392571631473063E-3</c:v>
                </c:pt>
                <c:pt idx="135">
                  <c:v>2.140639669281752E-2</c:v>
                </c:pt>
                <c:pt idx="136">
                  <c:v>1.344540953448542E-2</c:v>
                </c:pt>
                <c:pt idx="137">
                  <c:v>6.0585500956145427E-2</c:v>
                </c:pt>
                <c:pt idx="138">
                  <c:v>1.0635272250521577E-2</c:v>
                </c:pt>
                <c:pt idx="139">
                  <c:v>1.3598292855591582E-2</c:v>
                </c:pt>
                <c:pt idx="140">
                  <c:v>6.7728689789059715E-3</c:v>
                </c:pt>
                <c:pt idx="141">
                  <c:v>3.213156755136698E-2</c:v>
                </c:pt>
                <c:pt idx="142">
                  <c:v>3.9832657209349642E-2</c:v>
                </c:pt>
                <c:pt idx="143">
                  <c:v>2.4019256163150177E-2</c:v>
                </c:pt>
                <c:pt idx="144">
                  <c:v>1.3400006550448817E-2</c:v>
                </c:pt>
                <c:pt idx="145">
                  <c:v>5.0018103515330758E-3</c:v>
                </c:pt>
                <c:pt idx="146">
                  <c:v>8.2179976162677082E-3</c:v>
                </c:pt>
                <c:pt idx="147">
                  <c:v>2.2447429535373944E-2</c:v>
                </c:pt>
                <c:pt idx="148">
                  <c:v>1.2061750835272375E-2</c:v>
                </c:pt>
                <c:pt idx="149">
                  <c:v>2.5130539494313792E-2</c:v>
                </c:pt>
              </c:numCache>
            </c:numRef>
          </c:xVal>
          <c:yVal>
            <c:numRef>
              <c:f>X!$K$2:$K$151</c:f>
              <c:numCache>
                <c:formatCode>General</c:formatCode>
                <c:ptCount val="150"/>
                <c:pt idx="0">
                  <c:v>3.8541995614415998</c:v>
                </c:pt>
                <c:pt idx="1">
                  <c:v>2.9704718889994735</c:v>
                </c:pt>
                <c:pt idx="2">
                  <c:v>3.2506139333109849</c:v>
                </c:pt>
                <c:pt idx="3">
                  <c:v>3.3791650925688606</c:v>
                </c:pt>
                <c:pt idx="4">
                  <c:v>2.6584238914624603</c:v>
                </c:pt>
                <c:pt idx="5">
                  <c:v>3.6403501870932584</c:v>
                </c:pt>
                <c:pt idx="6">
                  <c:v>2.2536953618804176</c:v>
                </c:pt>
                <c:pt idx="7">
                  <c:v>4.4666609284673724</c:v>
                </c:pt>
                <c:pt idx="8">
                  <c:v>3.8176520909673504</c:v>
                </c:pt>
                <c:pt idx="9">
                  <c:v>3.9432912973794916</c:v>
                </c:pt>
                <c:pt idx="10">
                  <c:v>4.1138740656453914</c:v>
                </c:pt>
                <c:pt idx="11">
                  <c:v>4.5454012319530834</c:v>
                </c:pt>
                <c:pt idx="12">
                  <c:v>4.0187385676737559</c:v>
                </c:pt>
                <c:pt idx="13">
                  <c:v>4.4550860222189312</c:v>
                </c:pt>
                <c:pt idx="14">
                  <c:v>4.8672886753386058</c:v>
                </c:pt>
                <c:pt idx="15">
                  <c:v>3.6043463069116561</c:v>
                </c:pt>
                <c:pt idx="16">
                  <c:v>2.7257657280138643</c:v>
                </c:pt>
                <c:pt idx="17">
                  <c:v>4.0573729406426988</c:v>
                </c:pt>
                <c:pt idx="18">
                  <c:v>3.9463607027608463</c:v>
                </c:pt>
                <c:pt idx="19">
                  <c:v>2.894225546675036</c:v>
                </c:pt>
                <c:pt idx="20">
                  <c:v>3.4566760712613998</c:v>
                </c:pt>
                <c:pt idx="21">
                  <c:v>5.0158958371228524</c:v>
                </c:pt>
                <c:pt idx="22">
                  <c:v>3.5546931480898194</c:v>
                </c:pt>
                <c:pt idx="23">
                  <c:v>5.5394757067819977</c:v>
                </c:pt>
                <c:pt idx="24">
                  <c:v>2.3259181809421468</c:v>
                </c:pt>
                <c:pt idx="25">
                  <c:v>4.3569490470821055</c:v>
                </c:pt>
                <c:pt idx="26">
                  <c:v>2.6011021907616132</c:v>
                </c:pt>
                <c:pt idx="27">
                  <c:v>3.7139689140007182</c:v>
                </c:pt>
                <c:pt idx="28">
                  <c:v>4.4429598642800112</c:v>
                </c:pt>
                <c:pt idx="29">
                  <c:v>3.3076889977578494</c:v>
                </c:pt>
                <c:pt idx="30">
                  <c:v>4.0508120374768222</c:v>
                </c:pt>
                <c:pt idx="31">
                  <c:v>5.8241288262042978</c:v>
                </c:pt>
                <c:pt idx="32">
                  <c:v>3.8594248724286135</c:v>
                </c:pt>
                <c:pt idx="33">
                  <c:v>5.5753187126530834</c:v>
                </c:pt>
                <c:pt idx="34">
                  <c:v>5.3392705217493335</c:v>
                </c:pt>
                <c:pt idx="35">
                  <c:v>5.9900152265343376</c:v>
                </c:pt>
                <c:pt idx="36">
                  <c:v>4.9103570903192351</c:v>
                </c:pt>
                <c:pt idx="37">
                  <c:v>2.7952912460066104</c:v>
                </c:pt>
                <c:pt idx="38">
                  <c:v>4.8212792352042646</c:v>
                </c:pt>
                <c:pt idx="39">
                  <c:v>3.3447049363352721</c:v>
                </c:pt>
                <c:pt idx="40">
                  <c:v>4.168214011709253</c:v>
                </c:pt>
                <c:pt idx="41">
                  <c:v>5.9024526812569542</c:v>
                </c:pt>
                <c:pt idx="42">
                  <c:v>4.1187523248330296</c:v>
                </c:pt>
                <c:pt idx="43">
                  <c:v>4.9520498854225528</c:v>
                </c:pt>
                <c:pt idx="44">
                  <c:v>2.3908802292201616</c:v>
                </c:pt>
                <c:pt idx="45">
                  <c:v>2.0946000316330062</c:v>
                </c:pt>
                <c:pt idx="46">
                  <c:v>3.0921532603441277</c:v>
                </c:pt>
                <c:pt idx="47">
                  <c:v>4.263102362083881</c:v>
                </c:pt>
                <c:pt idx="48">
                  <c:v>3.0345556116703514</c:v>
                </c:pt>
                <c:pt idx="49">
                  <c:v>5.3943229579302123</c:v>
                </c:pt>
                <c:pt idx="50">
                  <c:v>4.545650364492472</c:v>
                </c:pt>
                <c:pt idx="51">
                  <c:v>3.6123842958364745</c:v>
                </c:pt>
                <c:pt idx="52">
                  <c:v>2.8702762789282543</c:v>
                </c:pt>
                <c:pt idx="53">
                  <c:v>5.2704826481136822</c:v>
                </c:pt>
                <c:pt idx="54">
                  <c:v>4.4683263207344623</c:v>
                </c:pt>
                <c:pt idx="55">
                  <c:v>2.873507228571087</c:v>
                </c:pt>
                <c:pt idx="56">
                  <c:v>3.1386939467141026</c:v>
                </c:pt>
                <c:pt idx="57">
                  <c:v>3.1504291127543178</c:v>
                </c:pt>
                <c:pt idx="58">
                  <c:v>5.7444446916190257</c:v>
                </c:pt>
                <c:pt idx="59">
                  <c:v>3.6149631059123952</c:v>
                </c:pt>
                <c:pt idx="60">
                  <c:v>4.5377005466246398</c:v>
                </c:pt>
                <c:pt idx="61">
                  <c:v>5.4350386864311533</c:v>
                </c:pt>
                <c:pt idx="62">
                  <c:v>5.0156439822759262</c:v>
                </c:pt>
                <c:pt idx="63">
                  <c:v>5.0865896869531655</c:v>
                </c:pt>
                <c:pt idx="64">
                  <c:v>4.6033839101098089</c:v>
                </c:pt>
                <c:pt idx="65">
                  <c:v>6.0950798752842346</c:v>
                </c:pt>
                <c:pt idx="66">
                  <c:v>4.1784866721145333</c:v>
                </c:pt>
                <c:pt idx="67">
                  <c:v>3.5753670828197959</c:v>
                </c:pt>
                <c:pt idx="68">
                  <c:v>4.922058478962601</c:v>
                </c:pt>
                <c:pt idx="69">
                  <c:v>4.6168162556488932</c:v>
                </c:pt>
                <c:pt idx="70">
                  <c:v>5.9397315138499298</c:v>
                </c:pt>
                <c:pt idx="71">
                  <c:v>4.2331583122084542</c:v>
                </c:pt>
                <c:pt idx="72">
                  <c:v>3.2706107729384666</c:v>
                </c:pt>
                <c:pt idx="73">
                  <c:v>2.813304304850333</c:v>
                </c:pt>
                <c:pt idx="74">
                  <c:v>2.1613886491195715</c:v>
                </c:pt>
                <c:pt idx="75">
                  <c:v>2.6646060977322454</c:v>
                </c:pt>
                <c:pt idx="76">
                  <c:v>5.2892332666715127</c:v>
                </c:pt>
                <c:pt idx="77">
                  <c:v>6.1172312623532967</c:v>
                </c:pt>
                <c:pt idx="78">
                  <c:v>3.8848557074272501</c:v>
                </c:pt>
                <c:pt idx="79">
                  <c:v>2.4480313763543116</c:v>
                </c:pt>
                <c:pt idx="80">
                  <c:v>5.4742693727764316</c:v>
                </c:pt>
                <c:pt idx="81">
                  <c:v>2.7728270548852754</c:v>
                </c:pt>
                <c:pt idx="82">
                  <c:v>2.89417202020765</c:v>
                </c:pt>
                <c:pt idx="83">
                  <c:v>4.675006868362459</c:v>
                </c:pt>
                <c:pt idx="84">
                  <c:v>6.0155416321801098</c:v>
                </c:pt>
                <c:pt idx="85">
                  <c:v>3.7597374664458001</c:v>
                </c:pt>
                <c:pt idx="86">
                  <c:v>4.0861523542982372</c:v>
                </c:pt>
                <c:pt idx="87">
                  <c:v>2.8145595109318777</c:v>
                </c:pt>
                <c:pt idx="88">
                  <c:v>5.1097061809284492</c:v>
                </c:pt>
                <c:pt idx="89">
                  <c:v>3.5654228322564419</c:v>
                </c:pt>
                <c:pt idx="90">
                  <c:v>4.1191229757779331</c:v>
                </c:pt>
                <c:pt idx="91">
                  <c:v>5.6290819888458969</c:v>
                </c:pt>
                <c:pt idx="92">
                  <c:v>4.1556375857223449</c:v>
                </c:pt>
                <c:pt idx="93">
                  <c:v>3.8296820034297259</c:v>
                </c:pt>
                <c:pt idx="94">
                  <c:v>5.0167896062981363</c:v>
                </c:pt>
                <c:pt idx="95">
                  <c:v>3.270111965725083</c:v>
                </c:pt>
                <c:pt idx="96">
                  <c:v>4.4601570317329022</c:v>
                </c:pt>
                <c:pt idx="97">
                  <c:v>4.8966386935902895</c:v>
                </c:pt>
                <c:pt idx="98">
                  <c:v>5.3773750107962481</c:v>
                </c:pt>
                <c:pt idx="99">
                  <c:v>5.4047961357589518</c:v>
                </c:pt>
                <c:pt idx="100">
                  <c:v>3.5645162306127602</c:v>
                </c:pt>
                <c:pt idx="101">
                  <c:v>5.8068054764542554</c:v>
                </c:pt>
                <c:pt idx="102">
                  <c:v>4.6092037957009255</c:v>
                </c:pt>
                <c:pt idx="103">
                  <c:v>4.5474928278378446</c:v>
                </c:pt>
                <c:pt idx="104">
                  <c:v>4.9775117548495436</c:v>
                </c:pt>
                <c:pt idx="105">
                  <c:v>5.8418529420716938</c:v>
                </c:pt>
                <c:pt idx="106">
                  <c:v>5.5987828297449536</c:v>
                </c:pt>
                <c:pt idx="107">
                  <c:v>3.0488105814260318</c:v>
                </c:pt>
                <c:pt idx="108">
                  <c:v>4.8450598800599076</c:v>
                </c:pt>
                <c:pt idx="109">
                  <c:v>5.2308703734442279</c:v>
                </c:pt>
                <c:pt idx="110">
                  <c:v>5.754904019037725</c:v>
                </c:pt>
                <c:pt idx="111">
                  <c:v>5.902524964063339</c:v>
                </c:pt>
                <c:pt idx="112">
                  <c:v>3.7686811643469067</c:v>
                </c:pt>
                <c:pt idx="113">
                  <c:v>4.1655889760323674</c:v>
                </c:pt>
                <c:pt idx="114">
                  <c:v>5.7208768430705836</c:v>
                </c:pt>
                <c:pt idx="115">
                  <c:v>6.08745584215783</c:v>
                </c:pt>
                <c:pt idx="116">
                  <c:v>4.2953747900994452</c:v>
                </c:pt>
                <c:pt idx="117">
                  <c:v>4.7898684313039483</c:v>
                </c:pt>
                <c:pt idx="118">
                  <c:v>4.140628897241541</c:v>
                </c:pt>
                <c:pt idx="119">
                  <c:v>6.1077119534603339</c:v>
                </c:pt>
                <c:pt idx="120">
                  <c:v>5.6536961418733753</c:v>
                </c:pt>
                <c:pt idx="121">
                  <c:v>6.0730786929090677</c:v>
                </c:pt>
                <c:pt idx="122">
                  <c:v>5.0341956633286919</c:v>
                </c:pt>
                <c:pt idx="123">
                  <c:v>4.6186786136242697</c:v>
                </c:pt>
                <c:pt idx="124">
                  <c:v>5.3072505246010007</c:v>
                </c:pt>
                <c:pt idx="125">
                  <c:v>5.5081394630491234</c:v>
                </c:pt>
                <c:pt idx="126">
                  <c:v>5.838803792875142</c:v>
                </c:pt>
                <c:pt idx="127">
                  <c:v>6.2605144582195171</c:v>
                </c:pt>
                <c:pt idx="128">
                  <c:v>4.8480471277185861</c:v>
                </c:pt>
                <c:pt idx="129">
                  <c:v>6.4333012382512331</c:v>
                </c:pt>
                <c:pt idx="130">
                  <c:v>5.6334663334552495</c:v>
                </c:pt>
                <c:pt idx="131">
                  <c:v>6.2709134973285403</c:v>
                </c:pt>
                <c:pt idx="132">
                  <c:v>6.0352194015699432</c:v>
                </c:pt>
                <c:pt idx="133">
                  <c:v>6.6700219407933625</c:v>
                </c:pt>
                <c:pt idx="134">
                  <c:v>6.352568886914062</c:v>
                </c:pt>
                <c:pt idx="135">
                  <c:v>5.9719760650646148</c:v>
                </c:pt>
                <c:pt idx="136">
                  <c:v>5.7005365530493295</c:v>
                </c:pt>
                <c:pt idx="137">
                  <c:v>5.4346795484217481</c:v>
                </c:pt>
                <c:pt idx="138">
                  <c:v>6.3912288420856767</c:v>
                </c:pt>
                <c:pt idx="139">
                  <c:v>6.5086442540028413</c:v>
                </c:pt>
                <c:pt idx="140">
                  <c:v>7.0042131194003048</c:v>
                </c:pt>
                <c:pt idx="141">
                  <c:v>6.226769993752443</c:v>
                </c:pt>
                <c:pt idx="142">
                  <c:v>5.8049334238659576</c:v>
                </c:pt>
                <c:pt idx="143">
                  <c:v>6.5635311944378216</c:v>
                </c:pt>
                <c:pt idx="144">
                  <c:v>6.509359678379286</c:v>
                </c:pt>
                <c:pt idx="145">
                  <c:v>7.3199005410988525</c:v>
                </c:pt>
                <c:pt idx="146">
                  <c:v>7.2981300051338112</c:v>
                </c:pt>
                <c:pt idx="147">
                  <c:v>6.4367166775064897</c:v>
                </c:pt>
                <c:pt idx="148">
                  <c:v>7.230065834591084</c:v>
                </c:pt>
                <c:pt idx="149">
                  <c:v>6.7695685414344364</c:v>
                </c:pt>
              </c:numCache>
            </c:numRef>
          </c:yVal>
          <c:smooth val="0"/>
          <c:extLst>
            <c:ext xmlns:c16="http://schemas.microsoft.com/office/drawing/2014/chart" uri="{C3380CC4-5D6E-409C-BE32-E72D297353CC}">
              <c16:uniqueId val="{00000000-506F-4B64-B96D-191322BD1744}"/>
            </c:ext>
          </c:extLst>
        </c:ser>
        <c:dLbls>
          <c:showLegendKey val="0"/>
          <c:showVal val="0"/>
          <c:showCatName val="0"/>
          <c:showSerName val="0"/>
          <c:showPercent val="0"/>
          <c:showBubbleSize val="0"/>
        </c:dLbls>
        <c:axId val="1446789792"/>
        <c:axId val="1446791040"/>
      </c:scatterChart>
      <c:valAx>
        <c:axId val="144678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791040"/>
        <c:crosses val="autoZero"/>
        <c:crossBetween val="midCat"/>
      </c:valAx>
      <c:valAx>
        <c:axId val="144679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7897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gpu time</a:t>
            </a:r>
          </a:p>
        </c:rich>
      </c:tx>
      <c:layout>
        <c:manualLayout>
          <c:xMode val="edge"/>
          <c:yMode val="edge"/>
          <c:x val="0.4692845581802274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'n,eta,X'!$B$1</c:f>
              <c:strCache>
                <c:ptCount val="1"/>
                <c:pt idx="0">
                  <c:v>eta</c:v>
                </c:pt>
              </c:strCache>
            </c:strRef>
          </c:tx>
          <c:spPr>
            <a:solidFill>
              <a:schemeClr val="accent1">
                <a:alpha val="75000"/>
              </a:schemeClr>
            </a:solidFill>
            <a:ln>
              <a:noFill/>
            </a:ln>
            <a:effectLst/>
          </c:spPr>
          <c:invertIfNegative val="0"/>
          <c:xVal>
            <c:numRef>
              <c:f>'n,eta,X'!$A$2:$A$31</c:f>
              <c:numCache>
                <c:formatCode>General</c:formatCode>
                <c:ptCount val="30"/>
                <c:pt idx="0">
                  <c:v>3</c:v>
                </c:pt>
                <c:pt idx="1">
                  <c:v>3</c:v>
                </c:pt>
                <c:pt idx="2">
                  <c:v>3</c:v>
                </c:pt>
                <c:pt idx="3">
                  <c:v>3</c:v>
                </c:pt>
                <c:pt idx="4">
                  <c:v>3</c:v>
                </c:pt>
                <c:pt idx="5">
                  <c:v>3</c:v>
                </c:pt>
                <c:pt idx="6">
                  <c:v>4</c:v>
                </c:pt>
                <c:pt idx="7">
                  <c:v>4</c:v>
                </c:pt>
                <c:pt idx="8">
                  <c:v>4</c:v>
                </c:pt>
                <c:pt idx="9">
                  <c:v>4</c:v>
                </c:pt>
                <c:pt idx="10">
                  <c:v>4</c:v>
                </c:pt>
                <c:pt idx="11">
                  <c:v>4</c:v>
                </c:pt>
                <c:pt idx="12">
                  <c:v>5</c:v>
                </c:pt>
                <c:pt idx="13">
                  <c:v>5</c:v>
                </c:pt>
                <c:pt idx="14">
                  <c:v>5</c:v>
                </c:pt>
                <c:pt idx="15">
                  <c:v>5</c:v>
                </c:pt>
                <c:pt idx="16">
                  <c:v>5</c:v>
                </c:pt>
                <c:pt idx="17">
                  <c:v>5</c:v>
                </c:pt>
                <c:pt idx="18">
                  <c:v>6</c:v>
                </c:pt>
                <c:pt idx="19">
                  <c:v>6</c:v>
                </c:pt>
                <c:pt idx="20">
                  <c:v>6</c:v>
                </c:pt>
                <c:pt idx="21">
                  <c:v>6</c:v>
                </c:pt>
                <c:pt idx="22">
                  <c:v>6</c:v>
                </c:pt>
                <c:pt idx="23">
                  <c:v>6</c:v>
                </c:pt>
                <c:pt idx="24">
                  <c:v>7</c:v>
                </c:pt>
                <c:pt idx="25">
                  <c:v>7</c:v>
                </c:pt>
                <c:pt idx="26">
                  <c:v>7</c:v>
                </c:pt>
                <c:pt idx="27">
                  <c:v>7</c:v>
                </c:pt>
                <c:pt idx="28">
                  <c:v>7</c:v>
                </c:pt>
                <c:pt idx="29">
                  <c:v>7</c:v>
                </c:pt>
              </c:numCache>
            </c:numRef>
          </c:xVal>
          <c:yVal>
            <c:numRef>
              <c:f>'n,eta,X'!$B$2:$B$31</c:f>
              <c:numCache>
                <c:formatCode>General</c:formatCode>
                <c:ptCount val="30"/>
                <c:pt idx="0">
                  <c:v>0.2</c:v>
                </c:pt>
                <c:pt idx="1">
                  <c:v>0.35</c:v>
                </c:pt>
                <c:pt idx="2">
                  <c:v>0.5</c:v>
                </c:pt>
                <c:pt idx="3">
                  <c:v>0.65</c:v>
                </c:pt>
                <c:pt idx="4">
                  <c:v>0.8</c:v>
                </c:pt>
                <c:pt idx="5">
                  <c:v>0.95</c:v>
                </c:pt>
                <c:pt idx="6">
                  <c:v>0.2</c:v>
                </c:pt>
                <c:pt idx="7">
                  <c:v>0.35</c:v>
                </c:pt>
                <c:pt idx="8">
                  <c:v>0.5</c:v>
                </c:pt>
                <c:pt idx="9">
                  <c:v>0.65</c:v>
                </c:pt>
                <c:pt idx="10">
                  <c:v>0.8</c:v>
                </c:pt>
                <c:pt idx="11">
                  <c:v>0.95</c:v>
                </c:pt>
                <c:pt idx="12">
                  <c:v>0.2</c:v>
                </c:pt>
                <c:pt idx="13">
                  <c:v>0.35</c:v>
                </c:pt>
                <c:pt idx="14">
                  <c:v>0.5</c:v>
                </c:pt>
                <c:pt idx="15">
                  <c:v>0.65</c:v>
                </c:pt>
                <c:pt idx="16">
                  <c:v>0.8</c:v>
                </c:pt>
                <c:pt idx="17">
                  <c:v>0.95</c:v>
                </c:pt>
                <c:pt idx="18">
                  <c:v>0.2</c:v>
                </c:pt>
                <c:pt idx="19">
                  <c:v>0.35</c:v>
                </c:pt>
                <c:pt idx="20">
                  <c:v>0.5</c:v>
                </c:pt>
                <c:pt idx="21">
                  <c:v>0.65</c:v>
                </c:pt>
                <c:pt idx="22">
                  <c:v>0.8</c:v>
                </c:pt>
                <c:pt idx="23">
                  <c:v>0.95</c:v>
                </c:pt>
                <c:pt idx="24">
                  <c:v>0.2</c:v>
                </c:pt>
                <c:pt idx="25">
                  <c:v>0.35</c:v>
                </c:pt>
                <c:pt idx="26">
                  <c:v>0.5</c:v>
                </c:pt>
                <c:pt idx="27">
                  <c:v>0.65</c:v>
                </c:pt>
                <c:pt idx="28">
                  <c:v>0.8</c:v>
                </c:pt>
                <c:pt idx="29">
                  <c:v>0.95</c:v>
                </c:pt>
              </c:numCache>
            </c:numRef>
          </c:yVal>
          <c:bubbleSize>
            <c:numRef>
              <c:f>'n,eta,X'!$G$2:$G$31</c:f>
              <c:numCache>
                <c:formatCode>General</c:formatCode>
                <c:ptCount val="30"/>
                <c:pt idx="0">
                  <c:v>46179348266.666664</c:v>
                </c:pt>
                <c:pt idx="1">
                  <c:v>11440580180</c:v>
                </c:pt>
                <c:pt idx="2">
                  <c:v>4922119660</c:v>
                </c:pt>
                <c:pt idx="3">
                  <c:v>2426358580</c:v>
                </c:pt>
                <c:pt idx="4">
                  <c:v>1687679253.3333333</c:v>
                </c:pt>
                <c:pt idx="5">
                  <c:v>1192268900</c:v>
                </c:pt>
                <c:pt idx="6">
                  <c:v>84760770160</c:v>
                </c:pt>
                <c:pt idx="7">
                  <c:v>22555902386.666664</c:v>
                </c:pt>
                <c:pt idx="8">
                  <c:v>9786988675</c:v>
                </c:pt>
                <c:pt idx="9">
                  <c:v>4876258426.666667</c:v>
                </c:pt>
                <c:pt idx="10">
                  <c:v>3464875426.6666665</c:v>
                </c:pt>
                <c:pt idx="11">
                  <c:v>2457510366.666667</c:v>
                </c:pt>
                <c:pt idx="12">
                  <c:v>141179503713.33331</c:v>
                </c:pt>
                <c:pt idx="13">
                  <c:v>38946144726.666664</c:v>
                </c:pt>
                <c:pt idx="14">
                  <c:v>17108482140</c:v>
                </c:pt>
                <c:pt idx="15">
                  <c:v>8638596740</c:v>
                </c:pt>
                <c:pt idx="16">
                  <c:v>6132655000</c:v>
                </c:pt>
                <c:pt idx="17">
                  <c:v>4575559260</c:v>
                </c:pt>
                <c:pt idx="18">
                  <c:v>179431524433.33334</c:v>
                </c:pt>
                <c:pt idx="19">
                  <c:v>54315150413.333336</c:v>
                </c:pt>
                <c:pt idx="20">
                  <c:v>26076897655</c:v>
                </c:pt>
                <c:pt idx="21">
                  <c:v>14239220513.333332</c:v>
                </c:pt>
                <c:pt idx="22">
                  <c:v>10641668973.333334</c:v>
                </c:pt>
                <c:pt idx="23">
                  <c:v>8446186106.666666</c:v>
                </c:pt>
                <c:pt idx="24">
                  <c:v>221833137446.66669</c:v>
                </c:pt>
                <c:pt idx="25">
                  <c:v>70350365146.666656</c:v>
                </c:pt>
                <c:pt idx="26">
                  <c:v>33575059370</c:v>
                </c:pt>
                <c:pt idx="27">
                  <c:v>17891894840</c:v>
                </c:pt>
                <c:pt idx="28">
                  <c:v>13459412573.333334</c:v>
                </c:pt>
                <c:pt idx="29">
                  <c:v>10225513993.333334</c:v>
                </c:pt>
              </c:numCache>
            </c:numRef>
          </c:bubbleSize>
          <c:bubble3D val="0"/>
          <c:extLst>
            <c:ext xmlns:c16="http://schemas.microsoft.com/office/drawing/2014/chart" uri="{C3380CC4-5D6E-409C-BE32-E72D297353CC}">
              <c16:uniqueId val="{00000000-8029-452D-80C2-3B4E420DA55B}"/>
            </c:ext>
          </c:extLst>
        </c:ser>
        <c:dLbls>
          <c:showLegendKey val="0"/>
          <c:showVal val="0"/>
          <c:showCatName val="0"/>
          <c:showSerName val="0"/>
          <c:showPercent val="0"/>
          <c:showBubbleSize val="0"/>
        </c:dLbls>
        <c:bubbleScale val="40"/>
        <c:showNegBubbles val="0"/>
        <c:axId val="1356175568"/>
        <c:axId val="1356175984"/>
      </c:bubbleChart>
      <c:valAx>
        <c:axId val="1356175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175984"/>
        <c:crosses val="autoZero"/>
        <c:crossBetween val="midCat"/>
      </c:valAx>
      <c:valAx>
        <c:axId val="1356175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eta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1755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a:t>
            </a:r>
          </a:p>
        </c:rich>
      </c:tx>
      <c:layout>
        <c:manualLayout>
          <c:xMode val="edge"/>
          <c:yMode val="edge"/>
          <c:x val="0.4692845581802274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'n,eta,X'!$B$1</c:f>
              <c:strCache>
                <c:ptCount val="1"/>
                <c:pt idx="0">
                  <c:v>eta</c:v>
                </c:pt>
              </c:strCache>
            </c:strRef>
          </c:tx>
          <c:spPr>
            <a:solidFill>
              <a:schemeClr val="accent1">
                <a:alpha val="75000"/>
              </a:schemeClr>
            </a:solidFill>
            <a:ln>
              <a:noFill/>
            </a:ln>
            <a:effectLst/>
          </c:spPr>
          <c:invertIfNegative val="0"/>
          <c:dLbls>
            <c:dLbl>
              <c:idx val="0"/>
              <c:tx>
                <c:rich>
                  <a:bodyPr/>
                  <a:lstStyle/>
                  <a:p>
                    <a:fld id="{5AAFAA17-9EF3-4758-B999-9254E7A4BCE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CB4-4117-A3DD-0B1D5DB352FD}"/>
                </c:ext>
              </c:extLst>
            </c:dLbl>
            <c:dLbl>
              <c:idx val="1"/>
              <c:tx>
                <c:rich>
                  <a:bodyPr/>
                  <a:lstStyle/>
                  <a:p>
                    <a:fld id="{67F78AEF-1474-4832-A1CF-66DE52ECBB48}"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CB4-4117-A3DD-0B1D5DB352FD}"/>
                </c:ext>
              </c:extLst>
            </c:dLbl>
            <c:dLbl>
              <c:idx val="2"/>
              <c:tx>
                <c:rich>
                  <a:bodyPr/>
                  <a:lstStyle/>
                  <a:p>
                    <a:fld id="{3FD12F93-CBAD-4FCD-9FA5-B66D8B23EAC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CB4-4117-A3DD-0B1D5DB352FD}"/>
                </c:ext>
              </c:extLst>
            </c:dLbl>
            <c:dLbl>
              <c:idx val="3"/>
              <c:tx>
                <c:rich>
                  <a:bodyPr/>
                  <a:lstStyle/>
                  <a:p>
                    <a:fld id="{0E91FC7D-71DF-486F-8416-BFC2F428ECB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CB4-4117-A3DD-0B1D5DB352FD}"/>
                </c:ext>
              </c:extLst>
            </c:dLbl>
            <c:dLbl>
              <c:idx val="4"/>
              <c:tx>
                <c:rich>
                  <a:bodyPr/>
                  <a:lstStyle/>
                  <a:p>
                    <a:fld id="{D0F527EC-08AB-498B-A1EF-9C1EAA6F808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CB4-4117-A3DD-0B1D5DB352FD}"/>
                </c:ext>
              </c:extLst>
            </c:dLbl>
            <c:dLbl>
              <c:idx val="5"/>
              <c:tx>
                <c:rich>
                  <a:bodyPr/>
                  <a:lstStyle/>
                  <a:p>
                    <a:fld id="{F6C01027-CC3C-4E18-A26B-4DAC7076837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CB4-4117-A3DD-0B1D5DB352FD}"/>
                </c:ext>
              </c:extLst>
            </c:dLbl>
            <c:dLbl>
              <c:idx val="6"/>
              <c:tx>
                <c:rich>
                  <a:bodyPr/>
                  <a:lstStyle/>
                  <a:p>
                    <a:fld id="{1D088C70-5164-4736-B55F-D1588B0A9AB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CB4-4117-A3DD-0B1D5DB352FD}"/>
                </c:ext>
              </c:extLst>
            </c:dLbl>
            <c:dLbl>
              <c:idx val="7"/>
              <c:tx>
                <c:rich>
                  <a:bodyPr/>
                  <a:lstStyle/>
                  <a:p>
                    <a:fld id="{2CB4B384-3CED-4748-BFCB-3E92DAFF4AE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CB4-4117-A3DD-0B1D5DB352FD}"/>
                </c:ext>
              </c:extLst>
            </c:dLbl>
            <c:dLbl>
              <c:idx val="8"/>
              <c:tx>
                <c:rich>
                  <a:bodyPr/>
                  <a:lstStyle/>
                  <a:p>
                    <a:fld id="{1733132C-D6FE-45F4-B31F-87D5205986B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CB4-4117-A3DD-0B1D5DB352FD}"/>
                </c:ext>
              </c:extLst>
            </c:dLbl>
            <c:dLbl>
              <c:idx val="9"/>
              <c:tx>
                <c:rich>
                  <a:bodyPr/>
                  <a:lstStyle/>
                  <a:p>
                    <a:fld id="{FD84E69C-D565-4FAD-A184-4F56984ED84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CB4-4117-A3DD-0B1D5DB352FD}"/>
                </c:ext>
              </c:extLst>
            </c:dLbl>
            <c:dLbl>
              <c:idx val="10"/>
              <c:tx>
                <c:rich>
                  <a:bodyPr/>
                  <a:lstStyle/>
                  <a:p>
                    <a:fld id="{EEC6B61F-354C-42EF-8BFE-DC22BDE5656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CB4-4117-A3DD-0B1D5DB352FD}"/>
                </c:ext>
              </c:extLst>
            </c:dLbl>
            <c:dLbl>
              <c:idx val="11"/>
              <c:tx>
                <c:rich>
                  <a:bodyPr/>
                  <a:lstStyle/>
                  <a:p>
                    <a:fld id="{C2DE2894-CBA9-4D23-8909-EF35C0CFEC7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CB4-4117-A3DD-0B1D5DB352FD}"/>
                </c:ext>
              </c:extLst>
            </c:dLbl>
            <c:dLbl>
              <c:idx val="12"/>
              <c:tx>
                <c:rich>
                  <a:bodyPr/>
                  <a:lstStyle/>
                  <a:p>
                    <a:fld id="{D28D3CC7-27F8-4B96-B4AE-161E000FD41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CB4-4117-A3DD-0B1D5DB352FD}"/>
                </c:ext>
              </c:extLst>
            </c:dLbl>
            <c:dLbl>
              <c:idx val="13"/>
              <c:tx>
                <c:rich>
                  <a:bodyPr/>
                  <a:lstStyle/>
                  <a:p>
                    <a:fld id="{16BE5F0F-AEE1-434A-B6C4-F69F8CC39D0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CB4-4117-A3DD-0B1D5DB352FD}"/>
                </c:ext>
              </c:extLst>
            </c:dLbl>
            <c:dLbl>
              <c:idx val="14"/>
              <c:tx>
                <c:rich>
                  <a:bodyPr/>
                  <a:lstStyle/>
                  <a:p>
                    <a:fld id="{A5CB6137-166C-41BE-883A-BD043924AEE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CB4-4117-A3DD-0B1D5DB352FD}"/>
                </c:ext>
              </c:extLst>
            </c:dLbl>
            <c:dLbl>
              <c:idx val="15"/>
              <c:tx>
                <c:rich>
                  <a:bodyPr/>
                  <a:lstStyle/>
                  <a:p>
                    <a:fld id="{186FA68A-A6C4-4EC8-8AB4-4C1B8E0903D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5CB4-4117-A3DD-0B1D5DB352FD}"/>
                </c:ext>
              </c:extLst>
            </c:dLbl>
            <c:dLbl>
              <c:idx val="16"/>
              <c:tx>
                <c:rich>
                  <a:bodyPr/>
                  <a:lstStyle/>
                  <a:p>
                    <a:fld id="{1949D6E7-DE1F-4274-867D-6875445FA95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5CB4-4117-A3DD-0B1D5DB352FD}"/>
                </c:ext>
              </c:extLst>
            </c:dLbl>
            <c:dLbl>
              <c:idx val="17"/>
              <c:tx>
                <c:rich>
                  <a:bodyPr/>
                  <a:lstStyle/>
                  <a:p>
                    <a:fld id="{61C7D9E3-B7B7-4DF4-B7D0-1AD97568740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5CB4-4117-A3DD-0B1D5DB352FD}"/>
                </c:ext>
              </c:extLst>
            </c:dLbl>
            <c:dLbl>
              <c:idx val="18"/>
              <c:tx>
                <c:rich>
                  <a:bodyPr/>
                  <a:lstStyle/>
                  <a:p>
                    <a:fld id="{88BD88A0-A195-4A01-BB11-0E178A6DE70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5CB4-4117-A3DD-0B1D5DB352FD}"/>
                </c:ext>
              </c:extLst>
            </c:dLbl>
            <c:dLbl>
              <c:idx val="19"/>
              <c:tx>
                <c:rich>
                  <a:bodyPr/>
                  <a:lstStyle/>
                  <a:p>
                    <a:fld id="{7DF9E0E1-9649-4C56-8FE7-A2E71928C5C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5CB4-4117-A3DD-0B1D5DB352FD}"/>
                </c:ext>
              </c:extLst>
            </c:dLbl>
            <c:dLbl>
              <c:idx val="20"/>
              <c:tx>
                <c:rich>
                  <a:bodyPr/>
                  <a:lstStyle/>
                  <a:p>
                    <a:fld id="{BDB73564-B772-48BC-AE2A-59DB817F687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5CB4-4117-A3DD-0B1D5DB352FD}"/>
                </c:ext>
              </c:extLst>
            </c:dLbl>
            <c:dLbl>
              <c:idx val="21"/>
              <c:tx>
                <c:rich>
                  <a:bodyPr/>
                  <a:lstStyle/>
                  <a:p>
                    <a:fld id="{688CE46E-B73B-4DDE-8659-0A94A5E74D4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5CB4-4117-A3DD-0B1D5DB352FD}"/>
                </c:ext>
              </c:extLst>
            </c:dLbl>
            <c:dLbl>
              <c:idx val="22"/>
              <c:tx>
                <c:rich>
                  <a:bodyPr/>
                  <a:lstStyle/>
                  <a:p>
                    <a:fld id="{BDCEEB18-4FBC-4AF7-B445-787810A4267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5CB4-4117-A3DD-0B1D5DB352FD}"/>
                </c:ext>
              </c:extLst>
            </c:dLbl>
            <c:dLbl>
              <c:idx val="23"/>
              <c:tx>
                <c:rich>
                  <a:bodyPr/>
                  <a:lstStyle/>
                  <a:p>
                    <a:fld id="{C6F875EF-916E-4757-91F6-6CA6098ED1C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5CB4-4117-A3DD-0B1D5DB352FD}"/>
                </c:ext>
              </c:extLst>
            </c:dLbl>
            <c:dLbl>
              <c:idx val="24"/>
              <c:tx>
                <c:rich>
                  <a:bodyPr/>
                  <a:lstStyle/>
                  <a:p>
                    <a:fld id="{3BC9AD6C-5F5B-4D91-AFFB-559781C0B0B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5CB4-4117-A3DD-0B1D5DB352FD}"/>
                </c:ext>
              </c:extLst>
            </c:dLbl>
            <c:dLbl>
              <c:idx val="25"/>
              <c:tx>
                <c:rich>
                  <a:bodyPr/>
                  <a:lstStyle/>
                  <a:p>
                    <a:fld id="{591D9FDB-4D9D-4BAC-94C1-2F9D9A40E6F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5CB4-4117-A3DD-0B1D5DB352FD}"/>
                </c:ext>
              </c:extLst>
            </c:dLbl>
            <c:dLbl>
              <c:idx val="26"/>
              <c:tx>
                <c:rich>
                  <a:bodyPr/>
                  <a:lstStyle/>
                  <a:p>
                    <a:fld id="{A98753C6-0092-492A-8480-4C3115EE348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5CB4-4117-A3DD-0B1D5DB352FD}"/>
                </c:ext>
              </c:extLst>
            </c:dLbl>
            <c:dLbl>
              <c:idx val="27"/>
              <c:tx>
                <c:rich>
                  <a:bodyPr/>
                  <a:lstStyle/>
                  <a:p>
                    <a:fld id="{527DD697-A2B0-43E1-8C84-49DB31A165F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5CB4-4117-A3DD-0B1D5DB352FD}"/>
                </c:ext>
              </c:extLst>
            </c:dLbl>
            <c:dLbl>
              <c:idx val="28"/>
              <c:tx>
                <c:rich>
                  <a:bodyPr/>
                  <a:lstStyle/>
                  <a:p>
                    <a:fld id="{A436A285-505D-4F83-96B7-C5D387D88CB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5CB4-4117-A3DD-0B1D5DB352FD}"/>
                </c:ext>
              </c:extLst>
            </c:dLbl>
            <c:dLbl>
              <c:idx val="29"/>
              <c:tx>
                <c:rich>
                  <a:bodyPr/>
                  <a:lstStyle/>
                  <a:p>
                    <a:fld id="{859AD39A-49EC-4768-8AFE-ADAB3868BDD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5CB4-4117-A3DD-0B1D5DB352F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'n,eta,X'!$A$2:$A$31</c:f>
              <c:numCache>
                <c:formatCode>General</c:formatCode>
                <c:ptCount val="30"/>
                <c:pt idx="0">
                  <c:v>3</c:v>
                </c:pt>
                <c:pt idx="1">
                  <c:v>3</c:v>
                </c:pt>
                <c:pt idx="2">
                  <c:v>3</c:v>
                </c:pt>
                <c:pt idx="3">
                  <c:v>3</c:v>
                </c:pt>
                <c:pt idx="4">
                  <c:v>3</c:v>
                </c:pt>
                <c:pt idx="5">
                  <c:v>3</c:v>
                </c:pt>
                <c:pt idx="6">
                  <c:v>4</c:v>
                </c:pt>
                <c:pt idx="7">
                  <c:v>4</c:v>
                </c:pt>
                <c:pt idx="8">
                  <c:v>4</c:v>
                </c:pt>
                <c:pt idx="9">
                  <c:v>4</c:v>
                </c:pt>
                <c:pt idx="10">
                  <c:v>4</c:v>
                </c:pt>
                <c:pt idx="11">
                  <c:v>4</c:v>
                </c:pt>
                <c:pt idx="12">
                  <c:v>5</c:v>
                </c:pt>
                <c:pt idx="13">
                  <c:v>5</c:v>
                </c:pt>
                <c:pt idx="14">
                  <c:v>5</c:v>
                </c:pt>
                <c:pt idx="15">
                  <c:v>5</c:v>
                </c:pt>
                <c:pt idx="16">
                  <c:v>5</c:v>
                </c:pt>
                <c:pt idx="17">
                  <c:v>5</c:v>
                </c:pt>
                <c:pt idx="18">
                  <c:v>6</c:v>
                </c:pt>
                <c:pt idx="19">
                  <c:v>6</c:v>
                </c:pt>
                <c:pt idx="20">
                  <c:v>6</c:v>
                </c:pt>
                <c:pt idx="21">
                  <c:v>6</c:v>
                </c:pt>
                <c:pt idx="22">
                  <c:v>6</c:v>
                </c:pt>
                <c:pt idx="23">
                  <c:v>6</c:v>
                </c:pt>
                <c:pt idx="24">
                  <c:v>7</c:v>
                </c:pt>
                <c:pt idx="25">
                  <c:v>7</c:v>
                </c:pt>
                <c:pt idx="26">
                  <c:v>7</c:v>
                </c:pt>
                <c:pt idx="27">
                  <c:v>7</c:v>
                </c:pt>
                <c:pt idx="28">
                  <c:v>7</c:v>
                </c:pt>
                <c:pt idx="29">
                  <c:v>7</c:v>
                </c:pt>
              </c:numCache>
            </c:numRef>
          </c:xVal>
          <c:yVal>
            <c:numRef>
              <c:f>'n,eta,X'!$B$2:$B$31</c:f>
              <c:numCache>
                <c:formatCode>General</c:formatCode>
                <c:ptCount val="30"/>
                <c:pt idx="0">
                  <c:v>0.2</c:v>
                </c:pt>
                <c:pt idx="1">
                  <c:v>0.35</c:v>
                </c:pt>
                <c:pt idx="2">
                  <c:v>0.5</c:v>
                </c:pt>
                <c:pt idx="3">
                  <c:v>0.65</c:v>
                </c:pt>
                <c:pt idx="4">
                  <c:v>0.8</c:v>
                </c:pt>
                <c:pt idx="5">
                  <c:v>0.95</c:v>
                </c:pt>
                <c:pt idx="6">
                  <c:v>0.2</c:v>
                </c:pt>
                <c:pt idx="7">
                  <c:v>0.35</c:v>
                </c:pt>
                <c:pt idx="8">
                  <c:v>0.5</c:v>
                </c:pt>
                <c:pt idx="9">
                  <c:v>0.65</c:v>
                </c:pt>
                <c:pt idx="10">
                  <c:v>0.8</c:v>
                </c:pt>
                <c:pt idx="11">
                  <c:v>0.95</c:v>
                </c:pt>
                <c:pt idx="12">
                  <c:v>0.2</c:v>
                </c:pt>
                <c:pt idx="13">
                  <c:v>0.35</c:v>
                </c:pt>
                <c:pt idx="14">
                  <c:v>0.5</c:v>
                </c:pt>
                <c:pt idx="15">
                  <c:v>0.65</c:v>
                </c:pt>
                <c:pt idx="16">
                  <c:v>0.8</c:v>
                </c:pt>
                <c:pt idx="17">
                  <c:v>0.95</c:v>
                </c:pt>
                <c:pt idx="18">
                  <c:v>0.2</c:v>
                </c:pt>
                <c:pt idx="19">
                  <c:v>0.35</c:v>
                </c:pt>
                <c:pt idx="20">
                  <c:v>0.5</c:v>
                </c:pt>
                <c:pt idx="21">
                  <c:v>0.65</c:v>
                </c:pt>
                <c:pt idx="22">
                  <c:v>0.8</c:v>
                </c:pt>
                <c:pt idx="23">
                  <c:v>0.95</c:v>
                </c:pt>
                <c:pt idx="24">
                  <c:v>0.2</c:v>
                </c:pt>
                <c:pt idx="25">
                  <c:v>0.35</c:v>
                </c:pt>
                <c:pt idx="26">
                  <c:v>0.5</c:v>
                </c:pt>
                <c:pt idx="27">
                  <c:v>0.65</c:v>
                </c:pt>
                <c:pt idx="28">
                  <c:v>0.8</c:v>
                </c:pt>
                <c:pt idx="29">
                  <c:v>0.95</c:v>
                </c:pt>
              </c:numCache>
            </c:numRef>
          </c:yVal>
          <c:bubbleSize>
            <c:numRef>
              <c:f>'n,eta,X'!$I$2:$I$31</c:f>
              <c:numCache>
                <c:formatCode>0.0</c:formatCode>
                <c:ptCount val="30"/>
                <c:pt idx="0">
                  <c:v>6.1917557977248432</c:v>
                </c:pt>
                <c:pt idx="1">
                  <c:v>5.4781988006215236</c:v>
                </c:pt>
                <c:pt idx="2">
                  <c:v>5.1511404222351906</c:v>
                </c:pt>
                <c:pt idx="3">
                  <c:v>4.315330016179483</c:v>
                </c:pt>
                <c:pt idx="4">
                  <c:v>4.031053012273782</c:v>
                </c:pt>
                <c:pt idx="5">
                  <c:v>3.6422303802551532</c:v>
                </c:pt>
                <c:pt idx="6">
                  <c:v>6.0315199020403822</c:v>
                </c:pt>
                <c:pt idx="7">
                  <c:v>5.5551412494659456</c:v>
                </c:pt>
                <c:pt idx="8">
                  <c:v>5.0652312427731001</c:v>
                </c:pt>
                <c:pt idx="9">
                  <c:v>4.44758129404436</c:v>
                </c:pt>
                <c:pt idx="10">
                  <c:v>4.0550994444198256</c:v>
                </c:pt>
                <c:pt idx="11">
                  <c:v>3.7285975558861231</c:v>
                </c:pt>
                <c:pt idx="12">
                  <c:v>5.7490854361718515</c:v>
                </c:pt>
                <c:pt idx="13">
                  <c:v>5.2034427336210163</c:v>
                </c:pt>
                <c:pt idx="14">
                  <c:v>4.7337122046724014</c:v>
                </c:pt>
                <c:pt idx="15">
                  <c:v>3.90630076704428</c:v>
                </c:pt>
                <c:pt idx="16">
                  <c:v>3.5124786535424328</c:v>
                </c:pt>
                <c:pt idx="17">
                  <c:v>3.0991081872471185</c:v>
                </c:pt>
                <c:pt idx="18">
                  <c:v>6.3264476787856854</c:v>
                </c:pt>
                <c:pt idx="19">
                  <c:v>5.453358186990461</c:v>
                </c:pt>
                <c:pt idx="20">
                  <c:v>4.6888202002486867</c:v>
                </c:pt>
                <c:pt idx="21">
                  <c:v>3.5848442109559202</c:v>
                </c:pt>
                <c:pt idx="22">
                  <c:v>3.0278352162283442</c:v>
                </c:pt>
                <c:pt idx="23">
                  <c:v>2.3130340739170805</c:v>
                </c:pt>
                <c:pt idx="24">
                  <c:v>7.1243756083316985</c:v>
                </c:pt>
                <c:pt idx="25">
                  <c:v>6.3397115582201637</c:v>
                </c:pt>
                <c:pt idx="26">
                  <c:v>5.5210217106077808</c:v>
                </c:pt>
                <c:pt idx="27">
                  <c:v>4.3147698409030841</c:v>
                </c:pt>
                <c:pt idx="28">
                  <c:v>3.4885544221758793</c:v>
                </c:pt>
                <c:pt idx="29">
                  <c:v>2.6636068699383508</c:v>
                </c:pt>
              </c:numCache>
            </c:numRef>
          </c:bubbleSize>
          <c:bubble3D val="0"/>
          <c:extLst>
            <c:ext xmlns:c15="http://schemas.microsoft.com/office/drawing/2012/chart" uri="{02D57815-91ED-43cb-92C2-25804820EDAC}">
              <c15:datalabelsRange>
                <c15:f>'n,eta,X'!$I$2:$I$31</c15:f>
                <c15:dlblRangeCache>
                  <c:ptCount val="30"/>
                  <c:pt idx="0">
                    <c:v>6.2</c:v>
                  </c:pt>
                  <c:pt idx="1">
                    <c:v>5.5</c:v>
                  </c:pt>
                  <c:pt idx="2">
                    <c:v>5.2</c:v>
                  </c:pt>
                  <c:pt idx="3">
                    <c:v>4.3</c:v>
                  </c:pt>
                  <c:pt idx="4">
                    <c:v>4.0</c:v>
                  </c:pt>
                  <c:pt idx="5">
                    <c:v>3.6</c:v>
                  </c:pt>
                  <c:pt idx="6">
                    <c:v>6.0</c:v>
                  </c:pt>
                  <c:pt idx="7">
                    <c:v>5.6</c:v>
                  </c:pt>
                  <c:pt idx="8">
                    <c:v>5.1</c:v>
                  </c:pt>
                  <c:pt idx="9">
                    <c:v>4.4</c:v>
                  </c:pt>
                  <c:pt idx="10">
                    <c:v>4.1</c:v>
                  </c:pt>
                  <c:pt idx="11">
                    <c:v>3.7</c:v>
                  </c:pt>
                  <c:pt idx="12">
                    <c:v>5.7</c:v>
                  </c:pt>
                  <c:pt idx="13">
                    <c:v>5.2</c:v>
                  </c:pt>
                  <c:pt idx="14">
                    <c:v>4.7</c:v>
                  </c:pt>
                  <c:pt idx="15">
                    <c:v>3.9</c:v>
                  </c:pt>
                  <c:pt idx="16">
                    <c:v>3.5</c:v>
                  </c:pt>
                  <c:pt idx="17">
                    <c:v>3.1</c:v>
                  </c:pt>
                  <c:pt idx="18">
                    <c:v>6.3</c:v>
                  </c:pt>
                  <c:pt idx="19">
                    <c:v>5.5</c:v>
                  </c:pt>
                  <c:pt idx="20">
                    <c:v>4.7</c:v>
                  </c:pt>
                  <c:pt idx="21">
                    <c:v>3.6</c:v>
                  </c:pt>
                  <c:pt idx="22">
                    <c:v>3.0</c:v>
                  </c:pt>
                  <c:pt idx="23">
                    <c:v>2.3</c:v>
                  </c:pt>
                  <c:pt idx="24">
                    <c:v>7.1</c:v>
                  </c:pt>
                  <c:pt idx="25">
                    <c:v>6.3</c:v>
                  </c:pt>
                  <c:pt idx="26">
                    <c:v>5.5</c:v>
                  </c:pt>
                  <c:pt idx="27">
                    <c:v>4.3</c:v>
                  </c:pt>
                  <c:pt idx="28">
                    <c:v>3.5</c:v>
                  </c:pt>
                  <c:pt idx="29">
                    <c:v>2.7</c:v>
                  </c:pt>
                </c15:dlblRangeCache>
              </c15:datalabelsRange>
            </c:ext>
            <c:ext xmlns:c16="http://schemas.microsoft.com/office/drawing/2014/chart" uri="{C3380CC4-5D6E-409C-BE32-E72D297353CC}">
              <c16:uniqueId val="{00000000-5CB4-4117-A3DD-0B1D5DB352FD}"/>
            </c:ext>
          </c:extLst>
        </c:ser>
        <c:dLbls>
          <c:showLegendKey val="0"/>
          <c:showVal val="0"/>
          <c:showCatName val="0"/>
          <c:showSerName val="0"/>
          <c:showPercent val="0"/>
          <c:showBubbleSize val="0"/>
        </c:dLbls>
        <c:bubbleScale val="40"/>
        <c:showNegBubbles val="0"/>
        <c:axId val="1356175568"/>
        <c:axId val="1356175984"/>
      </c:bubbleChart>
      <c:valAx>
        <c:axId val="1356175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175984"/>
        <c:crosses val="autoZero"/>
        <c:crossBetween val="midCat"/>
      </c:valAx>
      <c:valAx>
        <c:axId val="1356175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eta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1755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ratio collect</a:t>
            </a:r>
          </a:p>
        </c:rich>
      </c:tx>
      <c:layout>
        <c:manualLayout>
          <c:xMode val="edge"/>
          <c:yMode val="edge"/>
          <c:x val="0.4692845581802274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'n,eta,X'!$B$1</c:f>
              <c:strCache>
                <c:ptCount val="1"/>
                <c:pt idx="0">
                  <c:v>eta</c:v>
                </c:pt>
              </c:strCache>
            </c:strRef>
          </c:tx>
          <c:spPr>
            <a:solidFill>
              <a:schemeClr val="accent1">
                <a:alpha val="75000"/>
              </a:schemeClr>
            </a:solidFill>
            <a:ln>
              <a:noFill/>
            </a:ln>
            <a:effectLst/>
          </c:spPr>
          <c:invertIfNegative val="0"/>
          <c:xVal>
            <c:numRef>
              <c:f>'n,eta,X'!$A$2:$A$31</c:f>
              <c:numCache>
                <c:formatCode>General</c:formatCode>
                <c:ptCount val="30"/>
                <c:pt idx="0">
                  <c:v>3</c:v>
                </c:pt>
                <c:pt idx="1">
                  <c:v>3</c:v>
                </c:pt>
                <c:pt idx="2">
                  <c:v>3</c:v>
                </c:pt>
                <c:pt idx="3">
                  <c:v>3</c:v>
                </c:pt>
                <c:pt idx="4">
                  <c:v>3</c:v>
                </c:pt>
                <c:pt idx="5">
                  <c:v>3</c:v>
                </c:pt>
                <c:pt idx="6">
                  <c:v>4</c:v>
                </c:pt>
                <c:pt idx="7">
                  <c:v>4</c:v>
                </c:pt>
                <c:pt idx="8">
                  <c:v>4</c:v>
                </c:pt>
                <c:pt idx="9">
                  <c:v>4</c:v>
                </c:pt>
                <c:pt idx="10">
                  <c:v>4</c:v>
                </c:pt>
                <c:pt idx="11">
                  <c:v>4</c:v>
                </c:pt>
                <c:pt idx="12">
                  <c:v>5</c:v>
                </c:pt>
                <c:pt idx="13">
                  <c:v>5</c:v>
                </c:pt>
                <c:pt idx="14">
                  <c:v>5</c:v>
                </c:pt>
                <c:pt idx="15">
                  <c:v>5</c:v>
                </c:pt>
                <c:pt idx="16">
                  <c:v>5</c:v>
                </c:pt>
                <c:pt idx="17">
                  <c:v>5</c:v>
                </c:pt>
                <c:pt idx="18">
                  <c:v>6</c:v>
                </c:pt>
                <c:pt idx="19">
                  <c:v>6</c:v>
                </c:pt>
                <c:pt idx="20">
                  <c:v>6</c:v>
                </c:pt>
                <c:pt idx="21">
                  <c:v>6</c:v>
                </c:pt>
                <c:pt idx="22">
                  <c:v>6</c:v>
                </c:pt>
                <c:pt idx="23">
                  <c:v>6</c:v>
                </c:pt>
                <c:pt idx="24">
                  <c:v>7</c:v>
                </c:pt>
                <c:pt idx="25">
                  <c:v>7</c:v>
                </c:pt>
                <c:pt idx="26">
                  <c:v>7</c:v>
                </c:pt>
                <c:pt idx="27">
                  <c:v>7</c:v>
                </c:pt>
                <c:pt idx="28">
                  <c:v>7</c:v>
                </c:pt>
                <c:pt idx="29">
                  <c:v>7</c:v>
                </c:pt>
              </c:numCache>
            </c:numRef>
          </c:xVal>
          <c:yVal>
            <c:numRef>
              <c:f>'n,eta,X'!$B$2:$B$31</c:f>
              <c:numCache>
                <c:formatCode>General</c:formatCode>
                <c:ptCount val="30"/>
                <c:pt idx="0">
                  <c:v>0.2</c:v>
                </c:pt>
                <c:pt idx="1">
                  <c:v>0.35</c:v>
                </c:pt>
                <c:pt idx="2">
                  <c:v>0.5</c:v>
                </c:pt>
                <c:pt idx="3">
                  <c:v>0.65</c:v>
                </c:pt>
                <c:pt idx="4">
                  <c:v>0.8</c:v>
                </c:pt>
                <c:pt idx="5">
                  <c:v>0.95</c:v>
                </c:pt>
                <c:pt idx="6">
                  <c:v>0.2</c:v>
                </c:pt>
                <c:pt idx="7">
                  <c:v>0.35</c:v>
                </c:pt>
                <c:pt idx="8">
                  <c:v>0.5</c:v>
                </c:pt>
                <c:pt idx="9">
                  <c:v>0.65</c:v>
                </c:pt>
                <c:pt idx="10">
                  <c:v>0.8</c:v>
                </c:pt>
                <c:pt idx="11">
                  <c:v>0.95</c:v>
                </c:pt>
                <c:pt idx="12">
                  <c:v>0.2</c:v>
                </c:pt>
                <c:pt idx="13">
                  <c:v>0.35</c:v>
                </c:pt>
                <c:pt idx="14">
                  <c:v>0.5</c:v>
                </c:pt>
                <c:pt idx="15">
                  <c:v>0.65</c:v>
                </c:pt>
                <c:pt idx="16">
                  <c:v>0.8</c:v>
                </c:pt>
                <c:pt idx="17">
                  <c:v>0.95</c:v>
                </c:pt>
                <c:pt idx="18">
                  <c:v>0.2</c:v>
                </c:pt>
                <c:pt idx="19">
                  <c:v>0.35</c:v>
                </c:pt>
                <c:pt idx="20">
                  <c:v>0.5</c:v>
                </c:pt>
                <c:pt idx="21">
                  <c:v>0.65</c:v>
                </c:pt>
                <c:pt idx="22">
                  <c:v>0.8</c:v>
                </c:pt>
                <c:pt idx="23">
                  <c:v>0.95</c:v>
                </c:pt>
                <c:pt idx="24">
                  <c:v>0.2</c:v>
                </c:pt>
                <c:pt idx="25">
                  <c:v>0.35</c:v>
                </c:pt>
                <c:pt idx="26">
                  <c:v>0.5</c:v>
                </c:pt>
                <c:pt idx="27">
                  <c:v>0.65</c:v>
                </c:pt>
                <c:pt idx="28">
                  <c:v>0.8</c:v>
                </c:pt>
                <c:pt idx="29">
                  <c:v>0.95</c:v>
                </c:pt>
              </c:numCache>
            </c:numRef>
          </c:yVal>
          <c:bubbleSize>
            <c:numRef>
              <c:f>'n,eta,X'!$S$2:$S$31</c:f>
              <c:numCache>
                <c:formatCode>General</c:formatCode>
                <c:ptCount val="30"/>
                <c:pt idx="0">
                  <c:v>7.1753942665124721E-4</c:v>
                </c:pt>
                <c:pt idx="1">
                  <c:v>2.7203739841455458E-3</c:v>
                </c:pt>
                <c:pt idx="2">
                  <c:v>5.742911140866956E-3</c:v>
                </c:pt>
                <c:pt idx="3">
                  <c:v>1.6796519879362159E-2</c:v>
                </c:pt>
                <c:pt idx="4">
                  <c:v>2.0272011015993081E-2</c:v>
                </c:pt>
                <c:pt idx="5">
                  <c:v>3.330329068606043E-2</c:v>
                </c:pt>
                <c:pt idx="6">
                  <c:v>1.2008970973464152E-3</c:v>
                </c:pt>
                <c:pt idx="7">
                  <c:v>1.4700236917935059E-3</c:v>
                </c:pt>
                <c:pt idx="8">
                  <c:v>3.475008662595118E-3</c:v>
                </c:pt>
                <c:pt idx="9">
                  <c:v>8.2729823379234339E-3</c:v>
                </c:pt>
                <c:pt idx="10">
                  <c:v>1.5396434850071236E-2</c:v>
                </c:pt>
                <c:pt idx="11">
                  <c:v>1.9747926239679948E-2</c:v>
                </c:pt>
                <c:pt idx="12">
                  <c:v>2.7363334945071301E-4</c:v>
                </c:pt>
                <c:pt idx="13">
                  <c:v>1.0088772542591548E-3</c:v>
                </c:pt>
                <c:pt idx="14">
                  <c:v>2.3526204796296022E-3</c:v>
                </c:pt>
                <c:pt idx="15">
                  <c:v>6.0869937260566026E-3</c:v>
                </c:pt>
                <c:pt idx="16">
                  <c:v>7.4735597248108106E-3</c:v>
                </c:pt>
                <c:pt idx="17">
                  <c:v>1.1761688095176356E-2</c:v>
                </c:pt>
                <c:pt idx="18">
                  <c:v>1.8089559929388384E-4</c:v>
                </c:pt>
                <c:pt idx="19">
                  <c:v>4.6915181087712262E-4</c:v>
                </c:pt>
                <c:pt idx="20">
                  <c:v>1.2721195646342534E-3</c:v>
                </c:pt>
                <c:pt idx="21">
                  <c:v>2.8051718144788294E-3</c:v>
                </c:pt>
                <c:pt idx="22">
                  <c:v>4.5347920642115121E-3</c:v>
                </c:pt>
                <c:pt idx="23">
                  <c:v>7.6481108886301092E-3</c:v>
                </c:pt>
                <c:pt idx="24">
                  <c:v>1.3290678777614929E-4</c:v>
                </c:pt>
                <c:pt idx="25">
                  <c:v>3.474309013993939E-4</c:v>
                </c:pt>
                <c:pt idx="26">
                  <c:v>8.2046252494276384E-4</c:v>
                </c:pt>
                <c:pt idx="27">
                  <c:v>1.7718308813806267E-3</c:v>
                </c:pt>
                <c:pt idx="28">
                  <c:v>2.7990088565929059E-3</c:v>
                </c:pt>
                <c:pt idx="29">
                  <c:v>4.8123222904107379E-3</c:v>
                </c:pt>
              </c:numCache>
            </c:numRef>
          </c:bubbleSize>
          <c:bubble3D val="0"/>
          <c:extLst>
            <c:ext xmlns:c16="http://schemas.microsoft.com/office/drawing/2014/chart" uri="{C3380CC4-5D6E-409C-BE32-E72D297353CC}">
              <c16:uniqueId val="{00000000-CF6B-4C94-857B-DB5314826255}"/>
            </c:ext>
          </c:extLst>
        </c:ser>
        <c:dLbls>
          <c:showLegendKey val="0"/>
          <c:showVal val="0"/>
          <c:showCatName val="0"/>
          <c:showSerName val="0"/>
          <c:showPercent val="0"/>
          <c:showBubbleSize val="0"/>
        </c:dLbls>
        <c:bubbleScale val="40"/>
        <c:showNegBubbles val="0"/>
        <c:axId val="1356175568"/>
        <c:axId val="1356175984"/>
      </c:bubbleChart>
      <c:valAx>
        <c:axId val="1356175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175984"/>
        <c:crosses val="autoZero"/>
        <c:crossBetween val="midCat"/>
      </c:valAx>
      <c:valAx>
        <c:axId val="135617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1755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ratio NF/FF</a:t>
            </a:r>
          </a:p>
        </c:rich>
      </c:tx>
      <c:layout>
        <c:manualLayout>
          <c:xMode val="edge"/>
          <c:yMode val="edge"/>
          <c:x val="0.4692845581802274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'n,eta,X'!$B$1</c:f>
              <c:strCache>
                <c:ptCount val="1"/>
                <c:pt idx="0">
                  <c:v>eta</c:v>
                </c:pt>
              </c:strCache>
            </c:strRef>
          </c:tx>
          <c:spPr>
            <a:solidFill>
              <a:schemeClr val="accent1">
                <a:alpha val="75000"/>
              </a:schemeClr>
            </a:solidFill>
            <a:ln>
              <a:noFill/>
            </a:ln>
            <a:effectLst/>
          </c:spPr>
          <c:invertIfNegative val="0"/>
          <c:dLbls>
            <c:dLbl>
              <c:idx val="0"/>
              <c:tx>
                <c:rich>
                  <a:bodyPr/>
                  <a:lstStyle/>
                  <a:p>
                    <a:fld id="{645EA3CE-CAC5-416B-B326-8ED0BB00394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B6E-4752-97F6-402B1D4823F4}"/>
                </c:ext>
              </c:extLst>
            </c:dLbl>
            <c:dLbl>
              <c:idx val="1"/>
              <c:tx>
                <c:rich>
                  <a:bodyPr/>
                  <a:lstStyle/>
                  <a:p>
                    <a:fld id="{851AD6C6-A369-4DC5-82C0-5B0824DC54B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B6E-4752-97F6-402B1D4823F4}"/>
                </c:ext>
              </c:extLst>
            </c:dLbl>
            <c:dLbl>
              <c:idx val="2"/>
              <c:tx>
                <c:rich>
                  <a:bodyPr/>
                  <a:lstStyle/>
                  <a:p>
                    <a:fld id="{127111C6-0077-4514-B0E2-FF9D2B33ADC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B6E-4752-97F6-402B1D4823F4}"/>
                </c:ext>
              </c:extLst>
            </c:dLbl>
            <c:dLbl>
              <c:idx val="3"/>
              <c:tx>
                <c:rich>
                  <a:bodyPr/>
                  <a:lstStyle/>
                  <a:p>
                    <a:fld id="{FFB3F520-2974-4AE4-8B98-9ECA7ABA659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B6E-4752-97F6-402B1D4823F4}"/>
                </c:ext>
              </c:extLst>
            </c:dLbl>
            <c:dLbl>
              <c:idx val="4"/>
              <c:tx>
                <c:rich>
                  <a:bodyPr/>
                  <a:lstStyle/>
                  <a:p>
                    <a:fld id="{C4063F69-3829-407F-BF53-96F046A9354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B6E-4752-97F6-402B1D4823F4}"/>
                </c:ext>
              </c:extLst>
            </c:dLbl>
            <c:dLbl>
              <c:idx val="5"/>
              <c:tx>
                <c:rich>
                  <a:bodyPr/>
                  <a:lstStyle/>
                  <a:p>
                    <a:fld id="{A156C3AB-DA82-4F59-8D00-C4251A0B66F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B6E-4752-97F6-402B1D4823F4}"/>
                </c:ext>
              </c:extLst>
            </c:dLbl>
            <c:dLbl>
              <c:idx val="6"/>
              <c:tx>
                <c:rich>
                  <a:bodyPr/>
                  <a:lstStyle/>
                  <a:p>
                    <a:fld id="{853566E8-3F63-41EC-A4C6-7D802011B6B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B6E-4752-97F6-402B1D4823F4}"/>
                </c:ext>
              </c:extLst>
            </c:dLbl>
            <c:dLbl>
              <c:idx val="7"/>
              <c:tx>
                <c:rich>
                  <a:bodyPr/>
                  <a:lstStyle/>
                  <a:p>
                    <a:fld id="{1B09D6A1-D63F-42BF-8F2B-105B1F784CE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B6E-4752-97F6-402B1D4823F4}"/>
                </c:ext>
              </c:extLst>
            </c:dLbl>
            <c:dLbl>
              <c:idx val="8"/>
              <c:tx>
                <c:rich>
                  <a:bodyPr/>
                  <a:lstStyle/>
                  <a:p>
                    <a:fld id="{71BB7D94-C38C-423B-BFD9-F5A3AD51056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B6E-4752-97F6-402B1D4823F4}"/>
                </c:ext>
              </c:extLst>
            </c:dLbl>
            <c:dLbl>
              <c:idx val="9"/>
              <c:tx>
                <c:rich>
                  <a:bodyPr/>
                  <a:lstStyle/>
                  <a:p>
                    <a:fld id="{459F1763-C3A3-4400-90A9-53E3CA47606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B6E-4752-97F6-402B1D4823F4}"/>
                </c:ext>
              </c:extLst>
            </c:dLbl>
            <c:dLbl>
              <c:idx val="10"/>
              <c:tx>
                <c:rich>
                  <a:bodyPr/>
                  <a:lstStyle/>
                  <a:p>
                    <a:fld id="{CCA9748A-902A-4F8C-A108-B952CD4EE17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B6E-4752-97F6-402B1D4823F4}"/>
                </c:ext>
              </c:extLst>
            </c:dLbl>
            <c:dLbl>
              <c:idx val="11"/>
              <c:tx>
                <c:rich>
                  <a:bodyPr/>
                  <a:lstStyle/>
                  <a:p>
                    <a:fld id="{147FDE85-0165-490C-BC47-7622347C9B8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4B6E-4752-97F6-402B1D4823F4}"/>
                </c:ext>
              </c:extLst>
            </c:dLbl>
            <c:dLbl>
              <c:idx val="12"/>
              <c:tx>
                <c:rich>
                  <a:bodyPr/>
                  <a:lstStyle/>
                  <a:p>
                    <a:fld id="{0D8BD68D-45A0-4C54-8134-596CCB0BB58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4B6E-4752-97F6-402B1D4823F4}"/>
                </c:ext>
              </c:extLst>
            </c:dLbl>
            <c:dLbl>
              <c:idx val="13"/>
              <c:tx>
                <c:rich>
                  <a:bodyPr/>
                  <a:lstStyle/>
                  <a:p>
                    <a:fld id="{4A486600-CCDA-4345-A04F-416FA8B1E78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4B6E-4752-97F6-402B1D4823F4}"/>
                </c:ext>
              </c:extLst>
            </c:dLbl>
            <c:dLbl>
              <c:idx val="14"/>
              <c:tx>
                <c:rich>
                  <a:bodyPr/>
                  <a:lstStyle/>
                  <a:p>
                    <a:fld id="{895207E2-45AE-4545-B51C-1FB6A63ECA5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4B6E-4752-97F6-402B1D4823F4}"/>
                </c:ext>
              </c:extLst>
            </c:dLbl>
            <c:dLbl>
              <c:idx val="15"/>
              <c:tx>
                <c:rich>
                  <a:bodyPr/>
                  <a:lstStyle/>
                  <a:p>
                    <a:fld id="{36F2D6CE-0DA9-4DD7-AD99-2A059AE9FAD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4B6E-4752-97F6-402B1D4823F4}"/>
                </c:ext>
              </c:extLst>
            </c:dLbl>
            <c:dLbl>
              <c:idx val="16"/>
              <c:tx>
                <c:rich>
                  <a:bodyPr/>
                  <a:lstStyle/>
                  <a:p>
                    <a:fld id="{BD36550F-A812-41A1-9C4C-8DE455F8588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4B6E-4752-97F6-402B1D4823F4}"/>
                </c:ext>
              </c:extLst>
            </c:dLbl>
            <c:dLbl>
              <c:idx val="17"/>
              <c:tx>
                <c:rich>
                  <a:bodyPr/>
                  <a:lstStyle/>
                  <a:p>
                    <a:fld id="{AFBCA325-C4F9-4604-98D1-010DE92A847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4B6E-4752-97F6-402B1D4823F4}"/>
                </c:ext>
              </c:extLst>
            </c:dLbl>
            <c:dLbl>
              <c:idx val="18"/>
              <c:tx>
                <c:rich>
                  <a:bodyPr/>
                  <a:lstStyle/>
                  <a:p>
                    <a:fld id="{922FA425-EF85-4EF0-9F3B-9DC92C88BFD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4B6E-4752-97F6-402B1D4823F4}"/>
                </c:ext>
              </c:extLst>
            </c:dLbl>
            <c:dLbl>
              <c:idx val="19"/>
              <c:tx>
                <c:rich>
                  <a:bodyPr/>
                  <a:lstStyle/>
                  <a:p>
                    <a:fld id="{27637735-289F-4896-9D32-C819EE1494E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4B6E-4752-97F6-402B1D4823F4}"/>
                </c:ext>
              </c:extLst>
            </c:dLbl>
            <c:dLbl>
              <c:idx val="20"/>
              <c:tx>
                <c:rich>
                  <a:bodyPr/>
                  <a:lstStyle/>
                  <a:p>
                    <a:fld id="{9E197850-6123-4C20-AE2C-A8D4B1E600B8}"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4B6E-4752-97F6-402B1D4823F4}"/>
                </c:ext>
              </c:extLst>
            </c:dLbl>
            <c:dLbl>
              <c:idx val="21"/>
              <c:tx>
                <c:rich>
                  <a:bodyPr/>
                  <a:lstStyle/>
                  <a:p>
                    <a:fld id="{FBF7FF94-2494-4BF4-A707-3E938D24770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4B6E-4752-97F6-402B1D4823F4}"/>
                </c:ext>
              </c:extLst>
            </c:dLbl>
            <c:dLbl>
              <c:idx val="22"/>
              <c:tx>
                <c:rich>
                  <a:bodyPr/>
                  <a:lstStyle/>
                  <a:p>
                    <a:fld id="{2CF917FD-19D1-4303-8C1E-BB03916A085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4B6E-4752-97F6-402B1D4823F4}"/>
                </c:ext>
              </c:extLst>
            </c:dLbl>
            <c:dLbl>
              <c:idx val="23"/>
              <c:tx>
                <c:rich>
                  <a:bodyPr/>
                  <a:lstStyle/>
                  <a:p>
                    <a:fld id="{295520DD-E604-4278-826A-C87F1C05314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4B6E-4752-97F6-402B1D4823F4}"/>
                </c:ext>
              </c:extLst>
            </c:dLbl>
            <c:dLbl>
              <c:idx val="24"/>
              <c:tx>
                <c:rich>
                  <a:bodyPr/>
                  <a:lstStyle/>
                  <a:p>
                    <a:fld id="{ADFF1B60-4E4B-4504-8212-401FA1CA745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4B6E-4752-97F6-402B1D4823F4}"/>
                </c:ext>
              </c:extLst>
            </c:dLbl>
            <c:dLbl>
              <c:idx val="25"/>
              <c:tx>
                <c:rich>
                  <a:bodyPr/>
                  <a:lstStyle/>
                  <a:p>
                    <a:fld id="{3FEAAE92-62A5-437B-8E03-6CBE861BAC9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4B6E-4752-97F6-402B1D4823F4}"/>
                </c:ext>
              </c:extLst>
            </c:dLbl>
            <c:dLbl>
              <c:idx val="26"/>
              <c:tx>
                <c:rich>
                  <a:bodyPr/>
                  <a:lstStyle/>
                  <a:p>
                    <a:fld id="{5A30F50A-DFEB-4367-9A33-C902B79E05C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4B6E-4752-97F6-402B1D4823F4}"/>
                </c:ext>
              </c:extLst>
            </c:dLbl>
            <c:dLbl>
              <c:idx val="27"/>
              <c:tx>
                <c:rich>
                  <a:bodyPr/>
                  <a:lstStyle/>
                  <a:p>
                    <a:fld id="{D1082163-D3EA-4849-944F-8EE81E5D24B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4B6E-4752-97F6-402B1D4823F4}"/>
                </c:ext>
              </c:extLst>
            </c:dLbl>
            <c:dLbl>
              <c:idx val="28"/>
              <c:tx>
                <c:rich>
                  <a:bodyPr/>
                  <a:lstStyle/>
                  <a:p>
                    <a:fld id="{209234A8-EE61-42C6-9494-389E986711E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4B6E-4752-97F6-402B1D4823F4}"/>
                </c:ext>
              </c:extLst>
            </c:dLbl>
            <c:dLbl>
              <c:idx val="29"/>
              <c:tx>
                <c:rich>
                  <a:bodyPr/>
                  <a:lstStyle/>
                  <a:p>
                    <a:fld id="{43A30615-0719-4504-90C1-C24BAA77F5B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4B6E-4752-97F6-402B1D4823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'n,eta,X'!$A$2:$A$31</c:f>
              <c:numCache>
                <c:formatCode>General</c:formatCode>
                <c:ptCount val="30"/>
                <c:pt idx="0">
                  <c:v>3</c:v>
                </c:pt>
                <c:pt idx="1">
                  <c:v>3</c:v>
                </c:pt>
                <c:pt idx="2">
                  <c:v>3</c:v>
                </c:pt>
                <c:pt idx="3">
                  <c:v>3</c:v>
                </c:pt>
                <c:pt idx="4">
                  <c:v>3</c:v>
                </c:pt>
                <c:pt idx="5">
                  <c:v>3</c:v>
                </c:pt>
                <c:pt idx="6">
                  <c:v>4</c:v>
                </c:pt>
                <c:pt idx="7">
                  <c:v>4</c:v>
                </c:pt>
                <c:pt idx="8">
                  <c:v>4</c:v>
                </c:pt>
                <c:pt idx="9">
                  <c:v>4</c:v>
                </c:pt>
                <c:pt idx="10">
                  <c:v>4</c:v>
                </c:pt>
                <c:pt idx="11">
                  <c:v>4</c:v>
                </c:pt>
                <c:pt idx="12">
                  <c:v>5</c:v>
                </c:pt>
                <c:pt idx="13">
                  <c:v>5</c:v>
                </c:pt>
                <c:pt idx="14">
                  <c:v>5</c:v>
                </c:pt>
                <c:pt idx="15">
                  <c:v>5</c:v>
                </c:pt>
                <c:pt idx="16">
                  <c:v>5</c:v>
                </c:pt>
                <c:pt idx="17">
                  <c:v>5</c:v>
                </c:pt>
                <c:pt idx="18">
                  <c:v>6</c:v>
                </c:pt>
                <c:pt idx="19">
                  <c:v>6</c:v>
                </c:pt>
                <c:pt idx="20">
                  <c:v>6</c:v>
                </c:pt>
                <c:pt idx="21">
                  <c:v>6</c:v>
                </c:pt>
                <c:pt idx="22">
                  <c:v>6</c:v>
                </c:pt>
                <c:pt idx="23">
                  <c:v>6</c:v>
                </c:pt>
                <c:pt idx="24">
                  <c:v>7</c:v>
                </c:pt>
                <c:pt idx="25">
                  <c:v>7</c:v>
                </c:pt>
                <c:pt idx="26">
                  <c:v>7</c:v>
                </c:pt>
                <c:pt idx="27">
                  <c:v>7</c:v>
                </c:pt>
                <c:pt idx="28">
                  <c:v>7</c:v>
                </c:pt>
                <c:pt idx="29">
                  <c:v>7</c:v>
                </c:pt>
              </c:numCache>
            </c:numRef>
          </c:xVal>
          <c:yVal>
            <c:numRef>
              <c:f>'n,eta,X'!$B$2:$B$31</c:f>
              <c:numCache>
                <c:formatCode>General</c:formatCode>
                <c:ptCount val="30"/>
                <c:pt idx="0">
                  <c:v>0.2</c:v>
                </c:pt>
                <c:pt idx="1">
                  <c:v>0.35</c:v>
                </c:pt>
                <c:pt idx="2">
                  <c:v>0.5</c:v>
                </c:pt>
                <c:pt idx="3">
                  <c:v>0.65</c:v>
                </c:pt>
                <c:pt idx="4">
                  <c:v>0.8</c:v>
                </c:pt>
                <c:pt idx="5">
                  <c:v>0.95</c:v>
                </c:pt>
                <c:pt idx="6">
                  <c:v>0.2</c:v>
                </c:pt>
                <c:pt idx="7">
                  <c:v>0.35</c:v>
                </c:pt>
                <c:pt idx="8">
                  <c:v>0.5</c:v>
                </c:pt>
                <c:pt idx="9">
                  <c:v>0.65</c:v>
                </c:pt>
                <c:pt idx="10">
                  <c:v>0.8</c:v>
                </c:pt>
                <c:pt idx="11">
                  <c:v>0.95</c:v>
                </c:pt>
                <c:pt idx="12">
                  <c:v>0.2</c:v>
                </c:pt>
                <c:pt idx="13">
                  <c:v>0.35</c:v>
                </c:pt>
                <c:pt idx="14">
                  <c:v>0.5</c:v>
                </c:pt>
                <c:pt idx="15">
                  <c:v>0.65</c:v>
                </c:pt>
                <c:pt idx="16">
                  <c:v>0.8</c:v>
                </c:pt>
                <c:pt idx="17">
                  <c:v>0.95</c:v>
                </c:pt>
                <c:pt idx="18">
                  <c:v>0.2</c:v>
                </c:pt>
                <c:pt idx="19">
                  <c:v>0.35</c:v>
                </c:pt>
                <c:pt idx="20">
                  <c:v>0.5</c:v>
                </c:pt>
                <c:pt idx="21">
                  <c:v>0.65</c:v>
                </c:pt>
                <c:pt idx="22">
                  <c:v>0.8</c:v>
                </c:pt>
                <c:pt idx="23">
                  <c:v>0.95</c:v>
                </c:pt>
                <c:pt idx="24">
                  <c:v>0.2</c:v>
                </c:pt>
                <c:pt idx="25">
                  <c:v>0.35</c:v>
                </c:pt>
                <c:pt idx="26">
                  <c:v>0.5</c:v>
                </c:pt>
                <c:pt idx="27">
                  <c:v>0.65</c:v>
                </c:pt>
                <c:pt idx="28">
                  <c:v>0.8</c:v>
                </c:pt>
                <c:pt idx="29">
                  <c:v>0.95</c:v>
                </c:pt>
              </c:numCache>
            </c:numRef>
          </c:yVal>
          <c:bubbleSize>
            <c:numRef>
              <c:f>'n,eta,X'!$X$2:$X$31</c:f>
              <c:numCache>
                <c:formatCode>0.0</c:formatCode>
                <c:ptCount val="30"/>
                <c:pt idx="0">
                  <c:v>2.6941786458016601</c:v>
                </c:pt>
                <c:pt idx="1">
                  <c:v>1.7974062823209223</c:v>
                </c:pt>
                <c:pt idx="2">
                  <c:v>1.402642303781936</c:v>
                </c:pt>
                <c:pt idx="3">
                  <c:v>0.96967418261584759</c:v>
                </c:pt>
                <c:pt idx="4">
                  <c:v>0.63407096144519126</c:v>
                </c:pt>
                <c:pt idx="5">
                  <c:v>0.45153965697432197</c:v>
                </c:pt>
                <c:pt idx="6">
                  <c:v>0.74606919050466769</c:v>
                </c:pt>
                <c:pt idx="7">
                  <c:v>0.50400807926897939</c:v>
                </c:pt>
                <c:pt idx="8">
                  <c:v>0.42355016333250523</c:v>
                </c:pt>
                <c:pt idx="9">
                  <c:v>0.31405431813835599</c:v>
                </c:pt>
                <c:pt idx="10">
                  <c:v>0.22563386959310075</c:v>
                </c:pt>
                <c:pt idx="11">
                  <c:v>0.18053649832551372</c:v>
                </c:pt>
                <c:pt idx="12">
                  <c:v>1.4284876339742631</c:v>
                </c:pt>
                <c:pt idx="13">
                  <c:v>0.83695563668037598</c:v>
                </c:pt>
                <c:pt idx="14">
                  <c:v>0.64189291843722507</c:v>
                </c:pt>
                <c:pt idx="15">
                  <c:v>0.48926608387438036</c:v>
                </c:pt>
                <c:pt idx="16">
                  <c:v>0.36021078874583595</c:v>
                </c:pt>
                <c:pt idx="17">
                  <c:v>0.29842630548558124</c:v>
                </c:pt>
                <c:pt idx="18">
                  <c:v>4.4038127766679631</c:v>
                </c:pt>
                <c:pt idx="19">
                  <c:v>1.6440343807656135</c:v>
                </c:pt>
                <c:pt idx="20">
                  <c:v>1.2395070692933892</c:v>
                </c:pt>
                <c:pt idx="21">
                  <c:v>0.90858247622893895</c:v>
                </c:pt>
                <c:pt idx="22">
                  <c:v>0.65608655576717323</c:v>
                </c:pt>
                <c:pt idx="23">
                  <c:v>0.57711308270407291</c:v>
                </c:pt>
                <c:pt idx="24">
                  <c:v>13.11413973058561</c:v>
                </c:pt>
                <c:pt idx="25">
                  <c:v>3.255112119683262</c:v>
                </c:pt>
                <c:pt idx="26">
                  <c:v>2.4073576792900928</c:v>
                </c:pt>
                <c:pt idx="27">
                  <c:v>1.5620147556231729</c:v>
                </c:pt>
                <c:pt idx="28">
                  <c:v>1.1770785268533328</c:v>
                </c:pt>
                <c:pt idx="29">
                  <c:v>0.81208735707155755</c:v>
                </c:pt>
              </c:numCache>
            </c:numRef>
          </c:bubbleSize>
          <c:bubble3D val="0"/>
          <c:extLst>
            <c:ext xmlns:c15="http://schemas.microsoft.com/office/drawing/2012/chart" uri="{02D57815-91ED-43cb-92C2-25804820EDAC}">
              <c15:datalabelsRange>
                <c15:f>'n,eta,X'!$X$2:$X$31</c15:f>
                <c15:dlblRangeCache>
                  <c:ptCount val="30"/>
                  <c:pt idx="0">
                    <c:v>2.7</c:v>
                  </c:pt>
                  <c:pt idx="1">
                    <c:v>1.8</c:v>
                  </c:pt>
                  <c:pt idx="2">
                    <c:v>1.4</c:v>
                  </c:pt>
                  <c:pt idx="3">
                    <c:v>1.0</c:v>
                  </c:pt>
                  <c:pt idx="4">
                    <c:v>0.6</c:v>
                  </c:pt>
                  <c:pt idx="5">
                    <c:v>0.5</c:v>
                  </c:pt>
                  <c:pt idx="6">
                    <c:v>0.7</c:v>
                  </c:pt>
                  <c:pt idx="7">
                    <c:v>0.5</c:v>
                  </c:pt>
                  <c:pt idx="8">
                    <c:v>0.4</c:v>
                  </c:pt>
                  <c:pt idx="9">
                    <c:v>0.3</c:v>
                  </c:pt>
                  <c:pt idx="10">
                    <c:v>0.2</c:v>
                  </c:pt>
                  <c:pt idx="11">
                    <c:v>0.2</c:v>
                  </c:pt>
                  <c:pt idx="12">
                    <c:v>1.4</c:v>
                  </c:pt>
                  <c:pt idx="13">
                    <c:v>0.8</c:v>
                  </c:pt>
                  <c:pt idx="14">
                    <c:v>0.6</c:v>
                  </c:pt>
                  <c:pt idx="15">
                    <c:v>0.5</c:v>
                  </c:pt>
                  <c:pt idx="16">
                    <c:v>0.4</c:v>
                  </c:pt>
                  <c:pt idx="17">
                    <c:v>0.3</c:v>
                  </c:pt>
                  <c:pt idx="18">
                    <c:v>4.4</c:v>
                  </c:pt>
                  <c:pt idx="19">
                    <c:v>1.6</c:v>
                  </c:pt>
                  <c:pt idx="20">
                    <c:v>1.2</c:v>
                  </c:pt>
                  <c:pt idx="21">
                    <c:v>0.9</c:v>
                  </c:pt>
                  <c:pt idx="22">
                    <c:v>0.7</c:v>
                  </c:pt>
                  <c:pt idx="23">
                    <c:v>0.6</c:v>
                  </c:pt>
                  <c:pt idx="24">
                    <c:v>13.1</c:v>
                  </c:pt>
                  <c:pt idx="25">
                    <c:v>3.3</c:v>
                  </c:pt>
                  <c:pt idx="26">
                    <c:v>2.4</c:v>
                  </c:pt>
                  <c:pt idx="27">
                    <c:v>1.6</c:v>
                  </c:pt>
                  <c:pt idx="28">
                    <c:v>1.2</c:v>
                  </c:pt>
                  <c:pt idx="29">
                    <c:v>0.8</c:v>
                  </c:pt>
                </c15:dlblRangeCache>
              </c15:datalabelsRange>
            </c:ext>
            <c:ext xmlns:c16="http://schemas.microsoft.com/office/drawing/2014/chart" uri="{C3380CC4-5D6E-409C-BE32-E72D297353CC}">
              <c16:uniqueId val="{00000000-4B6E-4752-97F6-402B1D4823F4}"/>
            </c:ext>
          </c:extLst>
        </c:ser>
        <c:dLbls>
          <c:showLegendKey val="0"/>
          <c:showVal val="0"/>
          <c:showCatName val="0"/>
          <c:showSerName val="0"/>
          <c:showPercent val="0"/>
          <c:showBubbleSize val="0"/>
        </c:dLbls>
        <c:bubbleScale val="80"/>
        <c:showNegBubbles val="0"/>
        <c:axId val="1356175568"/>
        <c:axId val="1356175984"/>
      </c:bubbleChart>
      <c:valAx>
        <c:axId val="1356175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175984"/>
        <c:crosses val="autoZero"/>
        <c:crossBetween val="midCat"/>
      </c:valAx>
      <c:valAx>
        <c:axId val="135617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1755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5"/>
          <c:order val="3"/>
          <c:tx>
            <c:strRef>
              <c:f>'n,eta,X'!$G$39</c:f>
              <c:strCache>
                <c:ptCount val="1"/>
                <c:pt idx="0">
                  <c:v>share CPU M2L</c:v>
                </c:pt>
              </c:strCache>
            </c:strRef>
          </c:tx>
          <c:spPr>
            <a:solidFill>
              <a:srgbClr val="C00000">
                <a:alpha val="50000"/>
              </a:srgbClr>
            </a:solidFill>
            <a:ln>
              <a:noFill/>
            </a:ln>
            <a:effectLst/>
          </c:spPr>
          <c:invertIfNegative val="0"/>
          <c:val>
            <c:numRef>
              <c:f>'n,eta,X'!$G$40:$G$44</c:f>
              <c:numCache>
                <c:formatCode>General</c:formatCode>
                <c:ptCount val="5"/>
                <c:pt idx="0">
                  <c:v>0.27489748423948451</c:v>
                </c:pt>
                <c:pt idx="1">
                  <c:v>0.51618139592075685</c:v>
                </c:pt>
                <c:pt idx="2">
                  <c:v>0.44569534815792972</c:v>
                </c:pt>
                <c:pt idx="3">
                  <c:v>0.31569821660732705</c:v>
                </c:pt>
                <c:pt idx="4">
                  <c:v>0.21860571758981506</c:v>
                </c:pt>
              </c:numCache>
            </c:numRef>
          </c:val>
          <c:extLst>
            <c:ext xmlns:c16="http://schemas.microsoft.com/office/drawing/2014/chart" uri="{C3380CC4-5D6E-409C-BE32-E72D297353CC}">
              <c16:uniqueId val="{00000006-4B0B-4636-9898-0D23272F49BC}"/>
            </c:ext>
          </c:extLst>
        </c:ser>
        <c:ser>
          <c:idx val="3"/>
          <c:order val="4"/>
          <c:tx>
            <c:strRef>
              <c:f>'n,eta,X'!$H$39</c:f>
              <c:strCache>
                <c:ptCount val="1"/>
                <c:pt idx="0">
                  <c:v>share CPU NF</c:v>
                </c:pt>
              </c:strCache>
            </c:strRef>
          </c:tx>
          <c:spPr>
            <a:solidFill>
              <a:srgbClr val="FFC000">
                <a:alpha val="50000"/>
              </a:srgbClr>
            </a:solidFill>
            <a:ln>
              <a:noFill/>
            </a:ln>
            <a:effectLst/>
          </c:spPr>
          <c:invertIfNegative val="0"/>
          <c:val>
            <c:numRef>
              <c:f>'n,eta,X'!$H$40:$H$44</c:f>
              <c:numCache>
                <c:formatCode>General</c:formatCode>
                <c:ptCount val="5"/>
                <c:pt idx="0">
                  <c:v>0.51349552586620018</c:v>
                </c:pt>
                <c:pt idx="1">
                  <c:v>0.26841128259212571</c:v>
                </c:pt>
                <c:pt idx="2">
                  <c:v>0.37490237980734442</c:v>
                </c:pt>
                <c:pt idx="3">
                  <c:v>0.52269525456387189</c:v>
                </c:pt>
                <c:pt idx="4">
                  <c:v>0.65068635192311364</c:v>
                </c:pt>
              </c:numCache>
            </c:numRef>
          </c:val>
          <c:extLst>
            <c:ext xmlns:c16="http://schemas.microsoft.com/office/drawing/2014/chart" uri="{C3380CC4-5D6E-409C-BE32-E72D297353CC}">
              <c16:uniqueId val="{00000008-4B0B-4636-9898-0D23272F49BC}"/>
            </c:ext>
          </c:extLst>
        </c:ser>
        <c:dLbls>
          <c:showLegendKey val="0"/>
          <c:showVal val="0"/>
          <c:showCatName val="0"/>
          <c:showSerName val="0"/>
          <c:showPercent val="0"/>
          <c:showBubbleSize val="0"/>
        </c:dLbls>
        <c:gapWidth val="458"/>
        <c:axId val="1125566256"/>
        <c:axId val="1125564592"/>
      </c:barChart>
      <c:lineChart>
        <c:grouping val="standard"/>
        <c:varyColors val="0"/>
        <c:ser>
          <c:idx val="0"/>
          <c:order val="0"/>
          <c:tx>
            <c:strRef>
              <c:f>'n,eta,X'!$B$39</c:f>
              <c:strCache>
                <c:ptCount val="1"/>
                <c:pt idx="0">
                  <c:v>X total</c:v>
                </c:pt>
              </c:strCache>
            </c:strRef>
          </c:tx>
          <c:spPr>
            <a:ln w="28575" cap="rnd">
              <a:solidFill>
                <a:schemeClr val="tx1"/>
              </a:solidFill>
              <a:round/>
            </a:ln>
            <a:effectLst/>
          </c:spPr>
          <c:marker>
            <c:symbol val="circle"/>
            <c:size val="5"/>
            <c:spPr>
              <a:solidFill>
                <a:schemeClr val="bg1">
                  <a:lumMod val="50000"/>
                </a:schemeClr>
              </a:solidFill>
              <a:ln w="9525">
                <a:solidFill>
                  <a:schemeClr val="accent1"/>
                </a:solidFill>
              </a:ln>
              <a:effectLst/>
            </c:spPr>
          </c:marker>
          <c:val>
            <c:numRef>
              <c:f>'n,eta,X'!$B$40:$B$44</c:f>
              <c:numCache>
                <c:formatCode>General</c:formatCode>
                <c:ptCount val="5"/>
                <c:pt idx="0">
                  <c:v>4.8016180715483303</c:v>
                </c:pt>
                <c:pt idx="1">
                  <c:v>4.8138617814382894</c:v>
                </c:pt>
                <c:pt idx="2">
                  <c:v>4.3673546637165161</c:v>
                </c:pt>
                <c:pt idx="3">
                  <c:v>4.2323899278543626</c:v>
                </c:pt>
                <c:pt idx="4">
                  <c:v>4.9086733350294933</c:v>
                </c:pt>
              </c:numCache>
            </c:numRef>
          </c:val>
          <c:smooth val="0"/>
          <c:extLst>
            <c:ext xmlns:c16="http://schemas.microsoft.com/office/drawing/2014/chart" uri="{C3380CC4-5D6E-409C-BE32-E72D297353CC}">
              <c16:uniqueId val="{00000000-4B0B-4636-9898-0D23272F49BC}"/>
            </c:ext>
          </c:extLst>
        </c:ser>
        <c:ser>
          <c:idx val="1"/>
          <c:order val="1"/>
          <c:tx>
            <c:strRef>
              <c:f>'n,eta,X'!$C$39</c:f>
              <c:strCache>
                <c:ptCount val="1"/>
                <c:pt idx="0">
                  <c:v>X M2L</c:v>
                </c:pt>
              </c:strCache>
            </c:strRef>
          </c:tx>
          <c:spPr>
            <a:ln w="28575" cap="rnd">
              <a:solidFill>
                <a:srgbClr val="C00000"/>
              </a:solidFill>
              <a:round/>
            </a:ln>
            <a:effectLst/>
          </c:spPr>
          <c:marker>
            <c:symbol val="circle"/>
            <c:size val="5"/>
            <c:spPr>
              <a:solidFill>
                <a:srgbClr val="FF0000"/>
              </a:solidFill>
              <a:ln w="9525">
                <a:solidFill>
                  <a:schemeClr val="accent2"/>
                </a:solidFill>
              </a:ln>
              <a:effectLst/>
            </c:spPr>
          </c:marker>
          <c:val>
            <c:numRef>
              <c:f>'n,eta,X'!$C$40:$C$44</c:f>
              <c:numCache>
                <c:formatCode>General</c:formatCode>
                <c:ptCount val="5"/>
                <c:pt idx="0">
                  <c:v>3.0926458416525588</c:v>
                </c:pt>
                <c:pt idx="1">
                  <c:v>3.8290448950991376</c:v>
                </c:pt>
                <c:pt idx="2">
                  <c:v>3.0711721025120489</c:v>
                </c:pt>
                <c:pt idx="3">
                  <c:v>2.3776097618375576</c:v>
                </c:pt>
                <c:pt idx="4">
                  <c:v>2.2893558549928152</c:v>
                </c:pt>
              </c:numCache>
            </c:numRef>
          </c:val>
          <c:smooth val="0"/>
          <c:extLst>
            <c:ext xmlns:c16="http://schemas.microsoft.com/office/drawing/2014/chart" uri="{C3380CC4-5D6E-409C-BE32-E72D297353CC}">
              <c16:uniqueId val="{00000001-4B0B-4636-9898-0D23272F49BC}"/>
            </c:ext>
          </c:extLst>
        </c:ser>
        <c:ser>
          <c:idx val="2"/>
          <c:order val="2"/>
          <c:tx>
            <c:strRef>
              <c:f>'n,eta,X'!$D$39</c:f>
              <c:strCache>
                <c:ptCount val="1"/>
                <c:pt idx="0">
                  <c:v>X P2P</c:v>
                </c:pt>
              </c:strCache>
            </c:strRef>
          </c:tx>
          <c:spPr>
            <a:ln w="28575" cap="rnd">
              <a:solidFill>
                <a:srgbClr val="FFC000"/>
              </a:solidFill>
              <a:round/>
            </a:ln>
            <a:effectLst/>
          </c:spPr>
          <c:marker>
            <c:symbol val="circle"/>
            <c:size val="5"/>
            <c:spPr>
              <a:solidFill>
                <a:schemeClr val="accent2"/>
              </a:solidFill>
              <a:ln w="9525">
                <a:solidFill>
                  <a:schemeClr val="accent3"/>
                </a:solidFill>
              </a:ln>
              <a:effectLst/>
            </c:spPr>
          </c:marker>
          <c:val>
            <c:numRef>
              <c:f>'n,eta,X'!$D$40:$D$44</c:f>
              <c:numCache>
                <c:formatCode>General</c:formatCode>
                <c:ptCount val="5"/>
                <c:pt idx="0">
                  <c:v>6.7787147443649696</c:v>
                </c:pt>
                <c:pt idx="1">
                  <c:v>6.7664228188967286</c:v>
                </c:pt>
                <c:pt idx="2">
                  <c:v>7.2649570701795669</c:v>
                </c:pt>
                <c:pt idx="3">
                  <c:v>7.6506270000036674</c:v>
                </c:pt>
                <c:pt idx="4">
                  <c:v>7.9890598564450519</c:v>
                </c:pt>
              </c:numCache>
            </c:numRef>
          </c:val>
          <c:smooth val="0"/>
          <c:extLst>
            <c:ext xmlns:c16="http://schemas.microsoft.com/office/drawing/2014/chart" uri="{C3380CC4-5D6E-409C-BE32-E72D297353CC}">
              <c16:uniqueId val="{00000002-4B0B-4636-9898-0D23272F49BC}"/>
            </c:ext>
          </c:extLst>
        </c:ser>
        <c:dLbls>
          <c:showLegendKey val="0"/>
          <c:showVal val="0"/>
          <c:showCatName val="0"/>
          <c:showSerName val="0"/>
          <c:showPercent val="0"/>
          <c:showBubbleSize val="0"/>
        </c:dLbls>
        <c:marker val="1"/>
        <c:smooth val="0"/>
        <c:axId val="1468954240"/>
        <c:axId val="1468946336"/>
      </c:lineChart>
      <c:catAx>
        <c:axId val="1468954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946336"/>
        <c:crosses val="autoZero"/>
        <c:auto val="1"/>
        <c:lblAlgn val="ctr"/>
        <c:lblOffset val="100"/>
        <c:noMultiLvlLbl val="0"/>
      </c:catAx>
      <c:valAx>
        <c:axId val="1468946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954240"/>
        <c:crosses val="autoZero"/>
        <c:crossBetween val="between"/>
      </c:valAx>
      <c:valAx>
        <c:axId val="11255645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566256"/>
        <c:crosses val="max"/>
        <c:crossBetween val="between"/>
      </c:valAx>
      <c:catAx>
        <c:axId val="1125566256"/>
        <c:scaling>
          <c:orientation val="minMax"/>
        </c:scaling>
        <c:delete val="1"/>
        <c:axPos val="b"/>
        <c:majorTickMark val="out"/>
        <c:minorTickMark val="none"/>
        <c:tickLblPos val="nextTo"/>
        <c:crossAx val="1125564592"/>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cpu time</a:t>
            </a:r>
          </a:p>
        </c:rich>
      </c:tx>
      <c:layout>
        <c:manualLayout>
          <c:xMode val="edge"/>
          <c:yMode val="edge"/>
          <c:x val="0.4692845581802274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'n,eta,X'!$B$1</c:f>
              <c:strCache>
                <c:ptCount val="1"/>
                <c:pt idx="0">
                  <c:v>eta</c:v>
                </c:pt>
              </c:strCache>
            </c:strRef>
          </c:tx>
          <c:spPr>
            <a:solidFill>
              <a:schemeClr val="accent1">
                <a:alpha val="75000"/>
              </a:schemeClr>
            </a:solidFill>
            <a:ln>
              <a:noFill/>
            </a:ln>
            <a:effectLst/>
          </c:spPr>
          <c:invertIfNegative val="0"/>
          <c:xVal>
            <c:numRef>
              <c:f>'n,eta,X'!$A$2:$A$31</c:f>
              <c:numCache>
                <c:formatCode>General</c:formatCode>
                <c:ptCount val="30"/>
                <c:pt idx="0">
                  <c:v>3</c:v>
                </c:pt>
                <c:pt idx="1">
                  <c:v>3</c:v>
                </c:pt>
                <c:pt idx="2">
                  <c:v>3</c:v>
                </c:pt>
                <c:pt idx="3">
                  <c:v>3</c:v>
                </c:pt>
                <c:pt idx="4">
                  <c:v>3</c:v>
                </c:pt>
                <c:pt idx="5">
                  <c:v>3</c:v>
                </c:pt>
                <c:pt idx="6">
                  <c:v>4</c:v>
                </c:pt>
                <c:pt idx="7">
                  <c:v>4</c:v>
                </c:pt>
                <c:pt idx="8">
                  <c:v>4</c:v>
                </c:pt>
                <c:pt idx="9">
                  <c:v>4</c:v>
                </c:pt>
                <c:pt idx="10">
                  <c:v>4</c:v>
                </c:pt>
                <c:pt idx="11">
                  <c:v>4</c:v>
                </c:pt>
                <c:pt idx="12">
                  <c:v>5</c:v>
                </c:pt>
                <c:pt idx="13">
                  <c:v>5</c:v>
                </c:pt>
                <c:pt idx="14">
                  <c:v>5</c:v>
                </c:pt>
                <c:pt idx="15">
                  <c:v>5</c:v>
                </c:pt>
                <c:pt idx="16">
                  <c:v>5</c:v>
                </c:pt>
                <c:pt idx="17">
                  <c:v>5</c:v>
                </c:pt>
                <c:pt idx="18">
                  <c:v>6</c:v>
                </c:pt>
                <c:pt idx="19">
                  <c:v>6</c:v>
                </c:pt>
                <c:pt idx="20">
                  <c:v>6</c:v>
                </c:pt>
                <c:pt idx="21">
                  <c:v>6</c:v>
                </c:pt>
                <c:pt idx="22">
                  <c:v>6</c:v>
                </c:pt>
                <c:pt idx="23">
                  <c:v>6</c:v>
                </c:pt>
                <c:pt idx="24">
                  <c:v>7</c:v>
                </c:pt>
                <c:pt idx="25">
                  <c:v>7</c:v>
                </c:pt>
                <c:pt idx="26">
                  <c:v>7</c:v>
                </c:pt>
                <c:pt idx="27">
                  <c:v>7</c:v>
                </c:pt>
                <c:pt idx="28">
                  <c:v>7</c:v>
                </c:pt>
                <c:pt idx="29">
                  <c:v>7</c:v>
                </c:pt>
              </c:numCache>
            </c:numRef>
          </c:xVal>
          <c:yVal>
            <c:numRef>
              <c:f>'n,eta,X'!$B$2:$B$31</c:f>
              <c:numCache>
                <c:formatCode>General</c:formatCode>
                <c:ptCount val="30"/>
                <c:pt idx="0">
                  <c:v>0.2</c:v>
                </c:pt>
                <c:pt idx="1">
                  <c:v>0.35</c:v>
                </c:pt>
                <c:pt idx="2">
                  <c:v>0.5</c:v>
                </c:pt>
                <c:pt idx="3">
                  <c:v>0.65</c:v>
                </c:pt>
                <c:pt idx="4">
                  <c:v>0.8</c:v>
                </c:pt>
                <c:pt idx="5">
                  <c:v>0.95</c:v>
                </c:pt>
                <c:pt idx="6">
                  <c:v>0.2</c:v>
                </c:pt>
                <c:pt idx="7">
                  <c:v>0.35</c:v>
                </c:pt>
                <c:pt idx="8">
                  <c:v>0.5</c:v>
                </c:pt>
                <c:pt idx="9">
                  <c:v>0.65</c:v>
                </c:pt>
                <c:pt idx="10">
                  <c:v>0.8</c:v>
                </c:pt>
                <c:pt idx="11">
                  <c:v>0.95</c:v>
                </c:pt>
                <c:pt idx="12">
                  <c:v>0.2</c:v>
                </c:pt>
                <c:pt idx="13">
                  <c:v>0.35</c:v>
                </c:pt>
                <c:pt idx="14">
                  <c:v>0.5</c:v>
                </c:pt>
                <c:pt idx="15">
                  <c:v>0.65</c:v>
                </c:pt>
                <c:pt idx="16">
                  <c:v>0.8</c:v>
                </c:pt>
                <c:pt idx="17">
                  <c:v>0.95</c:v>
                </c:pt>
                <c:pt idx="18">
                  <c:v>0.2</c:v>
                </c:pt>
                <c:pt idx="19">
                  <c:v>0.35</c:v>
                </c:pt>
                <c:pt idx="20">
                  <c:v>0.5</c:v>
                </c:pt>
                <c:pt idx="21">
                  <c:v>0.65</c:v>
                </c:pt>
                <c:pt idx="22">
                  <c:v>0.8</c:v>
                </c:pt>
                <c:pt idx="23">
                  <c:v>0.95</c:v>
                </c:pt>
                <c:pt idx="24">
                  <c:v>0.2</c:v>
                </c:pt>
                <c:pt idx="25">
                  <c:v>0.35</c:v>
                </c:pt>
                <c:pt idx="26">
                  <c:v>0.5</c:v>
                </c:pt>
                <c:pt idx="27">
                  <c:v>0.65</c:v>
                </c:pt>
                <c:pt idx="28">
                  <c:v>0.8</c:v>
                </c:pt>
                <c:pt idx="29">
                  <c:v>0.95</c:v>
                </c:pt>
              </c:numCache>
            </c:numRef>
          </c:yVal>
          <c:bubbleSize>
            <c:numRef>
              <c:f>'n,eta,X'!$H$2:$H$31</c:f>
              <c:numCache>
                <c:formatCode>General</c:formatCode>
                <c:ptCount val="30"/>
                <c:pt idx="0">
                  <c:v>288113167886.66669</c:v>
                </c:pt>
                <c:pt idx="1">
                  <c:v>67441129433.333328</c:v>
                </c:pt>
                <c:pt idx="2">
                  <c:v>26999148685</c:v>
                </c:pt>
                <c:pt idx="3">
                  <c:v>11413394706.666668</c:v>
                </c:pt>
                <c:pt idx="4">
                  <c:v>7077281860</c:v>
                </c:pt>
                <c:pt idx="5">
                  <c:v>4768215280</c:v>
                </c:pt>
                <c:pt idx="6">
                  <c:v>513842964280</c:v>
                </c:pt>
                <c:pt idx="7">
                  <c:v>130934873173.33334</c:v>
                </c:pt>
                <c:pt idx="8">
                  <c:v>53170505185</c:v>
                </c:pt>
                <c:pt idx="9">
                  <c:v>23153748673.333332</c:v>
                </c:pt>
                <c:pt idx="10">
                  <c:v>14931993693.333332</c:v>
                </c:pt>
                <c:pt idx="11">
                  <c:v>9535631646.666666</c:v>
                </c:pt>
                <c:pt idx="12">
                  <c:v>788265071213.33325</c:v>
                </c:pt>
                <c:pt idx="13">
                  <c:v>206557488400</c:v>
                </c:pt>
                <c:pt idx="14">
                  <c:v>84151081455</c:v>
                </c:pt>
                <c:pt idx="15">
                  <c:v>36654211806.666664</c:v>
                </c:pt>
                <c:pt idx="16">
                  <c:v>23071294986.666664</c:v>
                </c:pt>
                <c:pt idx="17">
                  <c:v>14865147926.666668</c:v>
                </c:pt>
                <c:pt idx="18">
                  <c:v>1125910401840</c:v>
                </c:pt>
                <c:pt idx="19">
                  <c:v>305625704400</c:v>
                </c:pt>
                <c:pt idx="20">
                  <c:v>128249319245</c:v>
                </c:pt>
                <c:pt idx="21">
                  <c:v>55380919160</c:v>
                </c:pt>
                <c:pt idx="22">
                  <c:v>33642867360</c:v>
                </c:pt>
                <c:pt idx="23">
                  <c:v>20954329600</c:v>
                </c:pt>
                <c:pt idx="24">
                  <c:v>1604741201960</c:v>
                </c:pt>
                <c:pt idx="25">
                  <c:v>461377088933.33331</c:v>
                </c:pt>
                <c:pt idx="26">
                  <c:v>195605964640</c:v>
                </c:pt>
                <c:pt idx="27">
                  <c:v>82276994953.333328</c:v>
                </c:pt>
                <c:pt idx="28">
                  <c:v>50083653460</c:v>
                </c:pt>
                <c:pt idx="29">
                  <c:v>28519464493.333336</c:v>
                </c:pt>
              </c:numCache>
            </c:numRef>
          </c:bubbleSize>
          <c:bubble3D val="0"/>
          <c:extLst>
            <c:ext xmlns:c16="http://schemas.microsoft.com/office/drawing/2014/chart" uri="{C3380CC4-5D6E-409C-BE32-E72D297353CC}">
              <c16:uniqueId val="{00000000-4143-4891-BD90-BB9713B6D7B8}"/>
            </c:ext>
          </c:extLst>
        </c:ser>
        <c:dLbls>
          <c:showLegendKey val="0"/>
          <c:showVal val="0"/>
          <c:showCatName val="0"/>
          <c:showSerName val="0"/>
          <c:showPercent val="0"/>
          <c:showBubbleSize val="0"/>
        </c:dLbls>
        <c:bubbleScale val="40"/>
        <c:showNegBubbles val="0"/>
        <c:axId val="1356175568"/>
        <c:axId val="1356175984"/>
      </c:bubbleChart>
      <c:valAx>
        <c:axId val="1356175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175984"/>
        <c:crosses val="autoZero"/>
        <c:crossBetween val="midCat"/>
      </c:valAx>
      <c:valAx>
        <c:axId val="1356175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eta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1755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 M2L</a:t>
            </a:r>
          </a:p>
        </c:rich>
      </c:tx>
      <c:layout>
        <c:manualLayout>
          <c:xMode val="edge"/>
          <c:yMode val="edge"/>
          <c:x val="0.4692845581802274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'n,eta,X'!$B$1</c:f>
              <c:strCache>
                <c:ptCount val="1"/>
                <c:pt idx="0">
                  <c:v>eta</c:v>
                </c:pt>
              </c:strCache>
            </c:strRef>
          </c:tx>
          <c:spPr>
            <a:solidFill>
              <a:schemeClr val="accent1">
                <a:alpha val="75000"/>
              </a:schemeClr>
            </a:solidFill>
            <a:ln>
              <a:noFill/>
            </a:ln>
            <a:effectLst/>
          </c:spPr>
          <c:invertIfNegative val="0"/>
          <c:xVal>
            <c:numRef>
              <c:f>'n,eta,X'!$A$2:$A$31</c:f>
              <c:numCache>
                <c:formatCode>General</c:formatCode>
                <c:ptCount val="30"/>
                <c:pt idx="0">
                  <c:v>3</c:v>
                </c:pt>
                <c:pt idx="1">
                  <c:v>3</c:v>
                </c:pt>
                <c:pt idx="2">
                  <c:v>3</c:v>
                </c:pt>
                <c:pt idx="3">
                  <c:v>3</c:v>
                </c:pt>
                <c:pt idx="4">
                  <c:v>3</c:v>
                </c:pt>
                <c:pt idx="5">
                  <c:v>3</c:v>
                </c:pt>
                <c:pt idx="6">
                  <c:v>4</c:v>
                </c:pt>
                <c:pt idx="7">
                  <c:v>4</c:v>
                </c:pt>
                <c:pt idx="8">
                  <c:v>4</c:v>
                </c:pt>
                <c:pt idx="9">
                  <c:v>4</c:v>
                </c:pt>
                <c:pt idx="10">
                  <c:v>4</c:v>
                </c:pt>
                <c:pt idx="11">
                  <c:v>4</c:v>
                </c:pt>
                <c:pt idx="12">
                  <c:v>5</c:v>
                </c:pt>
                <c:pt idx="13">
                  <c:v>5</c:v>
                </c:pt>
                <c:pt idx="14">
                  <c:v>5</c:v>
                </c:pt>
                <c:pt idx="15">
                  <c:v>5</c:v>
                </c:pt>
                <c:pt idx="16">
                  <c:v>5</c:v>
                </c:pt>
                <c:pt idx="17">
                  <c:v>5</c:v>
                </c:pt>
                <c:pt idx="18">
                  <c:v>6</c:v>
                </c:pt>
                <c:pt idx="19">
                  <c:v>6</c:v>
                </c:pt>
                <c:pt idx="20">
                  <c:v>6</c:v>
                </c:pt>
                <c:pt idx="21">
                  <c:v>6</c:v>
                </c:pt>
                <c:pt idx="22">
                  <c:v>6</c:v>
                </c:pt>
                <c:pt idx="23">
                  <c:v>6</c:v>
                </c:pt>
                <c:pt idx="24">
                  <c:v>7</c:v>
                </c:pt>
                <c:pt idx="25">
                  <c:v>7</c:v>
                </c:pt>
                <c:pt idx="26">
                  <c:v>7</c:v>
                </c:pt>
                <c:pt idx="27">
                  <c:v>7</c:v>
                </c:pt>
                <c:pt idx="28">
                  <c:v>7</c:v>
                </c:pt>
                <c:pt idx="29">
                  <c:v>7</c:v>
                </c:pt>
              </c:numCache>
            </c:numRef>
          </c:xVal>
          <c:yVal>
            <c:numRef>
              <c:f>'n,eta,X'!$B$2:$B$31</c:f>
              <c:numCache>
                <c:formatCode>General</c:formatCode>
                <c:ptCount val="30"/>
                <c:pt idx="0">
                  <c:v>0.2</c:v>
                </c:pt>
                <c:pt idx="1">
                  <c:v>0.35</c:v>
                </c:pt>
                <c:pt idx="2">
                  <c:v>0.5</c:v>
                </c:pt>
                <c:pt idx="3">
                  <c:v>0.65</c:v>
                </c:pt>
                <c:pt idx="4">
                  <c:v>0.8</c:v>
                </c:pt>
                <c:pt idx="5">
                  <c:v>0.95</c:v>
                </c:pt>
                <c:pt idx="6">
                  <c:v>0.2</c:v>
                </c:pt>
                <c:pt idx="7">
                  <c:v>0.35</c:v>
                </c:pt>
                <c:pt idx="8">
                  <c:v>0.5</c:v>
                </c:pt>
                <c:pt idx="9">
                  <c:v>0.65</c:v>
                </c:pt>
                <c:pt idx="10">
                  <c:v>0.8</c:v>
                </c:pt>
                <c:pt idx="11">
                  <c:v>0.95</c:v>
                </c:pt>
                <c:pt idx="12">
                  <c:v>0.2</c:v>
                </c:pt>
                <c:pt idx="13">
                  <c:v>0.35</c:v>
                </c:pt>
                <c:pt idx="14">
                  <c:v>0.5</c:v>
                </c:pt>
                <c:pt idx="15">
                  <c:v>0.65</c:v>
                </c:pt>
                <c:pt idx="16">
                  <c:v>0.8</c:v>
                </c:pt>
                <c:pt idx="17">
                  <c:v>0.95</c:v>
                </c:pt>
                <c:pt idx="18">
                  <c:v>0.2</c:v>
                </c:pt>
                <c:pt idx="19">
                  <c:v>0.35</c:v>
                </c:pt>
                <c:pt idx="20">
                  <c:v>0.5</c:v>
                </c:pt>
                <c:pt idx="21">
                  <c:v>0.65</c:v>
                </c:pt>
                <c:pt idx="22">
                  <c:v>0.8</c:v>
                </c:pt>
                <c:pt idx="23">
                  <c:v>0.95</c:v>
                </c:pt>
                <c:pt idx="24">
                  <c:v>0.2</c:v>
                </c:pt>
                <c:pt idx="25">
                  <c:v>0.35</c:v>
                </c:pt>
                <c:pt idx="26">
                  <c:v>0.5</c:v>
                </c:pt>
                <c:pt idx="27">
                  <c:v>0.65</c:v>
                </c:pt>
                <c:pt idx="28">
                  <c:v>0.8</c:v>
                </c:pt>
                <c:pt idx="29">
                  <c:v>0.95</c:v>
                </c:pt>
              </c:numCache>
            </c:numRef>
          </c:yVal>
          <c:bubbleSize>
            <c:numRef>
              <c:f>'n,eta,X'!$J$2:$J$31</c:f>
              <c:numCache>
                <c:formatCode>General</c:formatCode>
                <c:ptCount val="30"/>
                <c:pt idx="0">
                  <c:v>4.9106998701091555</c:v>
                </c:pt>
                <c:pt idx="1">
                  <c:v>4.4704023479810129</c:v>
                </c:pt>
                <c:pt idx="2">
                  <c:v>3.7219962111611147</c:v>
                </c:pt>
                <c:pt idx="3">
                  <c:v>2.5151292442875417</c:v>
                </c:pt>
                <c:pt idx="4">
                  <c:v>1.9139055888360246</c:v>
                </c:pt>
                <c:pt idx="5">
                  <c:v>1.0237417875405042</c:v>
                </c:pt>
                <c:pt idx="6">
                  <c:v>5.5778461736385685</c:v>
                </c:pt>
                <c:pt idx="7">
                  <c:v>5.2257518685014723</c:v>
                </c:pt>
                <c:pt idx="8">
                  <c:v>4.5303278516320633</c:v>
                </c:pt>
                <c:pt idx="9">
                  <c:v>3.4751354942466266</c:v>
                </c:pt>
                <c:pt idx="10">
                  <c:v>2.6223991259548289</c:v>
                </c:pt>
                <c:pt idx="11">
                  <c:v>1.5428088566212681</c:v>
                </c:pt>
                <c:pt idx="12">
                  <c:v>4.4513613192035129</c:v>
                </c:pt>
                <c:pt idx="13">
                  <c:v>4.1722074168444188</c:v>
                </c:pt>
                <c:pt idx="14">
                  <c:v>3.6605319318436313</c:v>
                </c:pt>
                <c:pt idx="15">
                  <c:v>2.7708888792019053</c:v>
                </c:pt>
                <c:pt idx="16">
                  <c:v>2.1177197556540945</c:v>
                </c:pt>
                <c:pt idx="17">
                  <c:v>1.2543233123247277</c:v>
                </c:pt>
                <c:pt idx="18">
                  <c:v>3.7502226602540034</c:v>
                </c:pt>
                <c:pt idx="19">
                  <c:v>3.5991534760551716</c:v>
                </c:pt>
                <c:pt idx="20">
                  <c:v>2.8906338734152093</c:v>
                </c:pt>
                <c:pt idx="21">
                  <c:v>1.9414327242964766</c:v>
                </c:pt>
                <c:pt idx="22">
                  <c:v>1.3984111144739217</c:v>
                </c:pt>
                <c:pt idx="23">
                  <c:v>0.68580472253056468</c:v>
                </c:pt>
                <c:pt idx="24">
                  <c:v>3.2404485272786898</c:v>
                </c:pt>
                <c:pt idx="25">
                  <c:v>3.6189718628191172</c:v>
                </c:pt>
                <c:pt idx="26">
                  <c:v>2.8004586680593619</c:v>
                </c:pt>
                <c:pt idx="27">
                  <c:v>1.908789579078124</c:v>
                </c:pt>
                <c:pt idx="28">
                  <c:v>1.4068612673943626</c:v>
                </c:pt>
                <c:pt idx="29">
                  <c:v>0.76060522532723662</c:v>
                </c:pt>
              </c:numCache>
            </c:numRef>
          </c:bubbleSize>
          <c:bubble3D val="0"/>
          <c:extLst>
            <c:ext xmlns:c16="http://schemas.microsoft.com/office/drawing/2014/chart" uri="{C3380CC4-5D6E-409C-BE32-E72D297353CC}">
              <c16:uniqueId val="{0000001E-E403-4B04-9BD8-4B2E5906D956}"/>
            </c:ext>
          </c:extLst>
        </c:ser>
        <c:dLbls>
          <c:showLegendKey val="0"/>
          <c:showVal val="0"/>
          <c:showCatName val="0"/>
          <c:showSerName val="0"/>
          <c:showPercent val="0"/>
          <c:showBubbleSize val="0"/>
        </c:dLbls>
        <c:bubbleScale val="40"/>
        <c:showNegBubbles val="0"/>
        <c:axId val="1356175568"/>
        <c:axId val="1356175984"/>
      </c:bubbleChart>
      <c:valAx>
        <c:axId val="1356175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175984"/>
        <c:crosses val="autoZero"/>
        <c:crossBetween val="midCat"/>
      </c:valAx>
      <c:valAx>
        <c:axId val="135617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1755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 P2P</a:t>
            </a:r>
          </a:p>
        </c:rich>
      </c:tx>
      <c:layout>
        <c:manualLayout>
          <c:xMode val="edge"/>
          <c:yMode val="edge"/>
          <c:x val="0.4692845581802274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'n,eta,X'!$B$1</c:f>
              <c:strCache>
                <c:ptCount val="1"/>
                <c:pt idx="0">
                  <c:v>eta</c:v>
                </c:pt>
              </c:strCache>
            </c:strRef>
          </c:tx>
          <c:spPr>
            <a:solidFill>
              <a:schemeClr val="accent1">
                <a:alpha val="75000"/>
              </a:schemeClr>
            </a:solidFill>
            <a:ln>
              <a:noFill/>
            </a:ln>
            <a:effectLst/>
          </c:spPr>
          <c:invertIfNegative val="0"/>
          <c:xVal>
            <c:numRef>
              <c:f>'n,eta,X'!$A$2:$A$31</c:f>
              <c:numCache>
                <c:formatCode>General</c:formatCode>
                <c:ptCount val="30"/>
                <c:pt idx="0">
                  <c:v>3</c:v>
                </c:pt>
                <c:pt idx="1">
                  <c:v>3</c:v>
                </c:pt>
                <c:pt idx="2">
                  <c:v>3</c:v>
                </c:pt>
                <c:pt idx="3">
                  <c:v>3</c:v>
                </c:pt>
                <c:pt idx="4">
                  <c:v>3</c:v>
                </c:pt>
                <c:pt idx="5">
                  <c:v>3</c:v>
                </c:pt>
                <c:pt idx="6">
                  <c:v>4</c:v>
                </c:pt>
                <c:pt idx="7">
                  <c:v>4</c:v>
                </c:pt>
                <c:pt idx="8">
                  <c:v>4</c:v>
                </c:pt>
                <c:pt idx="9">
                  <c:v>4</c:v>
                </c:pt>
                <c:pt idx="10">
                  <c:v>4</c:v>
                </c:pt>
                <c:pt idx="11">
                  <c:v>4</c:v>
                </c:pt>
                <c:pt idx="12">
                  <c:v>5</c:v>
                </c:pt>
                <c:pt idx="13">
                  <c:v>5</c:v>
                </c:pt>
                <c:pt idx="14">
                  <c:v>5</c:v>
                </c:pt>
                <c:pt idx="15">
                  <c:v>5</c:v>
                </c:pt>
                <c:pt idx="16">
                  <c:v>5</c:v>
                </c:pt>
                <c:pt idx="17">
                  <c:v>5</c:v>
                </c:pt>
                <c:pt idx="18">
                  <c:v>6</c:v>
                </c:pt>
                <c:pt idx="19">
                  <c:v>6</c:v>
                </c:pt>
                <c:pt idx="20">
                  <c:v>6</c:v>
                </c:pt>
                <c:pt idx="21">
                  <c:v>6</c:v>
                </c:pt>
                <c:pt idx="22">
                  <c:v>6</c:v>
                </c:pt>
                <c:pt idx="23">
                  <c:v>6</c:v>
                </c:pt>
                <c:pt idx="24">
                  <c:v>7</c:v>
                </c:pt>
                <c:pt idx="25">
                  <c:v>7</c:v>
                </c:pt>
                <c:pt idx="26">
                  <c:v>7</c:v>
                </c:pt>
                <c:pt idx="27">
                  <c:v>7</c:v>
                </c:pt>
                <c:pt idx="28">
                  <c:v>7</c:v>
                </c:pt>
                <c:pt idx="29">
                  <c:v>7</c:v>
                </c:pt>
              </c:numCache>
            </c:numRef>
          </c:xVal>
          <c:yVal>
            <c:numRef>
              <c:f>'n,eta,X'!$B$2:$B$31</c:f>
              <c:numCache>
                <c:formatCode>General</c:formatCode>
                <c:ptCount val="30"/>
                <c:pt idx="0">
                  <c:v>0.2</c:v>
                </c:pt>
                <c:pt idx="1">
                  <c:v>0.35</c:v>
                </c:pt>
                <c:pt idx="2">
                  <c:v>0.5</c:v>
                </c:pt>
                <c:pt idx="3">
                  <c:v>0.65</c:v>
                </c:pt>
                <c:pt idx="4">
                  <c:v>0.8</c:v>
                </c:pt>
                <c:pt idx="5">
                  <c:v>0.95</c:v>
                </c:pt>
                <c:pt idx="6">
                  <c:v>0.2</c:v>
                </c:pt>
                <c:pt idx="7">
                  <c:v>0.35</c:v>
                </c:pt>
                <c:pt idx="8">
                  <c:v>0.5</c:v>
                </c:pt>
                <c:pt idx="9">
                  <c:v>0.65</c:v>
                </c:pt>
                <c:pt idx="10">
                  <c:v>0.8</c:v>
                </c:pt>
                <c:pt idx="11">
                  <c:v>0.95</c:v>
                </c:pt>
                <c:pt idx="12">
                  <c:v>0.2</c:v>
                </c:pt>
                <c:pt idx="13">
                  <c:v>0.35</c:v>
                </c:pt>
                <c:pt idx="14">
                  <c:v>0.5</c:v>
                </c:pt>
                <c:pt idx="15">
                  <c:v>0.65</c:v>
                </c:pt>
                <c:pt idx="16">
                  <c:v>0.8</c:v>
                </c:pt>
                <c:pt idx="17">
                  <c:v>0.95</c:v>
                </c:pt>
                <c:pt idx="18">
                  <c:v>0.2</c:v>
                </c:pt>
                <c:pt idx="19">
                  <c:v>0.35</c:v>
                </c:pt>
                <c:pt idx="20">
                  <c:v>0.5</c:v>
                </c:pt>
                <c:pt idx="21">
                  <c:v>0.65</c:v>
                </c:pt>
                <c:pt idx="22">
                  <c:v>0.8</c:v>
                </c:pt>
                <c:pt idx="23">
                  <c:v>0.95</c:v>
                </c:pt>
                <c:pt idx="24">
                  <c:v>0.2</c:v>
                </c:pt>
                <c:pt idx="25">
                  <c:v>0.35</c:v>
                </c:pt>
                <c:pt idx="26">
                  <c:v>0.5</c:v>
                </c:pt>
                <c:pt idx="27">
                  <c:v>0.65</c:v>
                </c:pt>
                <c:pt idx="28">
                  <c:v>0.8</c:v>
                </c:pt>
                <c:pt idx="29">
                  <c:v>0.95</c:v>
                </c:pt>
              </c:numCache>
            </c:numRef>
          </c:yVal>
          <c:bubbleSize>
            <c:numRef>
              <c:f>'n,eta,X'!$Y$2:$Y$31</c:f>
              <c:numCache>
                <c:formatCode>General</c:formatCode>
                <c:ptCount val="30"/>
                <c:pt idx="0">
                  <c:v>319232425.7654202</c:v>
                </c:pt>
                <c:pt idx="1">
                  <c:v>338810861.90609455</c:v>
                </c:pt>
                <c:pt idx="2">
                  <c:v>310424998.17814845</c:v>
                </c:pt>
                <c:pt idx="3">
                  <c:v>201481387.67044336</c:v>
                </c:pt>
                <c:pt idx="4">
                  <c:v>135043190.9656952</c:v>
                </c:pt>
                <c:pt idx="5">
                  <c:v>73935105.483715355</c:v>
                </c:pt>
                <c:pt idx="6">
                  <c:v>209743184.13783082</c:v>
                </c:pt>
                <c:pt idx="7">
                  <c:v>225105238.26678589</c:v>
                </c:pt>
                <c:pt idx="8">
                  <c:v>227974355.01099342</c:v>
                </c:pt>
                <c:pt idx="9">
                  <c:v>231022945.29951072</c:v>
                </c:pt>
                <c:pt idx="10">
                  <c:v>169009118.30465165</c:v>
                </c:pt>
                <c:pt idx="11">
                  <c:v>156656721.66183668</c:v>
                </c:pt>
                <c:pt idx="12">
                  <c:v>422223079.07100427</c:v>
                </c:pt>
                <c:pt idx="13">
                  <c:v>443185005.86150461</c:v>
                </c:pt>
                <c:pt idx="14">
                  <c:v>439037175.69551486</c:v>
                </c:pt>
                <c:pt idx="15">
                  <c:v>444406926.06848657</c:v>
                </c:pt>
                <c:pt idx="16">
                  <c:v>404485881.66039914</c:v>
                </c:pt>
                <c:pt idx="17">
                  <c:v>318342222.33764666</c:v>
                </c:pt>
                <c:pt idx="18">
                  <c:v>688546061.70516777</c:v>
                </c:pt>
                <c:pt idx="19">
                  <c:v>725308690.42106807</c:v>
                </c:pt>
                <c:pt idx="20">
                  <c:v>744944430.4291662</c:v>
                </c:pt>
                <c:pt idx="21">
                  <c:v>716569612.33872652</c:v>
                </c:pt>
                <c:pt idx="22">
                  <c:v>656391363.17726779</c:v>
                </c:pt>
                <c:pt idx="23">
                  <c:v>599975566.39979923</c:v>
                </c:pt>
                <c:pt idx="24">
                  <c:v>998312974.63252497</c:v>
                </c:pt>
                <c:pt idx="25">
                  <c:v>1120648916.8874285</c:v>
                </c:pt>
                <c:pt idx="26">
                  <c:v>1135153820.4006042</c:v>
                </c:pt>
                <c:pt idx="27">
                  <c:v>1110278745.8026481</c:v>
                </c:pt>
                <c:pt idx="28">
                  <c:v>1044177915.280597</c:v>
                </c:pt>
                <c:pt idx="29">
                  <c:v>957681427.00597703</c:v>
                </c:pt>
              </c:numCache>
            </c:numRef>
          </c:bubbleSize>
          <c:bubble3D val="0"/>
          <c:extLst>
            <c:ext xmlns:c16="http://schemas.microsoft.com/office/drawing/2014/chart" uri="{C3380CC4-5D6E-409C-BE32-E72D297353CC}">
              <c16:uniqueId val="{00000000-62E1-4D7E-9982-29CCB947A1D2}"/>
            </c:ext>
          </c:extLst>
        </c:ser>
        <c:dLbls>
          <c:showLegendKey val="0"/>
          <c:showVal val="0"/>
          <c:showCatName val="0"/>
          <c:showSerName val="0"/>
          <c:showPercent val="0"/>
          <c:showBubbleSize val="0"/>
        </c:dLbls>
        <c:bubbleScale val="40"/>
        <c:showNegBubbles val="0"/>
        <c:axId val="1356175568"/>
        <c:axId val="1356175984"/>
      </c:bubbleChart>
      <c:valAx>
        <c:axId val="1356175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175984"/>
        <c:crosses val="autoZero"/>
        <c:crossBetween val="midCat"/>
      </c:valAx>
      <c:valAx>
        <c:axId val="135617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1755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'eta details'!$F$1</c:f>
              <c:strCache>
                <c:ptCount val="1"/>
                <c:pt idx="0">
                  <c:v>gpu_time</c:v>
                </c:pt>
              </c:strCache>
            </c:strRef>
          </c:tx>
          <c:spPr>
            <a:ln w="28575" cap="rnd">
              <a:solidFill>
                <a:schemeClr val="accent1"/>
              </a:solidFill>
              <a:round/>
            </a:ln>
            <a:effectLst/>
          </c:spPr>
          <c:marker>
            <c:symbol val="none"/>
          </c:marker>
          <c:cat>
            <c:numRef>
              <c:f>'eta details'!$E$2:$E$19</c:f>
              <c:numCache>
                <c:formatCode>General</c:formatCode>
                <c:ptCount val="18"/>
                <c:pt idx="0">
                  <c:v>0.1</c:v>
                </c:pt>
                <c:pt idx="1">
                  <c:v>0.15</c:v>
                </c:pt>
                <c:pt idx="2">
                  <c:v>0.2</c:v>
                </c:pt>
                <c:pt idx="3">
                  <c:v>0.3</c:v>
                </c:pt>
                <c:pt idx="4">
                  <c:v>0.35</c:v>
                </c:pt>
                <c:pt idx="5">
                  <c:v>0.4</c:v>
                </c:pt>
                <c:pt idx="6">
                  <c:v>0.45</c:v>
                </c:pt>
                <c:pt idx="7">
                  <c:v>0.5</c:v>
                </c:pt>
                <c:pt idx="8">
                  <c:v>0.55000000000000004</c:v>
                </c:pt>
                <c:pt idx="9">
                  <c:v>0.6</c:v>
                </c:pt>
                <c:pt idx="10">
                  <c:v>0.65</c:v>
                </c:pt>
                <c:pt idx="11">
                  <c:v>0.7</c:v>
                </c:pt>
                <c:pt idx="12">
                  <c:v>0.75</c:v>
                </c:pt>
                <c:pt idx="13">
                  <c:v>0.8</c:v>
                </c:pt>
                <c:pt idx="14">
                  <c:v>0.85</c:v>
                </c:pt>
                <c:pt idx="15">
                  <c:v>0.9</c:v>
                </c:pt>
                <c:pt idx="16">
                  <c:v>0.95</c:v>
                </c:pt>
                <c:pt idx="17">
                  <c:v>1</c:v>
                </c:pt>
              </c:numCache>
            </c:numRef>
          </c:cat>
          <c:val>
            <c:numRef>
              <c:f>'eta details'!$F$2:$F$19</c:f>
              <c:numCache>
                <c:formatCode>General</c:formatCode>
                <c:ptCount val="18"/>
                <c:pt idx="0">
                  <c:v>42.908000000000001</c:v>
                </c:pt>
                <c:pt idx="1">
                  <c:v>28.204999999999998</c:v>
                </c:pt>
                <c:pt idx="2">
                  <c:v>18.306999999999999</c:v>
                </c:pt>
                <c:pt idx="3">
                  <c:v>8.2560000000000002</c:v>
                </c:pt>
                <c:pt idx="4">
                  <c:v>6.55</c:v>
                </c:pt>
                <c:pt idx="5">
                  <c:v>4.5830000000000002</c:v>
                </c:pt>
                <c:pt idx="6">
                  <c:v>3.681</c:v>
                </c:pt>
                <c:pt idx="7">
                  <c:v>3.31</c:v>
                </c:pt>
                <c:pt idx="8">
                  <c:v>2.74</c:v>
                </c:pt>
                <c:pt idx="9">
                  <c:v>2.5110000000000001</c:v>
                </c:pt>
                <c:pt idx="10">
                  <c:v>1.5109999999999999</c:v>
                </c:pt>
                <c:pt idx="11">
                  <c:v>1.43</c:v>
                </c:pt>
                <c:pt idx="12">
                  <c:v>1.3089999999999999</c:v>
                </c:pt>
                <c:pt idx="13">
                  <c:v>1.103</c:v>
                </c:pt>
                <c:pt idx="14">
                  <c:v>0.97099999999999997</c:v>
                </c:pt>
                <c:pt idx="15">
                  <c:v>0.89300000000000002</c:v>
                </c:pt>
                <c:pt idx="16">
                  <c:v>0.82599999999999996</c:v>
                </c:pt>
                <c:pt idx="17">
                  <c:v>0.88</c:v>
                </c:pt>
              </c:numCache>
            </c:numRef>
          </c:val>
          <c:smooth val="0"/>
          <c:extLst>
            <c:ext xmlns:c16="http://schemas.microsoft.com/office/drawing/2014/chart" uri="{C3380CC4-5D6E-409C-BE32-E72D297353CC}">
              <c16:uniqueId val="{00000000-2071-4306-9DA3-942E8091D803}"/>
            </c:ext>
          </c:extLst>
        </c:ser>
        <c:ser>
          <c:idx val="1"/>
          <c:order val="1"/>
          <c:tx>
            <c:strRef>
              <c:f>'eta details'!$G$1</c:f>
              <c:strCache>
                <c:ptCount val="1"/>
                <c:pt idx="0">
                  <c:v>cpu_time</c:v>
                </c:pt>
              </c:strCache>
            </c:strRef>
          </c:tx>
          <c:spPr>
            <a:ln w="28575" cap="rnd">
              <a:solidFill>
                <a:schemeClr val="accent2"/>
              </a:solidFill>
              <a:round/>
            </a:ln>
            <a:effectLst/>
          </c:spPr>
          <c:marker>
            <c:symbol val="none"/>
          </c:marker>
          <c:cat>
            <c:numRef>
              <c:f>'eta details'!$E$2:$E$19</c:f>
              <c:numCache>
                <c:formatCode>General</c:formatCode>
                <c:ptCount val="18"/>
                <c:pt idx="0">
                  <c:v>0.1</c:v>
                </c:pt>
                <c:pt idx="1">
                  <c:v>0.15</c:v>
                </c:pt>
                <c:pt idx="2">
                  <c:v>0.2</c:v>
                </c:pt>
                <c:pt idx="3">
                  <c:v>0.3</c:v>
                </c:pt>
                <c:pt idx="4">
                  <c:v>0.35</c:v>
                </c:pt>
                <c:pt idx="5">
                  <c:v>0.4</c:v>
                </c:pt>
                <c:pt idx="6">
                  <c:v>0.45</c:v>
                </c:pt>
                <c:pt idx="7">
                  <c:v>0.5</c:v>
                </c:pt>
                <c:pt idx="8">
                  <c:v>0.55000000000000004</c:v>
                </c:pt>
                <c:pt idx="9">
                  <c:v>0.6</c:v>
                </c:pt>
                <c:pt idx="10">
                  <c:v>0.65</c:v>
                </c:pt>
                <c:pt idx="11">
                  <c:v>0.7</c:v>
                </c:pt>
                <c:pt idx="12">
                  <c:v>0.75</c:v>
                </c:pt>
                <c:pt idx="13">
                  <c:v>0.8</c:v>
                </c:pt>
                <c:pt idx="14">
                  <c:v>0.85</c:v>
                </c:pt>
                <c:pt idx="15">
                  <c:v>0.9</c:v>
                </c:pt>
                <c:pt idx="16">
                  <c:v>0.95</c:v>
                </c:pt>
                <c:pt idx="17">
                  <c:v>1</c:v>
                </c:pt>
              </c:numCache>
            </c:numRef>
          </c:cat>
          <c:val>
            <c:numRef>
              <c:f>'eta details'!$G$2:$G$19</c:f>
              <c:numCache>
                <c:formatCode>General</c:formatCode>
                <c:ptCount val="18"/>
                <c:pt idx="0">
                  <c:v>258.11900000000003</c:v>
                </c:pt>
                <c:pt idx="1">
                  <c:v>176.63499999999999</c:v>
                </c:pt>
                <c:pt idx="2">
                  <c:v>111.749</c:v>
                </c:pt>
                <c:pt idx="3">
                  <c:v>48.16</c:v>
                </c:pt>
                <c:pt idx="4">
                  <c:v>35.25</c:v>
                </c:pt>
                <c:pt idx="5">
                  <c:v>23.553000000000001</c:v>
                </c:pt>
                <c:pt idx="6">
                  <c:v>18.584</c:v>
                </c:pt>
                <c:pt idx="7">
                  <c:v>16.088000000000001</c:v>
                </c:pt>
                <c:pt idx="8">
                  <c:v>12.353999999999999</c:v>
                </c:pt>
                <c:pt idx="9">
                  <c:v>9.9079999999999995</c:v>
                </c:pt>
                <c:pt idx="10">
                  <c:v>7.101</c:v>
                </c:pt>
                <c:pt idx="11">
                  <c:v>6.8970000000000002</c:v>
                </c:pt>
                <c:pt idx="12">
                  <c:v>5.6219999999999999</c:v>
                </c:pt>
                <c:pt idx="13">
                  <c:v>5.056</c:v>
                </c:pt>
                <c:pt idx="14">
                  <c:v>3.7530000000000001</c:v>
                </c:pt>
                <c:pt idx="15">
                  <c:v>3.35</c:v>
                </c:pt>
                <c:pt idx="16">
                  <c:v>2.9169999999999998</c:v>
                </c:pt>
                <c:pt idx="17">
                  <c:v>3.4340000000000002</c:v>
                </c:pt>
              </c:numCache>
            </c:numRef>
          </c:val>
          <c:smooth val="0"/>
          <c:extLst>
            <c:ext xmlns:c16="http://schemas.microsoft.com/office/drawing/2014/chart" uri="{C3380CC4-5D6E-409C-BE32-E72D297353CC}">
              <c16:uniqueId val="{00000001-2071-4306-9DA3-942E8091D803}"/>
            </c:ext>
          </c:extLst>
        </c:ser>
        <c:dLbls>
          <c:showLegendKey val="0"/>
          <c:showVal val="0"/>
          <c:showCatName val="0"/>
          <c:showSerName val="0"/>
          <c:showPercent val="0"/>
          <c:showBubbleSize val="0"/>
        </c:dLbls>
        <c:marker val="1"/>
        <c:smooth val="0"/>
        <c:axId val="814147840"/>
        <c:axId val="814149920"/>
      </c:lineChart>
      <c:lineChart>
        <c:grouping val="standard"/>
        <c:varyColors val="0"/>
        <c:ser>
          <c:idx val="2"/>
          <c:order val="2"/>
          <c:tx>
            <c:strRef>
              <c:f>'eta details'!$H$1</c:f>
              <c:strCache>
                <c:ptCount val="1"/>
                <c:pt idx="0">
                  <c:v>speedup</c:v>
                </c:pt>
              </c:strCache>
            </c:strRef>
          </c:tx>
          <c:spPr>
            <a:ln w="28575" cap="rnd">
              <a:solidFill>
                <a:schemeClr val="accent3"/>
              </a:solidFill>
              <a:round/>
            </a:ln>
            <a:effectLst/>
          </c:spPr>
          <c:marker>
            <c:symbol val="none"/>
          </c:marker>
          <c:val>
            <c:numRef>
              <c:f>'eta details'!$H$2:$H$19</c:f>
              <c:numCache>
                <c:formatCode>General</c:formatCode>
                <c:ptCount val="18"/>
                <c:pt idx="0">
                  <c:v>6.0156381094434597</c:v>
                </c:pt>
                <c:pt idx="1">
                  <c:v>6.2625421024641001</c:v>
                </c:pt>
                <c:pt idx="2">
                  <c:v>6.10416780466488</c:v>
                </c:pt>
                <c:pt idx="3">
                  <c:v>5.8333333333333304</c:v>
                </c:pt>
                <c:pt idx="4">
                  <c:v>5.3816793893129704</c:v>
                </c:pt>
                <c:pt idx="5">
                  <c:v>5.1392101243726804</c:v>
                </c:pt>
                <c:pt idx="6">
                  <c:v>5.0486280901928797</c:v>
                </c:pt>
                <c:pt idx="7">
                  <c:v>4.86042296072507</c:v>
                </c:pt>
                <c:pt idx="8">
                  <c:v>4.5087591240875904</c:v>
                </c:pt>
                <c:pt idx="9">
                  <c:v>3.9458383114297</c:v>
                </c:pt>
                <c:pt idx="10">
                  <c:v>4.6995367306419498</c:v>
                </c:pt>
                <c:pt idx="11">
                  <c:v>4.8230769230769202</c:v>
                </c:pt>
                <c:pt idx="12">
                  <c:v>4.29488158899923</c:v>
                </c:pt>
                <c:pt idx="13">
                  <c:v>4.5838621940163096</c:v>
                </c:pt>
                <c:pt idx="14">
                  <c:v>3.8650875386199699</c:v>
                </c:pt>
                <c:pt idx="15">
                  <c:v>3.75139977603583</c:v>
                </c:pt>
                <c:pt idx="16">
                  <c:v>3.5314769975786899</c:v>
                </c:pt>
                <c:pt idx="17">
                  <c:v>3.9022727272727198</c:v>
                </c:pt>
              </c:numCache>
            </c:numRef>
          </c:val>
          <c:smooth val="0"/>
          <c:extLst>
            <c:ext xmlns:c16="http://schemas.microsoft.com/office/drawing/2014/chart" uri="{C3380CC4-5D6E-409C-BE32-E72D297353CC}">
              <c16:uniqueId val="{00000002-2071-4306-9DA3-942E8091D803}"/>
            </c:ext>
          </c:extLst>
        </c:ser>
        <c:dLbls>
          <c:showLegendKey val="0"/>
          <c:showVal val="0"/>
          <c:showCatName val="0"/>
          <c:showSerName val="0"/>
          <c:showPercent val="0"/>
          <c:showBubbleSize val="0"/>
        </c:dLbls>
        <c:marker val="1"/>
        <c:smooth val="0"/>
        <c:axId val="823992048"/>
        <c:axId val="824002448"/>
      </c:lineChart>
      <c:catAx>
        <c:axId val="81414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149920"/>
        <c:crosses val="autoZero"/>
        <c:auto val="1"/>
        <c:lblAlgn val="ctr"/>
        <c:lblOffset val="100"/>
        <c:noMultiLvlLbl val="0"/>
      </c:catAx>
      <c:valAx>
        <c:axId val="814149920"/>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147840"/>
        <c:crosses val="autoZero"/>
        <c:crossBetween val="between"/>
      </c:valAx>
      <c:valAx>
        <c:axId val="8240024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992048"/>
        <c:crosses val="max"/>
        <c:crossBetween val="between"/>
      </c:valAx>
      <c:catAx>
        <c:axId val="823992048"/>
        <c:scaling>
          <c:orientation val="minMax"/>
        </c:scaling>
        <c:delete val="1"/>
        <c:axPos val="b"/>
        <c:majorTickMark val="out"/>
        <c:minorTickMark val="none"/>
        <c:tickLblPos val="nextTo"/>
        <c:crossAx val="8240024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'pred X, share NF'!$D$1</c:f>
              <c:strCache>
                <c:ptCount val="1"/>
                <c:pt idx="0">
                  <c:v>X</c:v>
                </c:pt>
              </c:strCache>
            </c:strRef>
          </c:tx>
          <c:spPr>
            <a:ln w="28575" cap="rnd">
              <a:solidFill>
                <a:schemeClr val="accent1"/>
              </a:solidFill>
              <a:round/>
            </a:ln>
            <a:effectLst/>
          </c:spPr>
          <c:marker>
            <c:symbol val="none"/>
          </c:marker>
          <c:val>
            <c:numRef>
              <c:f>'pred X, share NF'!$D$2:$D$152</c:f>
              <c:numCache>
                <c:formatCode>General</c:formatCode>
                <c:ptCount val="151"/>
                <c:pt idx="0">
                  <c:v>6.7695685409999999</c:v>
                </c:pt>
                <c:pt idx="1">
                  <c:v>7.2300658350000004</c:v>
                </c:pt>
                <c:pt idx="2">
                  <c:v>6.4367166779999998</c:v>
                </c:pt>
                <c:pt idx="3">
                  <c:v>7.298130005</c:v>
                </c:pt>
                <c:pt idx="4">
                  <c:v>7.319900541</c:v>
                </c:pt>
                <c:pt idx="5">
                  <c:v>6.509359678</c:v>
                </c:pt>
                <c:pt idx="6">
                  <c:v>6.5635311940000003</c:v>
                </c:pt>
                <c:pt idx="7">
                  <c:v>5.8049334239999997</c:v>
                </c:pt>
                <c:pt idx="8">
                  <c:v>6.2267699939999996</c:v>
                </c:pt>
                <c:pt idx="9">
                  <c:v>7.0042131190000001</c:v>
                </c:pt>
                <c:pt idx="10">
                  <c:v>6.508644254</c:v>
                </c:pt>
                <c:pt idx="11">
                  <c:v>6.3912288420000003</c:v>
                </c:pt>
                <c:pt idx="12">
                  <c:v>5.4346795480000001</c:v>
                </c:pt>
                <c:pt idx="13">
                  <c:v>5.7005365530000001</c:v>
                </c:pt>
                <c:pt idx="14">
                  <c:v>5.9719760649999998</c:v>
                </c:pt>
                <c:pt idx="15">
                  <c:v>6.3525688870000003</c:v>
                </c:pt>
                <c:pt idx="16">
                  <c:v>6.6700219409999999</c:v>
                </c:pt>
                <c:pt idx="17">
                  <c:v>6.0352194020000001</c:v>
                </c:pt>
                <c:pt idx="18">
                  <c:v>6.2709134969999996</c:v>
                </c:pt>
                <c:pt idx="19">
                  <c:v>5.6334663330000003</c:v>
                </c:pt>
                <c:pt idx="20">
                  <c:v>6.4333012380000003</c:v>
                </c:pt>
                <c:pt idx="21">
                  <c:v>4.8480471280000001</c:v>
                </c:pt>
                <c:pt idx="22">
                  <c:v>6.2605144580000003</c:v>
                </c:pt>
                <c:pt idx="23">
                  <c:v>5.8388037930000003</c:v>
                </c:pt>
                <c:pt idx="24">
                  <c:v>5.508139463</c:v>
                </c:pt>
                <c:pt idx="25">
                  <c:v>5.3072505249999997</c:v>
                </c:pt>
                <c:pt idx="26">
                  <c:v>4.6186786140000002</c:v>
                </c:pt>
                <c:pt idx="27">
                  <c:v>5.0341956630000002</c:v>
                </c:pt>
                <c:pt idx="28">
                  <c:v>6.0730786930000002</c:v>
                </c:pt>
                <c:pt idx="29">
                  <c:v>5.6536961420000003</c:v>
                </c:pt>
                <c:pt idx="30">
                  <c:v>6.1077119529999999</c:v>
                </c:pt>
                <c:pt idx="31">
                  <c:v>4.140628897</c:v>
                </c:pt>
                <c:pt idx="32">
                  <c:v>4.7898684310000004</c:v>
                </c:pt>
                <c:pt idx="33">
                  <c:v>4.2953747900000003</c:v>
                </c:pt>
                <c:pt idx="34">
                  <c:v>6.0874558419999998</c:v>
                </c:pt>
                <c:pt idx="35">
                  <c:v>5.7208768430000001</c:v>
                </c:pt>
                <c:pt idx="36">
                  <c:v>4.1655889760000004</c:v>
                </c:pt>
                <c:pt idx="37">
                  <c:v>3.7686811640000002</c:v>
                </c:pt>
                <c:pt idx="38">
                  <c:v>5.9025249640000004</c:v>
                </c:pt>
                <c:pt idx="39">
                  <c:v>5.7549040189999996</c:v>
                </c:pt>
                <c:pt idx="40">
                  <c:v>5.2308703730000001</c:v>
                </c:pt>
                <c:pt idx="41">
                  <c:v>4.84505988</c:v>
                </c:pt>
                <c:pt idx="42">
                  <c:v>3.0488105810000001</c:v>
                </c:pt>
                <c:pt idx="43">
                  <c:v>5.5987828300000002</c:v>
                </c:pt>
                <c:pt idx="44">
                  <c:v>5.841852942</c:v>
                </c:pt>
                <c:pt idx="45">
                  <c:v>4.9775117550000001</c:v>
                </c:pt>
                <c:pt idx="46">
                  <c:v>4.5474928280000002</c:v>
                </c:pt>
                <c:pt idx="47">
                  <c:v>4.6092037960000001</c:v>
                </c:pt>
                <c:pt idx="48">
                  <c:v>5.8068054760000001</c:v>
                </c:pt>
                <c:pt idx="49">
                  <c:v>3.5645162309999998</c:v>
                </c:pt>
                <c:pt idx="50">
                  <c:v>5.4047961359999999</c:v>
                </c:pt>
                <c:pt idx="51">
                  <c:v>5.3773750109999998</c:v>
                </c:pt>
                <c:pt idx="52">
                  <c:v>4.896638694</c:v>
                </c:pt>
                <c:pt idx="53">
                  <c:v>4.4601570319999997</c:v>
                </c:pt>
                <c:pt idx="54">
                  <c:v>3.270111966</c:v>
                </c:pt>
                <c:pt idx="55">
                  <c:v>5.0167896059999997</c:v>
                </c:pt>
                <c:pt idx="56">
                  <c:v>3.8296820029999998</c:v>
                </c:pt>
                <c:pt idx="57">
                  <c:v>4.1556375860000001</c:v>
                </c:pt>
                <c:pt idx="58">
                  <c:v>5.6290819890000003</c:v>
                </c:pt>
                <c:pt idx="59">
                  <c:v>4.1191229759999999</c:v>
                </c:pt>
                <c:pt idx="60">
                  <c:v>3.5654228319999999</c:v>
                </c:pt>
                <c:pt idx="61">
                  <c:v>5.109706181</c:v>
                </c:pt>
                <c:pt idx="62">
                  <c:v>2.8145595110000001</c:v>
                </c:pt>
                <c:pt idx="63">
                  <c:v>4.0861523540000002</c:v>
                </c:pt>
                <c:pt idx="64">
                  <c:v>3.7597374659999998</c:v>
                </c:pt>
                <c:pt idx="65">
                  <c:v>6.0155416319999997</c:v>
                </c:pt>
                <c:pt idx="66">
                  <c:v>4.6750068679999996</c:v>
                </c:pt>
                <c:pt idx="67">
                  <c:v>2.8941720200000001</c:v>
                </c:pt>
                <c:pt idx="68">
                  <c:v>2.772827055</c:v>
                </c:pt>
                <c:pt idx="69">
                  <c:v>5.4742693730000003</c:v>
                </c:pt>
                <c:pt idx="70">
                  <c:v>2.4480313759999999</c:v>
                </c:pt>
                <c:pt idx="71">
                  <c:v>3.8848557069999998</c:v>
                </c:pt>
                <c:pt idx="72">
                  <c:v>6.1172312619999998</c:v>
                </c:pt>
                <c:pt idx="73">
                  <c:v>5.2892332670000002</c:v>
                </c:pt>
                <c:pt idx="74">
                  <c:v>2.6646060980000001</c:v>
                </c:pt>
                <c:pt idx="75">
                  <c:v>2.1613886490000001</c:v>
                </c:pt>
                <c:pt idx="76">
                  <c:v>2.8133043049999999</c:v>
                </c:pt>
                <c:pt idx="77">
                  <c:v>3.270610773</c:v>
                </c:pt>
                <c:pt idx="78">
                  <c:v>4.2331583119999996</c:v>
                </c:pt>
                <c:pt idx="79">
                  <c:v>5.939731514</c:v>
                </c:pt>
                <c:pt idx="80">
                  <c:v>4.6168162559999999</c:v>
                </c:pt>
                <c:pt idx="81">
                  <c:v>4.9220584790000004</c:v>
                </c:pt>
                <c:pt idx="82">
                  <c:v>3.5753670830000002</c:v>
                </c:pt>
                <c:pt idx="83">
                  <c:v>4.178486672</c:v>
                </c:pt>
                <c:pt idx="84">
                  <c:v>6.0950798749999997</c:v>
                </c:pt>
                <c:pt idx="85">
                  <c:v>4.6033839099999998</c:v>
                </c:pt>
                <c:pt idx="86">
                  <c:v>5.086589687</c:v>
                </c:pt>
                <c:pt idx="87">
                  <c:v>5.0156439820000003</c:v>
                </c:pt>
                <c:pt idx="88">
                  <c:v>5.4350386860000004</c:v>
                </c:pt>
                <c:pt idx="89">
                  <c:v>4.537700547</c:v>
                </c:pt>
                <c:pt idx="90">
                  <c:v>3.6149631059999998</c:v>
                </c:pt>
                <c:pt idx="91">
                  <c:v>5.7444446920000001</c:v>
                </c:pt>
                <c:pt idx="92">
                  <c:v>3.1504291129999999</c:v>
                </c:pt>
                <c:pt idx="93">
                  <c:v>3.1386939470000002</c:v>
                </c:pt>
                <c:pt idx="94">
                  <c:v>2.8735072289999999</c:v>
                </c:pt>
                <c:pt idx="95">
                  <c:v>4.4683263210000002</c:v>
                </c:pt>
                <c:pt idx="96">
                  <c:v>5.2704826479999998</c:v>
                </c:pt>
                <c:pt idx="97">
                  <c:v>2.870276279</c:v>
                </c:pt>
                <c:pt idx="98">
                  <c:v>3.6123842960000001</c:v>
                </c:pt>
                <c:pt idx="99">
                  <c:v>4.5456503640000001</c:v>
                </c:pt>
                <c:pt idx="100">
                  <c:v>5.3943229580000001</c:v>
                </c:pt>
                <c:pt idx="101">
                  <c:v>3.0345556120000001</c:v>
                </c:pt>
                <c:pt idx="102">
                  <c:v>4.2631023619999997</c:v>
                </c:pt>
                <c:pt idx="103">
                  <c:v>3.0921532599999999</c:v>
                </c:pt>
                <c:pt idx="104">
                  <c:v>2.0946000319999998</c:v>
                </c:pt>
                <c:pt idx="105">
                  <c:v>2.390880229</c:v>
                </c:pt>
                <c:pt idx="106">
                  <c:v>4.9520498850000001</c:v>
                </c:pt>
                <c:pt idx="107">
                  <c:v>4.118752325</c:v>
                </c:pt>
                <c:pt idx="108">
                  <c:v>5.9024526809999998</c:v>
                </c:pt>
                <c:pt idx="109">
                  <c:v>4.168214012</c:v>
                </c:pt>
                <c:pt idx="110">
                  <c:v>3.3447049359999999</c:v>
                </c:pt>
                <c:pt idx="111">
                  <c:v>4.8212792350000004</c:v>
                </c:pt>
                <c:pt idx="112">
                  <c:v>2.7952912460000001</c:v>
                </c:pt>
                <c:pt idx="113">
                  <c:v>4.9103570899999998</c:v>
                </c:pt>
                <c:pt idx="114">
                  <c:v>5.9900152269999998</c:v>
                </c:pt>
                <c:pt idx="115">
                  <c:v>5.3392705219999996</c:v>
                </c:pt>
                <c:pt idx="116">
                  <c:v>5.5753187129999997</c:v>
                </c:pt>
                <c:pt idx="117">
                  <c:v>3.859424872</c:v>
                </c:pt>
                <c:pt idx="118">
                  <c:v>5.8241288259999999</c:v>
                </c:pt>
                <c:pt idx="119">
                  <c:v>4.050812037</c:v>
                </c:pt>
                <c:pt idx="120">
                  <c:v>3.3076889980000002</c:v>
                </c:pt>
                <c:pt idx="121">
                  <c:v>4.4429598639999996</c:v>
                </c:pt>
                <c:pt idx="122">
                  <c:v>3.7139689140000001</c:v>
                </c:pt>
                <c:pt idx="123">
                  <c:v>2.6011021909999998</c:v>
                </c:pt>
                <c:pt idx="124">
                  <c:v>4.3569490469999996</c:v>
                </c:pt>
                <c:pt idx="125">
                  <c:v>2.325918181</c:v>
                </c:pt>
                <c:pt idx="126">
                  <c:v>5.5394757070000002</c:v>
                </c:pt>
                <c:pt idx="127">
                  <c:v>3.5546931480000001</c:v>
                </c:pt>
                <c:pt idx="128">
                  <c:v>5.0158958370000004</c:v>
                </c:pt>
                <c:pt idx="129">
                  <c:v>3.456676071</c:v>
                </c:pt>
                <c:pt idx="130">
                  <c:v>2.894225547</c:v>
                </c:pt>
                <c:pt idx="131">
                  <c:v>3.9463607029999999</c:v>
                </c:pt>
                <c:pt idx="132">
                  <c:v>4.0573729409999997</c:v>
                </c:pt>
                <c:pt idx="133">
                  <c:v>2.7257657279999998</c:v>
                </c:pt>
                <c:pt idx="134">
                  <c:v>3.6043463070000001</c:v>
                </c:pt>
                <c:pt idx="135">
                  <c:v>4.8672886750000002</c:v>
                </c:pt>
                <c:pt idx="136">
                  <c:v>4.4550860219999997</c:v>
                </c:pt>
                <c:pt idx="137">
                  <c:v>4.0187385679999998</c:v>
                </c:pt>
                <c:pt idx="138">
                  <c:v>4.5454012319999997</c:v>
                </c:pt>
                <c:pt idx="139">
                  <c:v>4.1138740660000002</c:v>
                </c:pt>
                <c:pt idx="140">
                  <c:v>3.943291297</c:v>
                </c:pt>
                <c:pt idx="141">
                  <c:v>3.8176520909999998</c:v>
                </c:pt>
                <c:pt idx="142">
                  <c:v>4.4666609279999996</c:v>
                </c:pt>
                <c:pt idx="143">
                  <c:v>2.2536953620000002</c:v>
                </c:pt>
                <c:pt idx="144">
                  <c:v>3.6403501870000001</c:v>
                </c:pt>
                <c:pt idx="145">
                  <c:v>2.658423891</c:v>
                </c:pt>
                <c:pt idx="146">
                  <c:v>3.3791650930000001</c:v>
                </c:pt>
                <c:pt idx="147">
                  <c:v>3.2506139329999999</c:v>
                </c:pt>
                <c:pt idx="148">
                  <c:v>2.9704718890000001</c:v>
                </c:pt>
                <c:pt idx="149">
                  <c:v>3.8541995610000002</c:v>
                </c:pt>
              </c:numCache>
            </c:numRef>
          </c:val>
          <c:smooth val="0"/>
          <c:extLst>
            <c:ext xmlns:c16="http://schemas.microsoft.com/office/drawing/2014/chart" uri="{C3380CC4-5D6E-409C-BE32-E72D297353CC}">
              <c16:uniqueId val="{00000000-8370-412D-94E4-7C826BF401A6}"/>
            </c:ext>
          </c:extLst>
        </c:ser>
        <c:ser>
          <c:idx val="1"/>
          <c:order val="1"/>
          <c:tx>
            <c:strRef>
              <c:f>'pred X, share NF'!$E$1</c:f>
              <c:strCache>
                <c:ptCount val="1"/>
                <c:pt idx="0">
                  <c:v>pred X</c:v>
                </c:pt>
              </c:strCache>
            </c:strRef>
          </c:tx>
          <c:spPr>
            <a:ln w="28575" cap="rnd">
              <a:solidFill>
                <a:schemeClr val="accent2"/>
              </a:solidFill>
              <a:round/>
            </a:ln>
            <a:effectLst/>
          </c:spPr>
          <c:marker>
            <c:symbol val="none"/>
          </c:marker>
          <c:val>
            <c:numRef>
              <c:f>'pred X, share NF'!$E$2:$E$152</c:f>
              <c:numCache>
                <c:formatCode>General</c:formatCode>
                <c:ptCount val="151"/>
                <c:pt idx="0">
                  <c:v>7.4274793005969997</c:v>
                </c:pt>
                <c:pt idx="1">
                  <c:v>7.3463922688989998</c:v>
                </c:pt>
                <c:pt idx="2">
                  <c:v>7.1444458098510006</c:v>
                </c:pt>
                <c:pt idx="3">
                  <c:v>7.0380870698629998</c:v>
                </c:pt>
                <c:pt idx="4">
                  <c:v>6.6679151954650013</c:v>
                </c:pt>
                <c:pt idx="5">
                  <c:v>6.6200348468110004</c:v>
                </c:pt>
                <c:pt idx="6">
                  <c:v>6.4847452661970006</c:v>
                </c:pt>
                <c:pt idx="7">
                  <c:v>6.4774917972080006</c:v>
                </c:pt>
                <c:pt idx="8">
                  <c:v>6.4510849342700007</c:v>
                </c:pt>
                <c:pt idx="9">
                  <c:v>6.3880043994660003</c:v>
                </c:pt>
                <c:pt idx="10">
                  <c:v>6.3863320150370004</c:v>
                </c:pt>
                <c:pt idx="11">
                  <c:v>6.2121179942190006</c:v>
                </c:pt>
                <c:pt idx="12">
                  <c:v>6.2869075422720009</c:v>
                </c:pt>
                <c:pt idx="13">
                  <c:v>6.0749562475930006</c:v>
                </c:pt>
                <c:pt idx="14">
                  <c:v>6.0874037947440005</c:v>
                </c:pt>
                <c:pt idx="15">
                  <c:v>6.0526766239740013</c:v>
                </c:pt>
                <c:pt idx="16">
                  <c:v>6.0729078954539997</c:v>
                </c:pt>
                <c:pt idx="17">
                  <c:v>6.0979135385190002</c:v>
                </c:pt>
                <c:pt idx="18">
                  <c:v>6.0177889081769997</c:v>
                </c:pt>
                <c:pt idx="19">
                  <c:v>6.0381223777660002</c:v>
                </c:pt>
                <c:pt idx="20">
                  <c:v>5.9542224986200001</c:v>
                </c:pt>
                <c:pt idx="21">
                  <c:v>6.0508924632100003</c:v>
                </c:pt>
                <c:pt idx="22">
                  <c:v>5.8104912478640003</c:v>
                </c:pt>
                <c:pt idx="23">
                  <c:v>5.8704302680970013</c:v>
                </c:pt>
                <c:pt idx="24">
                  <c:v>5.833653583228001</c:v>
                </c:pt>
                <c:pt idx="25">
                  <c:v>5.7993525111840007</c:v>
                </c:pt>
                <c:pt idx="26">
                  <c:v>5.9459494341020012</c:v>
                </c:pt>
                <c:pt idx="27">
                  <c:v>5.7897242803390006</c:v>
                </c:pt>
                <c:pt idx="28">
                  <c:v>5.6670066103400005</c:v>
                </c:pt>
                <c:pt idx="29">
                  <c:v>5.7114350437220009</c:v>
                </c:pt>
                <c:pt idx="30">
                  <c:v>5.6147559876350002</c:v>
                </c:pt>
                <c:pt idx="31">
                  <c:v>5.8206676721899999</c:v>
                </c:pt>
                <c:pt idx="32">
                  <c:v>5.7440044803910002</c:v>
                </c:pt>
                <c:pt idx="33">
                  <c:v>5.5580350272000008</c:v>
                </c:pt>
                <c:pt idx="34">
                  <c:v>5.4882892141980006</c:v>
                </c:pt>
                <c:pt idx="35">
                  <c:v>5.468825079858</c:v>
                </c:pt>
                <c:pt idx="36">
                  <c:v>5.5417246266219999</c:v>
                </c:pt>
                <c:pt idx="37">
                  <c:v>5.7569633403170011</c:v>
                </c:pt>
                <c:pt idx="38">
                  <c:v>5.374682075331001</c:v>
                </c:pt>
                <c:pt idx="39">
                  <c:v>5.5254107408910009</c:v>
                </c:pt>
                <c:pt idx="40">
                  <c:v>5.5373399950740003</c:v>
                </c:pt>
                <c:pt idx="41">
                  <c:v>5.5755833264970001</c:v>
                </c:pt>
                <c:pt idx="42">
                  <c:v>5.9200367348540004</c:v>
                </c:pt>
                <c:pt idx="43">
                  <c:v>5.3090951420110004</c:v>
                </c:pt>
                <c:pt idx="44">
                  <c:v>5.3212069143640006</c:v>
                </c:pt>
                <c:pt idx="45">
                  <c:v>5.2725758874720015</c:v>
                </c:pt>
                <c:pt idx="46">
                  <c:v>5.3468098503680004</c:v>
                </c:pt>
                <c:pt idx="47">
                  <c:v>5.290448731433</c:v>
                </c:pt>
                <c:pt idx="48">
                  <c:v>5.0991014852010004</c:v>
                </c:pt>
                <c:pt idx="49">
                  <c:v>5.4167544562710006</c:v>
                </c:pt>
                <c:pt idx="50">
                  <c:v>5.118255813487</c:v>
                </c:pt>
                <c:pt idx="51">
                  <c:v>5.2121821136180007</c:v>
                </c:pt>
                <c:pt idx="52">
                  <c:v>5.113402099441001</c:v>
                </c:pt>
                <c:pt idx="53">
                  <c:v>5.2596944880750005</c:v>
                </c:pt>
                <c:pt idx="54">
                  <c:v>5.3909405958340004</c:v>
                </c:pt>
                <c:pt idx="55">
                  <c:v>5.0947317091150008</c:v>
                </c:pt>
                <c:pt idx="56">
                  <c:v>5.37868889709</c:v>
                </c:pt>
                <c:pt idx="57">
                  <c:v>5.4086653690700004</c:v>
                </c:pt>
                <c:pt idx="58">
                  <c:v>4.9329204108310005</c:v>
                </c:pt>
                <c:pt idx="59">
                  <c:v>5.3266997983910009</c:v>
                </c:pt>
                <c:pt idx="60">
                  <c:v>5.2172419625430013</c:v>
                </c:pt>
                <c:pt idx="61">
                  <c:v>5.2912341550410007</c:v>
                </c:pt>
                <c:pt idx="62">
                  <c:v>5.2813668264320004</c:v>
                </c:pt>
                <c:pt idx="63">
                  <c:v>5.1278880360290007</c:v>
                </c:pt>
                <c:pt idx="64">
                  <c:v>5.2145571135750011</c:v>
                </c:pt>
                <c:pt idx="65">
                  <c:v>4.8331870342980006</c:v>
                </c:pt>
                <c:pt idx="66">
                  <c:v>4.8832786374440005</c:v>
                </c:pt>
                <c:pt idx="67">
                  <c:v>5.4505274566670003</c:v>
                </c:pt>
                <c:pt idx="68">
                  <c:v>5.0590694051740002</c:v>
                </c:pt>
                <c:pt idx="69">
                  <c:v>4.7342546112490007</c:v>
                </c:pt>
                <c:pt idx="70">
                  <c:v>5.4014660799870011</c:v>
                </c:pt>
                <c:pt idx="71">
                  <c:v>4.9484821160370007</c:v>
                </c:pt>
                <c:pt idx="72">
                  <c:v>4.5621419529360008</c:v>
                </c:pt>
                <c:pt idx="73">
                  <c:v>4.5986681124130007</c:v>
                </c:pt>
                <c:pt idx="74">
                  <c:v>5.3287225946210004</c:v>
                </c:pt>
                <c:pt idx="75">
                  <c:v>5.2889407119330007</c:v>
                </c:pt>
                <c:pt idx="76">
                  <c:v>4.9494527722950004</c:v>
                </c:pt>
                <c:pt idx="77">
                  <c:v>4.8888186613070008</c:v>
                </c:pt>
                <c:pt idx="78">
                  <c:v>4.576686604442</c:v>
                </c:pt>
                <c:pt idx="79">
                  <c:v>4.3861301307550002</c:v>
                </c:pt>
                <c:pt idx="80">
                  <c:v>4.8494721841810007</c:v>
                </c:pt>
                <c:pt idx="81">
                  <c:v>4.5184394742289999</c:v>
                </c:pt>
                <c:pt idx="82">
                  <c:v>4.8690883542380003</c:v>
                </c:pt>
                <c:pt idx="83">
                  <c:v>5.3142707585330005</c:v>
                </c:pt>
                <c:pt idx="84">
                  <c:v>4.3077905607469997</c:v>
                </c:pt>
                <c:pt idx="85">
                  <c:v>5.0198440271780003</c:v>
                </c:pt>
                <c:pt idx="86">
                  <c:v>4.3641248968440003</c:v>
                </c:pt>
                <c:pt idx="87">
                  <c:v>4.3939514670060005</c:v>
                </c:pt>
                <c:pt idx="88">
                  <c:v>4.2366465497720007</c:v>
                </c:pt>
                <c:pt idx="89">
                  <c:v>4.9105026785540007</c:v>
                </c:pt>
                <c:pt idx="90">
                  <c:v>4.5021145595790006</c:v>
                </c:pt>
                <c:pt idx="91">
                  <c:v>4.20850493935</c:v>
                </c:pt>
                <c:pt idx="92">
                  <c:v>4.6492039248210011</c:v>
                </c:pt>
                <c:pt idx="93">
                  <c:v>4.7670787696270001</c:v>
                </c:pt>
                <c:pt idx="94">
                  <c:v>4.5505134973930002</c:v>
                </c:pt>
                <c:pt idx="95">
                  <c:v>4.4577345234530004</c:v>
                </c:pt>
                <c:pt idx="96">
                  <c:v>4.1076951496390004</c:v>
                </c:pt>
                <c:pt idx="97">
                  <c:v>4.6549565939900006</c:v>
                </c:pt>
                <c:pt idx="98">
                  <c:v>4.7480242483560007</c:v>
                </c:pt>
                <c:pt idx="99">
                  <c:v>4.2090930612350004</c:v>
                </c:pt>
                <c:pt idx="100">
                  <c:v>4.1171627647740001</c:v>
                </c:pt>
                <c:pt idx="101">
                  <c:v>4.529731420739</c:v>
                </c:pt>
                <c:pt idx="102">
                  <c:v>4.8506870858970004</c:v>
                </c:pt>
                <c:pt idx="103">
                  <c:v>5.0329680691980005</c:v>
                </c:pt>
                <c:pt idx="104">
                  <c:v>4.8317745186140009</c:v>
                </c:pt>
                <c:pt idx="105">
                  <c:v>4.8238848181920009</c:v>
                </c:pt>
                <c:pt idx="106">
                  <c:v>4.0519961546649998</c:v>
                </c:pt>
                <c:pt idx="107">
                  <c:v>4.3092992022559997</c:v>
                </c:pt>
                <c:pt idx="108">
                  <c:v>3.9110876462239998</c:v>
                </c:pt>
                <c:pt idx="109">
                  <c:v>4.9588315011890005</c:v>
                </c:pt>
                <c:pt idx="110">
                  <c:v>4.8137435577470011</c:v>
                </c:pt>
                <c:pt idx="111">
                  <c:v>4.0288570505080008</c:v>
                </c:pt>
                <c:pt idx="112">
                  <c:v>4.7007096559640011</c:v>
                </c:pt>
                <c:pt idx="113">
                  <c:v>3.8500439377160003</c:v>
                </c:pt>
                <c:pt idx="114">
                  <c:v>3.7545558243720007</c:v>
                </c:pt>
                <c:pt idx="115">
                  <c:v>3.9414300944910003</c:v>
                </c:pt>
                <c:pt idx="116">
                  <c:v>3.9135146364920006</c:v>
                </c:pt>
                <c:pt idx="117">
                  <c:v>4.2242447139130004</c:v>
                </c:pt>
                <c:pt idx="118">
                  <c:v>3.6383023529530005</c:v>
                </c:pt>
                <c:pt idx="119">
                  <c:v>3.7798924050920002</c:v>
                </c:pt>
                <c:pt idx="120">
                  <c:v>4.2155682950600006</c:v>
                </c:pt>
                <c:pt idx="121">
                  <c:v>4.0335903786600005</c:v>
                </c:pt>
                <c:pt idx="122">
                  <c:v>3.9272231344520003</c:v>
                </c:pt>
                <c:pt idx="123">
                  <c:v>4.269648258169001</c:v>
                </c:pt>
                <c:pt idx="124">
                  <c:v>3.8572286081930001</c:v>
                </c:pt>
                <c:pt idx="125">
                  <c:v>4.2475043206020002</c:v>
                </c:pt>
                <c:pt idx="126">
                  <c:v>3.6367504293690001</c:v>
                </c:pt>
                <c:pt idx="127">
                  <c:v>4.0922799260370004</c:v>
                </c:pt>
                <c:pt idx="128">
                  <c:v>3.8901859938040007</c:v>
                </c:pt>
                <c:pt idx="129">
                  <c:v>3.9301258107040002</c:v>
                </c:pt>
                <c:pt idx="130">
                  <c:v>3.9701451284510005</c:v>
                </c:pt>
                <c:pt idx="131">
                  <c:v>3.9740939539250006</c:v>
                </c:pt>
                <c:pt idx="132">
                  <c:v>4.4904381784310008</c:v>
                </c:pt>
                <c:pt idx="133">
                  <c:v>4.3786292106109999</c:v>
                </c:pt>
                <c:pt idx="134">
                  <c:v>3.8863924479580003</c:v>
                </c:pt>
                <c:pt idx="135">
                  <c:v>3.5541036994910002</c:v>
                </c:pt>
                <c:pt idx="136">
                  <c:v>3.6111141466620005</c:v>
                </c:pt>
                <c:pt idx="137">
                  <c:v>3.7995790175559998</c:v>
                </c:pt>
                <c:pt idx="138">
                  <c:v>3.7988639589840005</c:v>
                </c:pt>
                <c:pt idx="139">
                  <c:v>4.1291084695160007</c:v>
                </c:pt>
                <c:pt idx="140">
                  <c:v>4.1574380941109998</c:v>
                </c:pt>
                <c:pt idx="141">
                  <c:v>4.149832265804001</c:v>
                </c:pt>
                <c:pt idx="142">
                  <c:v>3.6282824620490004</c:v>
                </c:pt>
                <c:pt idx="143">
                  <c:v>3.8007960044439999</c:v>
                </c:pt>
                <c:pt idx="144">
                  <c:v>3.6310939376970008</c:v>
                </c:pt>
                <c:pt idx="145">
                  <c:v>4.0841465671030006</c:v>
                </c:pt>
                <c:pt idx="146">
                  <c:v>3.5348966133680002</c:v>
                </c:pt>
                <c:pt idx="147">
                  <c:v>3.5523869024010009</c:v>
                </c:pt>
                <c:pt idx="148">
                  <c:v>3.4186265757790011</c:v>
                </c:pt>
                <c:pt idx="149">
                  <c:v>3.4419993645389999</c:v>
                </c:pt>
              </c:numCache>
            </c:numRef>
          </c:val>
          <c:smooth val="0"/>
          <c:extLst>
            <c:ext xmlns:c16="http://schemas.microsoft.com/office/drawing/2014/chart" uri="{C3380CC4-5D6E-409C-BE32-E72D297353CC}">
              <c16:uniqueId val="{00000001-8370-412D-94E4-7C826BF401A6}"/>
            </c:ext>
          </c:extLst>
        </c:ser>
        <c:dLbls>
          <c:showLegendKey val="0"/>
          <c:showVal val="0"/>
          <c:showCatName val="0"/>
          <c:showSerName val="0"/>
          <c:showPercent val="0"/>
          <c:showBubbleSize val="0"/>
        </c:dLbls>
        <c:smooth val="0"/>
        <c:axId val="1370305312"/>
        <c:axId val="1370302816"/>
      </c:lineChart>
      <c:catAx>
        <c:axId val="137030531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302816"/>
        <c:crosses val="autoZero"/>
        <c:auto val="1"/>
        <c:lblAlgn val="ctr"/>
        <c:lblOffset val="100"/>
        <c:noMultiLvlLbl val="0"/>
      </c:catAx>
      <c:valAx>
        <c:axId val="137030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305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v>SpeedUp based on Share Imbalancement</c:v>
          </c:tx>
          <c:spPr>
            <a:noFill/>
            <a:ln w="3175">
              <a:solidFill>
                <a:schemeClr val="tx1"/>
              </a:solidFill>
            </a:ln>
            <a:effectLst/>
          </c:spPr>
          <c:invertIfNegative val="0"/>
          <c:xVal>
            <c:numRef>
              <c:f>'pred X, share NF'!$B$2:$B$152</c:f>
              <c:numCache>
                <c:formatCode>General</c:formatCode>
                <c:ptCount val="151"/>
                <c:pt idx="0">
                  <c:v>1.0779558E-2</c:v>
                </c:pt>
                <c:pt idx="1">
                  <c:v>3.3506629000000003E-2</c:v>
                </c:pt>
                <c:pt idx="2">
                  <c:v>6.3103556000000005E-2</c:v>
                </c:pt>
                <c:pt idx="3">
                  <c:v>9.1160068999999996E-2</c:v>
                </c:pt>
                <c:pt idx="4">
                  <c:v>0.159432672</c:v>
                </c:pt>
                <c:pt idx="5">
                  <c:v>0.16275399099999999</c:v>
                </c:pt>
                <c:pt idx="6">
                  <c:v>0.18030623100000001</c:v>
                </c:pt>
                <c:pt idx="7">
                  <c:v>0.17165311899999999</c:v>
                </c:pt>
                <c:pt idx="8">
                  <c:v>0.18123821000000001</c:v>
                </c:pt>
                <c:pt idx="9">
                  <c:v>0.20850207500000001</c:v>
                </c:pt>
                <c:pt idx="10">
                  <c:v>0.20425464700000001</c:v>
                </c:pt>
                <c:pt idx="11">
                  <c:v>0.237201257</c:v>
                </c:pt>
                <c:pt idx="12">
                  <c:v>0.19268373999999999</c:v>
                </c:pt>
                <c:pt idx="13">
                  <c:v>0.25987770799999999</c:v>
                </c:pt>
                <c:pt idx="14">
                  <c:v>0.25304948999999999</c:v>
                </c:pt>
                <c:pt idx="15">
                  <c:v>0.267809511</c:v>
                </c:pt>
                <c:pt idx="16">
                  <c:v>0.25701298500000003</c:v>
                </c:pt>
                <c:pt idx="17">
                  <c:v>0.235721932</c:v>
                </c:pt>
                <c:pt idx="18">
                  <c:v>0.27359199099999998</c:v>
                </c:pt>
                <c:pt idx="19">
                  <c:v>0.240934435</c:v>
                </c:pt>
                <c:pt idx="20">
                  <c:v>0.27672205599999999</c:v>
                </c:pt>
                <c:pt idx="21">
                  <c:v>0.22673088199999999</c:v>
                </c:pt>
                <c:pt idx="22">
                  <c:v>0.31222561100000001</c:v>
                </c:pt>
                <c:pt idx="23">
                  <c:v>0.28269562999999998</c:v>
                </c:pt>
                <c:pt idx="24">
                  <c:v>0.28859257799999999</c:v>
                </c:pt>
                <c:pt idx="25">
                  <c:v>0.29377879699999998</c:v>
                </c:pt>
                <c:pt idx="26">
                  <c:v>0.21849890999999999</c:v>
                </c:pt>
                <c:pt idx="27">
                  <c:v>0.28842836799999999</c:v>
                </c:pt>
                <c:pt idx="28">
                  <c:v>0.33532736499999999</c:v>
                </c:pt>
                <c:pt idx="29">
                  <c:v>0.30011579799999999</c:v>
                </c:pt>
                <c:pt idx="30">
                  <c:v>0.32896424000000002</c:v>
                </c:pt>
                <c:pt idx="31">
                  <c:v>0.226263775</c:v>
                </c:pt>
                <c:pt idx="32">
                  <c:v>0.25508387700000001</c:v>
                </c:pt>
                <c:pt idx="33">
                  <c:v>0.33451313799999999</c:v>
                </c:pt>
                <c:pt idx="34">
                  <c:v>0.36730126099999999</c:v>
                </c:pt>
                <c:pt idx="35">
                  <c:v>0.361694774</c:v>
                </c:pt>
                <c:pt idx="36">
                  <c:v>0.31017752799999998</c:v>
                </c:pt>
                <c:pt idx="37">
                  <c:v>0.204950418</c:v>
                </c:pt>
                <c:pt idx="38">
                  <c:v>0.38678596100000001</c:v>
                </c:pt>
                <c:pt idx="39">
                  <c:v>0.31385287000000001</c:v>
                </c:pt>
                <c:pt idx="40">
                  <c:v>0.30351689599999998</c:v>
                </c:pt>
                <c:pt idx="41">
                  <c:v>0.27935732099999999</c:v>
                </c:pt>
                <c:pt idx="42">
                  <c:v>0.11223173</c:v>
                </c:pt>
                <c:pt idx="43">
                  <c:v>0.38810969299999998</c:v>
                </c:pt>
                <c:pt idx="44">
                  <c:v>0.380557755</c:v>
                </c:pt>
                <c:pt idx="45">
                  <c:v>0.37034924299999999</c:v>
                </c:pt>
                <c:pt idx="46">
                  <c:v>0.33472542500000002</c:v>
                </c:pt>
                <c:pt idx="47">
                  <c:v>0.36113892199999997</c:v>
                </c:pt>
                <c:pt idx="48">
                  <c:v>0.43791037300000002</c:v>
                </c:pt>
                <c:pt idx="49">
                  <c:v>0.28395509800000002</c:v>
                </c:pt>
                <c:pt idx="50">
                  <c:v>0.41960871700000002</c:v>
                </c:pt>
                <c:pt idx="51">
                  <c:v>0.36419124800000002</c:v>
                </c:pt>
                <c:pt idx="52">
                  <c:v>0.40783818799999999</c:v>
                </c:pt>
                <c:pt idx="53">
                  <c:v>0.33436307999999998</c:v>
                </c:pt>
                <c:pt idx="54">
                  <c:v>0.26703060099999998</c:v>
                </c:pt>
                <c:pt idx="55">
                  <c:v>0.406070443</c:v>
                </c:pt>
                <c:pt idx="56">
                  <c:v>0.26874201199999997</c:v>
                </c:pt>
                <c:pt idx="57">
                  <c:v>0.24985289199999999</c:v>
                </c:pt>
                <c:pt idx="58">
                  <c:v>0.46481025199999998</c:v>
                </c:pt>
                <c:pt idx="59">
                  <c:v>0.27391708100000001</c:v>
                </c:pt>
                <c:pt idx="60">
                  <c:v>0.31777049099999999</c:v>
                </c:pt>
                <c:pt idx="61">
                  <c:v>0.27986652899999998</c:v>
                </c:pt>
                <c:pt idx="62">
                  <c:v>0.28167447899999998</c:v>
                </c:pt>
                <c:pt idx="63">
                  <c:v>0.34727893799999998</c:v>
                </c:pt>
                <c:pt idx="64">
                  <c:v>0.30083665999999998</c:v>
                </c:pt>
                <c:pt idx="65">
                  <c:v>0.48053875400000001</c:v>
                </c:pt>
                <c:pt idx="66">
                  <c:v>0.43454042399999998</c:v>
                </c:pt>
                <c:pt idx="67">
                  <c:v>0.16314464400000001</c:v>
                </c:pt>
                <c:pt idx="68">
                  <c:v>0.33271653600000001</c:v>
                </c:pt>
                <c:pt idx="69">
                  <c:v>0.48750679899999999</c:v>
                </c:pt>
                <c:pt idx="70">
                  <c:v>0.15937779799999999</c:v>
                </c:pt>
                <c:pt idx="71">
                  <c:v>0.37152922300000002</c:v>
                </c:pt>
                <c:pt idx="72">
                  <c:v>0.53184046600000001</c:v>
                </c:pt>
                <c:pt idx="73">
                  <c:v>0.50873952099999997</c:v>
                </c:pt>
                <c:pt idx="74">
                  <c:v>0.159671744</c:v>
                </c:pt>
                <c:pt idx="75">
                  <c:v>0.160692056</c:v>
                </c:pt>
                <c:pt idx="76">
                  <c:v>0.31064961299999999</c:v>
                </c:pt>
                <c:pt idx="77">
                  <c:v>0.32542550599999998</c:v>
                </c:pt>
                <c:pt idx="78">
                  <c:v>0.47130669600000002</c:v>
                </c:pt>
                <c:pt idx="79">
                  <c:v>0.55875558999999997</c:v>
                </c:pt>
                <c:pt idx="80">
                  <c:v>0.336913081</c:v>
                </c:pt>
                <c:pt idx="81">
                  <c:v>0.49085530700000002</c:v>
                </c:pt>
                <c:pt idx="82">
                  <c:v>0.32163434499999999</c:v>
                </c:pt>
                <c:pt idx="83">
                  <c:v>0.100986309</c:v>
                </c:pt>
                <c:pt idx="84">
                  <c:v>0.57904947100000004</c:v>
                </c:pt>
                <c:pt idx="85">
                  <c:v>0.23407093800000001</c:v>
                </c:pt>
                <c:pt idx="86">
                  <c:v>0.54627473900000001</c:v>
                </c:pt>
                <c:pt idx="87">
                  <c:v>0.51908358899999996</c:v>
                </c:pt>
                <c:pt idx="88">
                  <c:v>0.59333416699999997</c:v>
                </c:pt>
                <c:pt idx="89">
                  <c:v>0.25716335200000001</c:v>
                </c:pt>
                <c:pt idx="90">
                  <c:v>0.44449960199999999</c:v>
                </c:pt>
                <c:pt idx="91">
                  <c:v>0.57467396900000001</c:v>
                </c:pt>
                <c:pt idx="92">
                  <c:v>0.36342345199999998</c:v>
                </c:pt>
                <c:pt idx="93">
                  <c:v>0.30618533999999997</c:v>
                </c:pt>
                <c:pt idx="94">
                  <c:v>0.40808011700000002</c:v>
                </c:pt>
                <c:pt idx="95">
                  <c:v>0.43744364600000002</c:v>
                </c:pt>
                <c:pt idx="96">
                  <c:v>0.60219715399999996</c:v>
                </c:pt>
                <c:pt idx="97">
                  <c:v>0.34057736599999999</c:v>
                </c:pt>
                <c:pt idx="98">
                  <c:v>0.29157888999999998</c:v>
                </c:pt>
                <c:pt idx="99">
                  <c:v>0.54414410899999999</c:v>
                </c:pt>
                <c:pt idx="100">
                  <c:v>0.58643442899999998</c:v>
                </c:pt>
                <c:pt idx="101">
                  <c:v>0.38695078500000002</c:v>
                </c:pt>
                <c:pt idx="102">
                  <c:v>0.22998508300000001</c:v>
                </c:pt>
                <c:pt idx="103">
                  <c:v>0.14198608600000001</c:v>
                </c:pt>
                <c:pt idx="104">
                  <c:v>0.21837480200000001</c:v>
                </c:pt>
                <c:pt idx="105">
                  <c:v>0.21545900800000001</c:v>
                </c:pt>
                <c:pt idx="106">
                  <c:v>0.58216697100000003</c:v>
                </c:pt>
                <c:pt idx="107">
                  <c:v>0.45723901099999997</c:v>
                </c:pt>
                <c:pt idx="108">
                  <c:v>0.63223743600000004</c:v>
                </c:pt>
                <c:pt idx="109">
                  <c:v>0.129547249</c:v>
                </c:pt>
                <c:pt idx="110">
                  <c:v>0.19647969000000001</c:v>
                </c:pt>
                <c:pt idx="111">
                  <c:v>0.56406352000000004</c:v>
                </c:pt>
                <c:pt idx="112">
                  <c:v>0.23198089199999999</c:v>
                </c:pt>
                <c:pt idx="113">
                  <c:v>0.63705276700000002</c:v>
                </c:pt>
                <c:pt idx="114">
                  <c:v>0.67802759599999995</c:v>
                </c:pt>
                <c:pt idx="115">
                  <c:v>0.58587012800000005</c:v>
                </c:pt>
                <c:pt idx="116">
                  <c:v>0.59766091799999999</c:v>
                </c:pt>
                <c:pt idx="117">
                  <c:v>0.41236297100000002</c:v>
                </c:pt>
                <c:pt idx="118">
                  <c:v>0.681380918</c:v>
                </c:pt>
                <c:pt idx="119">
                  <c:v>0.61209897499999999</c:v>
                </c:pt>
                <c:pt idx="120">
                  <c:v>0.40401506599999998</c:v>
                </c:pt>
                <c:pt idx="121">
                  <c:v>0.48938599900000002</c:v>
                </c:pt>
                <c:pt idx="122">
                  <c:v>0.51965862500000004</c:v>
                </c:pt>
                <c:pt idx="123">
                  <c:v>0.35397865899999997</c:v>
                </c:pt>
                <c:pt idx="124">
                  <c:v>0.55065704999999998</c:v>
                </c:pt>
                <c:pt idx="125">
                  <c:v>0.36153939600000001</c:v>
                </c:pt>
                <c:pt idx="126">
                  <c:v>0.646569112</c:v>
                </c:pt>
                <c:pt idx="127">
                  <c:v>0.425065998</c:v>
                </c:pt>
                <c:pt idx="128">
                  <c:v>0.52025952600000003</c:v>
                </c:pt>
                <c:pt idx="129">
                  <c:v>0.49747841700000001</c:v>
                </c:pt>
                <c:pt idx="130">
                  <c:v>0.46538095200000001</c:v>
                </c:pt>
                <c:pt idx="131">
                  <c:v>0.461314318</c:v>
                </c:pt>
                <c:pt idx="132">
                  <c:v>0.202642344</c:v>
                </c:pt>
                <c:pt idx="133">
                  <c:v>0.24699051599999999</c:v>
                </c:pt>
                <c:pt idx="134">
                  <c:v>0.43594575099999999</c:v>
                </c:pt>
                <c:pt idx="135">
                  <c:v>0.58735793400000003</c:v>
                </c:pt>
                <c:pt idx="136">
                  <c:v>0.54430960699999997</c:v>
                </c:pt>
                <c:pt idx="137">
                  <c:v>0.45236388999999999</c:v>
                </c:pt>
                <c:pt idx="138">
                  <c:v>0.45048927500000002</c:v>
                </c:pt>
                <c:pt idx="139">
                  <c:v>0.27607855100000001</c:v>
                </c:pt>
                <c:pt idx="140">
                  <c:v>0.25166309999999997</c:v>
                </c:pt>
                <c:pt idx="141">
                  <c:v>0.24494290299999999</c:v>
                </c:pt>
                <c:pt idx="142">
                  <c:v>0.49255763699999999</c:v>
                </c:pt>
                <c:pt idx="143">
                  <c:v>0.40599665400000001</c:v>
                </c:pt>
                <c:pt idx="144">
                  <c:v>0.48530826799999999</c:v>
                </c:pt>
                <c:pt idx="145">
                  <c:v>0.25877861800000002</c:v>
                </c:pt>
                <c:pt idx="146">
                  <c:v>0.43700704000000001</c:v>
                </c:pt>
                <c:pt idx="147">
                  <c:v>0.42118123600000001</c:v>
                </c:pt>
                <c:pt idx="148">
                  <c:v>0.45039726699999999</c:v>
                </c:pt>
                <c:pt idx="149">
                  <c:v>0.43408591299999999</c:v>
                </c:pt>
              </c:numCache>
            </c:numRef>
          </c:xVal>
          <c:yVal>
            <c:numRef>
              <c:f>'pred X, share NF'!$C$2:$C$152</c:f>
              <c:numCache>
                <c:formatCode>General</c:formatCode>
                <c:ptCount val="151"/>
                <c:pt idx="0">
                  <c:v>0.96388679499999996</c:v>
                </c:pt>
                <c:pt idx="1">
                  <c:v>0.95429370899999999</c:v>
                </c:pt>
                <c:pt idx="2">
                  <c:v>0.914170021</c:v>
                </c:pt>
                <c:pt idx="3">
                  <c:v>0.900533001</c:v>
                </c:pt>
                <c:pt idx="4">
                  <c:v>0.83541327099999996</c:v>
                </c:pt>
                <c:pt idx="5">
                  <c:v>0.82367858100000002</c:v>
                </c:pt>
                <c:pt idx="6">
                  <c:v>0.79543077900000003</c:v>
                </c:pt>
                <c:pt idx="7">
                  <c:v>0.78814933600000003</c:v>
                </c:pt>
                <c:pt idx="8">
                  <c:v>0.78633788999999998</c:v>
                </c:pt>
                <c:pt idx="9">
                  <c:v>0.78463571799999998</c:v>
                </c:pt>
                <c:pt idx="10">
                  <c:v>0.78160302699999995</c:v>
                </c:pt>
                <c:pt idx="11">
                  <c:v>0.75144589299999998</c:v>
                </c:pt>
                <c:pt idx="12">
                  <c:v>0.74613497600000001</c:v>
                </c:pt>
                <c:pt idx="13">
                  <c:v>0.72574130299999995</c:v>
                </c:pt>
                <c:pt idx="14">
                  <c:v>0.72520663200000002</c:v>
                </c:pt>
                <c:pt idx="15">
                  <c:v>0.72411968999999998</c:v>
                </c:pt>
                <c:pt idx="16">
                  <c:v>0.72343192199999995</c:v>
                </c:pt>
                <c:pt idx="17">
                  <c:v>0.71780519300000001</c:v>
                </c:pt>
                <c:pt idx="18">
                  <c:v>0.71759039899999999</c:v>
                </c:pt>
                <c:pt idx="19">
                  <c:v>0.70379149799999996</c:v>
                </c:pt>
                <c:pt idx="20">
                  <c:v>0.70124230799999998</c:v>
                </c:pt>
                <c:pt idx="21">
                  <c:v>0.69891608599999999</c:v>
                </c:pt>
                <c:pt idx="22">
                  <c:v>0.68136395999999999</c:v>
                </c:pt>
                <c:pt idx="23">
                  <c:v>0.68080307100000004</c:v>
                </c:pt>
                <c:pt idx="24">
                  <c:v>0.67380086800000005</c:v>
                </c:pt>
                <c:pt idx="25">
                  <c:v>0.66708140800000004</c:v>
                </c:pt>
                <c:pt idx="26">
                  <c:v>0.66387242599999996</c:v>
                </c:pt>
                <c:pt idx="27">
                  <c:v>0.66110414100000003</c:v>
                </c:pt>
                <c:pt idx="28">
                  <c:v>0.65410173999999999</c:v>
                </c:pt>
                <c:pt idx="29">
                  <c:v>0.64567759000000002</c:v>
                </c:pt>
                <c:pt idx="30">
                  <c:v>0.635292525</c:v>
                </c:pt>
                <c:pt idx="31">
                  <c:v>0.63261157000000001</c:v>
                </c:pt>
                <c:pt idx="32">
                  <c:v>0.62794960899999996</c:v>
                </c:pt>
                <c:pt idx="33">
                  <c:v>0.62236150400000001</c:v>
                </c:pt>
                <c:pt idx="34">
                  <c:v>0.622068442</c:v>
                </c:pt>
                <c:pt idx="35">
                  <c:v>0.613116526</c:v>
                </c:pt>
                <c:pt idx="36">
                  <c:v>0.60305613000000002</c:v>
                </c:pt>
                <c:pt idx="37">
                  <c:v>0.60153123500000005</c:v>
                </c:pt>
                <c:pt idx="38">
                  <c:v>0.60120030099999999</c:v>
                </c:pt>
                <c:pt idx="39">
                  <c:v>0.60058685300000003</c:v>
                </c:pt>
                <c:pt idx="40">
                  <c:v>0.59779506999999998</c:v>
                </c:pt>
                <c:pt idx="41">
                  <c:v>0.59424039900000003</c:v>
                </c:pt>
                <c:pt idx="42">
                  <c:v>0.59256508200000002</c:v>
                </c:pt>
                <c:pt idx="43">
                  <c:v>0.58318699699999998</c:v>
                </c:pt>
                <c:pt idx="44">
                  <c:v>0.58212101199999999</c:v>
                </c:pt>
                <c:pt idx="45">
                  <c:v>0.56203840000000005</c:v>
                </c:pt>
                <c:pt idx="46">
                  <c:v>0.56191406399999999</c:v>
                </c:pt>
                <c:pt idx="47">
                  <c:v>0.56162773499999996</c:v>
                </c:pt>
                <c:pt idx="48">
                  <c:v>0.55289980699999997</c:v>
                </c:pt>
                <c:pt idx="49">
                  <c:v>0.551455217</c:v>
                </c:pt>
                <c:pt idx="50">
                  <c:v>0.547391937</c:v>
                </c:pt>
                <c:pt idx="51">
                  <c:v>0.54101719800000003</c:v>
                </c:pt>
                <c:pt idx="52">
                  <c:v>0.53892484699999998</c:v>
                </c:pt>
                <c:pt idx="53">
                  <c:v>0.536713365</c:v>
                </c:pt>
                <c:pt idx="54">
                  <c:v>0.53387918999999995</c:v>
                </c:pt>
                <c:pt idx="55">
                  <c:v>0.53250798899999996</c:v>
                </c:pt>
                <c:pt idx="56">
                  <c:v>0.53139436600000001</c:v>
                </c:pt>
                <c:pt idx="57">
                  <c:v>0.528636946</c:v>
                </c:pt>
                <c:pt idx="58">
                  <c:v>0.52141172899999999</c:v>
                </c:pt>
                <c:pt idx="59">
                  <c:v>0.519595641</c:v>
                </c:pt>
                <c:pt idx="60">
                  <c:v>0.51456521700000002</c:v>
                </c:pt>
                <c:pt idx="61">
                  <c:v>0.51300097499999997</c:v>
                </c:pt>
                <c:pt idx="62">
                  <c:v>0.51125796800000001</c:v>
                </c:pt>
                <c:pt idx="63">
                  <c:v>0.50667757099999999</c:v>
                </c:pt>
                <c:pt idx="64">
                  <c:v>0.50361650499999999</c:v>
                </c:pt>
                <c:pt idx="65">
                  <c:v>0.50226448599999995</c:v>
                </c:pt>
                <c:pt idx="66">
                  <c:v>0.48898060399999999</c:v>
                </c:pt>
                <c:pt idx="67">
                  <c:v>0.48852269300000001</c:v>
                </c:pt>
                <c:pt idx="68">
                  <c:v>0.47818849000000002</c:v>
                </c:pt>
                <c:pt idx="69">
                  <c:v>0.478081119</c:v>
                </c:pt>
                <c:pt idx="70">
                  <c:v>0.472188685</c:v>
                </c:pt>
                <c:pt idx="71">
                  <c:v>0.46980423500000001</c:v>
                </c:pt>
                <c:pt idx="72">
                  <c:v>0.455371256</c:v>
                </c:pt>
                <c:pt idx="73">
                  <c:v>0.45196046699999998</c:v>
                </c:pt>
                <c:pt idx="74">
                  <c:v>0.45150403500000003</c:v>
                </c:pt>
                <c:pt idx="75">
                  <c:v>0.44070870699999998</c:v>
                </c:pt>
                <c:pt idx="76">
                  <c:v>0.43348848899999998</c:v>
                </c:pt>
                <c:pt idx="77">
                  <c:v>0.42498150899999998</c:v>
                </c:pt>
                <c:pt idx="78">
                  <c:v>0.42315613400000002</c:v>
                </c:pt>
                <c:pt idx="79">
                  <c:v>0.42107308500000001</c:v>
                </c:pt>
                <c:pt idx="80">
                  <c:v>0.42060281100000002</c:v>
                </c:pt>
                <c:pt idx="81">
                  <c:v>0.41820252299999999</c:v>
                </c:pt>
                <c:pt idx="82">
                  <c:v>0.41704443400000002</c:v>
                </c:pt>
                <c:pt idx="83">
                  <c:v>0.41208433100000003</c:v>
                </c:pt>
                <c:pt idx="84">
                  <c:v>0.41080534899999999</c:v>
                </c:pt>
                <c:pt idx="85">
                  <c:v>0.40764459800000002</c:v>
                </c:pt>
                <c:pt idx="86">
                  <c:v>0.40726032400000001</c:v>
                </c:pt>
                <c:pt idx="87">
                  <c:v>0.39946965000000001</c:v>
                </c:pt>
                <c:pt idx="88">
                  <c:v>0.39898909199999999</c:v>
                </c:pt>
                <c:pt idx="89">
                  <c:v>0.39016835799999999</c:v>
                </c:pt>
                <c:pt idx="90">
                  <c:v>0.38565693299999998</c:v>
                </c:pt>
                <c:pt idx="91">
                  <c:v>0.37970220199999999</c:v>
                </c:pt>
                <c:pt idx="92">
                  <c:v>0.379105099</c:v>
                </c:pt>
                <c:pt idx="93">
                  <c:v>0.37850394100000001</c:v>
                </c:pt>
                <c:pt idx="94">
                  <c:v>0.37764537500000001</c:v>
                </c:pt>
                <c:pt idx="95">
                  <c:v>0.36868838700000001</c:v>
                </c:pt>
                <c:pt idx="96">
                  <c:v>0.36733592900000001</c:v>
                </c:pt>
                <c:pt idx="97">
                  <c:v>0.36702229800000002</c:v>
                </c:pt>
                <c:pt idx="98">
                  <c:v>0.36425970800000002</c:v>
                </c:pt>
                <c:pt idx="99">
                  <c:v>0.36151967699999998</c:v>
                </c:pt>
                <c:pt idx="100">
                  <c:v>0.360576234</c:v>
                </c:pt>
                <c:pt idx="101">
                  <c:v>0.35898487699999998</c:v>
                </c:pt>
                <c:pt idx="102">
                  <c:v>0.35667789500000002</c:v>
                </c:pt>
                <c:pt idx="103">
                  <c:v>0.35605704199999999</c:v>
                </c:pt>
                <c:pt idx="104">
                  <c:v>0.34427533799999999</c:v>
                </c:pt>
                <c:pt idx="105">
                  <c:v>0.34026008000000002</c:v>
                </c:pt>
                <c:pt idx="106">
                  <c:v>0.33932266300000002</c:v>
                </c:pt>
                <c:pt idx="107">
                  <c:v>0.33801897600000003</c:v>
                </c:pt>
                <c:pt idx="108">
                  <c:v>0.32900984</c:v>
                </c:pt>
                <c:pt idx="109">
                  <c:v>0.32731933899999999</c:v>
                </c:pt>
                <c:pt idx="110">
                  <c:v>0.32594350100000002</c:v>
                </c:pt>
                <c:pt idx="111">
                  <c:v>0.32180504399999998</c:v>
                </c:pt>
                <c:pt idx="112">
                  <c:v>0.31486710800000001</c:v>
                </c:pt>
                <c:pt idx="113">
                  <c:v>0.31439820400000001</c:v>
                </c:pt>
                <c:pt idx="114">
                  <c:v>0.31164372400000001</c:v>
                </c:pt>
                <c:pt idx="115">
                  <c:v>0.30984051699999998</c:v>
                </c:pt>
                <c:pt idx="116">
                  <c:v>0.30892226</c:v>
                </c:pt>
                <c:pt idx="117">
                  <c:v>0.28665256700000002</c:v>
                </c:pt>
                <c:pt idx="118">
                  <c:v>0.28032026300000001</c:v>
                </c:pt>
                <c:pt idx="119">
                  <c:v>0.27928071599999998</c:v>
                </c:pt>
                <c:pt idx="120">
                  <c:v>0.27914650800000002</c:v>
                </c:pt>
                <c:pt idx="121">
                  <c:v>0.278274572</c:v>
                </c:pt>
                <c:pt idx="122">
                  <c:v>0.26596719600000002</c:v>
                </c:pt>
                <c:pt idx="123">
                  <c:v>0.26457915900000001</c:v>
                </c:pt>
                <c:pt idx="124">
                  <c:v>0.26452703900000002</c:v>
                </c:pt>
                <c:pt idx="125">
                  <c:v>0.26277341399999998</c:v>
                </c:pt>
                <c:pt idx="126">
                  <c:v>0.258950183</c:v>
                </c:pt>
                <c:pt idx="127">
                  <c:v>0.256443435</c:v>
                </c:pt>
                <c:pt idx="128">
                  <c:v>0.25570690000000001</c:v>
                </c:pt>
                <c:pt idx="129">
                  <c:v>0.25346732799999999</c:v>
                </c:pt>
                <c:pt idx="130">
                  <c:v>0.245650589</c:v>
                </c:pt>
                <c:pt idx="131">
                  <c:v>0.24433861900000001</c:v>
                </c:pt>
                <c:pt idx="132">
                  <c:v>0.23693046500000001</c:v>
                </c:pt>
                <c:pt idx="133">
                  <c:v>0.23152318099999999</c:v>
                </c:pt>
                <c:pt idx="134">
                  <c:v>0.20393884200000001</c:v>
                </c:pt>
                <c:pt idx="135">
                  <c:v>0.19965756500000001</c:v>
                </c:pt>
                <c:pt idx="136">
                  <c:v>0.19013108200000001</c:v>
                </c:pt>
                <c:pt idx="137">
                  <c:v>0.188911308</c:v>
                </c:pt>
                <c:pt idx="138">
                  <c:v>0.18757943199999999</c:v>
                </c:pt>
                <c:pt idx="139">
                  <c:v>0.17745027599999999</c:v>
                </c:pt>
                <c:pt idx="140">
                  <c:v>0.17089875299999999</c:v>
                </c:pt>
                <c:pt idx="141">
                  <c:v>0.16467811600000001</c:v>
                </c:pt>
                <c:pt idx="142">
                  <c:v>0.163947023</c:v>
                </c:pt>
                <c:pt idx="143">
                  <c:v>0.16138944399999999</c:v>
                </c:pt>
                <c:pt idx="144">
                  <c:v>0.16039577499999999</c:v>
                </c:pt>
                <c:pt idx="145">
                  <c:v>0.15415731299999999</c:v>
                </c:pt>
                <c:pt idx="146">
                  <c:v>0.103774984</c:v>
                </c:pt>
                <c:pt idx="147">
                  <c:v>9.9278111000000002E-2</c:v>
                </c:pt>
                <c:pt idx="148">
                  <c:v>7.8479853000000002E-2</c:v>
                </c:pt>
                <c:pt idx="149">
                  <c:v>7.5378101000000003E-2</c:v>
                </c:pt>
              </c:numCache>
            </c:numRef>
          </c:yVal>
          <c:bubbleSize>
            <c:numRef>
              <c:f>'pred X, share NF'!$F$2:$F$152</c:f>
              <c:numCache>
                <c:formatCode>General</c:formatCode>
                <c:ptCount val="151"/>
                <c:pt idx="0">
                  <c:v>202120283.03949672</c:v>
                </c:pt>
                <c:pt idx="1">
                  <c:v>390321540.17124969</c:v>
                </c:pt>
                <c:pt idx="2">
                  <c:v>122079835.12947166</c:v>
                </c:pt>
                <c:pt idx="3">
                  <c:v>428662955.41883838</c:v>
                </c:pt>
                <c:pt idx="4">
                  <c:v>441623119.65957773</c:v>
                </c:pt>
                <c:pt idx="5">
                  <c:v>136578611.6425299</c:v>
                </c:pt>
                <c:pt idx="6">
                  <c:v>148380057.90483379</c:v>
                </c:pt>
                <c:pt idx="7">
                  <c:v>43448264.373436481</c:v>
                </c:pt>
                <c:pt idx="8">
                  <c:v>87625042.049916968</c:v>
                </c:pt>
                <c:pt idx="9">
                  <c:v>284180006.61330116</c:v>
                </c:pt>
                <c:pt idx="10">
                  <c:v>136428576.44812822</c:v>
                </c:pt>
                <c:pt idx="11">
                  <c:v>113721788.22507937</c:v>
                </c:pt>
                <c:pt idx="12">
                  <c:v>22477055.251377668</c:v>
                </c:pt>
                <c:pt idx="13">
                  <c:v>36237426.544637807</c:v>
                </c:pt>
                <c:pt idx="14">
                  <c:v>57700633.925120458</c:v>
                </c:pt>
                <c:pt idx="15">
                  <c:v>107027118.29293226</c:v>
                </c:pt>
                <c:pt idx="16">
                  <c:v>174290062.35676041</c:v>
                </c:pt>
                <c:pt idx="17">
                  <c:v>64110716.254963629</c:v>
                </c:pt>
                <c:pt idx="18">
                  <c:v>94039021.208949357</c:v>
                </c:pt>
                <c:pt idx="19">
                  <c:v>32192672.545018081</c:v>
                </c:pt>
                <c:pt idx="20">
                  <c:v>121433601.68587469</c:v>
                </c:pt>
                <c:pt idx="21">
                  <c:v>7172463.216509765</c:v>
                </c:pt>
                <c:pt idx="22">
                  <c:v>92491160.4528227</c:v>
                </c:pt>
                <c:pt idx="23">
                  <c:v>46050973.427760288</c:v>
                </c:pt>
                <c:pt idx="24">
                  <c:v>25706874.548554286</c:v>
                </c:pt>
                <c:pt idx="25">
                  <c:v>17729475.456173785</c:v>
                </c:pt>
                <c:pt idx="26">
                  <c:v>4417508.9048252599</c:v>
                </c:pt>
                <c:pt idx="27">
                  <c:v>10454443.303727521</c:v>
                </c:pt>
                <c:pt idx="28">
                  <c:v>68247867.54483591</c:v>
                </c:pt>
                <c:pt idx="29">
                  <c:v>33367574.297735978</c:v>
                </c:pt>
                <c:pt idx="30">
                  <c:v>72241286.291770935</c:v>
                </c:pt>
                <c:pt idx="31">
                  <c:v>1481368.436624045</c:v>
                </c:pt>
                <c:pt idx="32">
                  <c:v>6356760.4105570456</c:v>
                </c:pt>
                <c:pt idx="33">
                  <c:v>2138014.4637233578</c:v>
                </c:pt>
                <c:pt idx="34">
                  <c:v>69880859.654010937</c:v>
                </c:pt>
                <c:pt idx="35">
                  <c:v>37551387.219004646</c:v>
                </c:pt>
                <c:pt idx="36">
                  <c:v>1573128.3340593441</c:v>
                </c:pt>
                <c:pt idx="37">
                  <c:v>577954.92711615376</c:v>
                </c:pt>
                <c:pt idx="38">
                  <c:v>51330834.586009495</c:v>
                </c:pt>
                <c:pt idx="39">
                  <c:v>39845643.784060851</c:v>
                </c:pt>
                <c:pt idx="40">
                  <c:v>15336970.365730897</c:v>
                </c:pt>
                <c:pt idx="41">
                  <c:v>7128390.5956060896</c:v>
                </c:pt>
                <c:pt idx="42">
                  <c:v>69391.205125968656</c:v>
                </c:pt>
                <c:pt idx="43">
                  <c:v>30264689.361717187</c:v>
                </c:pt>
                <c:pt idx="44">
                  <c:v>46292027.455819003</c:v>
                </c:pt>
                <c:pt idx="45">
                  <c:v>9335185.3095195964</c:v>
                </c:pt>
                <c:pt idx="46">
                  <c:v>3781988.7091792622</c:v>
                </c:pt>
                <c:pt idx="47">
                  <c:v>4327719.5450265622</c:v>
                </c:pt>
                <c:pt idx="48">
                  <c:v>43588585.621401183</c:v>
                </c:pt>
                <c:pt idx="49">
                  <c:v>331135.67041530774</c:v>
                </c:pt>
                <c:pt idx="50">
                  <c:v>21271257.943587895</c:v>
                </c:pt>
                <c:pt idx="51">
                  <c:v>20216373.216650229</c:v>
                </c:pt>
                <c:pt idx="52">
                  <c:v>7924659.3222711552</c:v>
                </c:pt>
                <c:pt idx="53">
                  <c:v>3115311.6202622061</c:v>
                </c:pt>
                <c:pt idx="54">
                  <c:v>139838.32976242746</c:v>
                </c:pt>
                <c:pt idx="55">
                  <c:v>10098546.737263557</c:v>
                </c:pt>
                <c:pt idx="56">
                  <c:v>678620.75648585684</c:v>
                </c:pt>
                <c:pt idx="57">
                  <c:v>1535948.5074920245</c:v>
                </c:pt>
                <c:pt idx="58">
                  <c:v>31943003.064991981</c:v>
                </c:pt>
                <c:pt idx="59">
                  <c:v>1406201.5738732016</c:v>
                </c:pt>
                <c:pt idx="60">
                  <c:v>331978.84727668477</c:v>
                </c:pt>
                <c:pt idx="61">
                  <c:v>12132750.867571184</c:v>
                </c:pt>
                <c:pt idx="62">
                  <c:v>31196.391226495347</c:v>
                </c:pt>
                <c:pt idx="63">
                  <c:v>1297614.0958930827</c:v>
                </c:pt>
                <c:pt idx="64">
                  <c:v>564384.66092070867</c:v>
                </c:pt>
                <c:pt idx="65">
                  <c:v>62050797.530033007</c:v>
                </c:pt>
                <c:pt idx="66">
                  <c:v>4986806.6765908543</c:v>
                </c:pt>
                <c:pt idx="67">
                  <c:v>41232.854902729145</c:v>
                </c:pt>
                <c:pt idx="68">
                  <c:v>26867.535342910131</c:v>
                </c:pt>
                <c:pt idx="69">
                  <c:v>24169164.620867893</c:v>
                </c:pt>
                <c:pt idx="70">
                  <c:v>7729.8274221984811</c:v>
                </c:pt>
                <c:pt idx="71">
                  <c:v>782976.8593816607</c:v>
                </c:pt>
                <c:pt idx="72">
                  <c:v>73375148.493242845</c:v>
                </c:pt>
                <c:pt idx="73">
                  <c:v>17136700.555042543</c:v>
                </c:pt>
                <c:pt idx="74">
                  <c:v>18043.890150651659</c:v>
                </c:pt>
                <c:pt idx="75">
                  <c:v>2224.9930741283179</c:v>
                </c:pt>
                <c:pt idx="76">
                  <c:v>31057.543899738477</c:v>
                </c:pt>
                <c:pt idx="77">
                  <c:v>140051.778832468</c:v>
                </c:pt>
                <c:pt idx="78">
                  <c:v>1847758.0609194227</c:v>
                </c:pt>
                <c:pt idx="79">
                  <c:v>54659813.524065159</c:v>
                </c:pt>
                <c:pt idx="80">
                  <c:v>4399728.7735769376</c:v>
                </c:pt>
                <c:pt idx="81">
                  <c:v>8345794.6100375419</c:v>
                </c:pt>
                <c:pt idx="82">
                  <c:v>341355.08324960241</c:v>
                </c:pt>
                <c:pt idx="83">
                  <c:v>1622520.5740286072</c:v>
                </c:pt>
                <c:pt idx="84">
                  <c:v>70761008.426258937</c:v>
                </c:pt>
                <c:pt idx="85">
                  <c:v>4273384.339282576</c:v>
                </c:pt>
                <c:pt idx="86">
                  <c:v>11594901.511237176</c:v>
                </c:pt>
                <c:pt idx="87">
                  <c:v>10075509.581873039</c:v>
                </c:pt>
                <c:pt idx="88">
                  <c:v>22491913.101808537</c:v>
                </c:pt>
                <c:pt idx="89">
                  <c:v>3701334.4065043437</c:v>
                </c:pt>
                <c:pt idx="90">
                  <c:v>381099.77539239603</c:v>
                </c:pt>
                <c:pt idx="91">
                  <c:v>39127357.974577919</c:v>
                </c:pt>
                <c:pt idx="92">
                  <c:v>96315.707936301536</c:v>
                </c:pt>
                <c:pt idx="93">
                  <c:v>92787.548068113261</c:v>
                </c:pt>
                <c:pt idx="94">
                  <c:v>38381.588102714981</c:v>
                </c:pt>
                <c:pt idx="95">
                  <c:v>3172844.7369228187</c:v>
                </c:pt>
                <c:pt idx="96">
                  <c:v>16538795.545556108</c:v>
                </c:pt>
                <c:pt idx="97">
                  <c:v>37952.205458488032</c:v>
                </c:pt>
                <c:pt idx="98">
                  <c:v>378389.83071499545</c:v>
                </c:pt>
                <c:pt idx="99">
                  <c:v>3766693.4959909795</c:v>
                </c:pt>
                <c:pt idx="100">
                  <c:v>20862648.498381432</c:v>
                </c:pt>
                <c:pt idx="101">
                  <c:v>66214.180572876867</c:v>
                </c:pt>
                <c:pt idx="102">
                  <c:v>1982702.7403106045</c:v>
                </c:pt>
                <c:pt idx="103">
                  <c:v>79911.65262260141</c:v>
                </c:pt>
                <c:pt idx="104">
                  <c:v>1625.5901472011492</c:v>
                </c:pt>
                <c:pt idx="105">
                  <c:v>6103.4895740461516</c:v>
                </c:pt>
                <c:pt idx="106">
                  <c:v>8868498.7563145198</c:v>
                </c:pt>
                <c:pt idx="107">
                  <c:v>1404936.7439007377</c:v>
                </c:pt>
                <c:pt idx="108">
                  <c:v>51324548.899328433</c:v>
                </c:pt>
                <c:pt idx="109">
                  <c:v>1583069.9020063032</c:v>
                </c:pt>
                <c:pt idx="110">
                  <c:v>175217.75475232516</c:v>
                </c:pt>
                <c:pt idx="111">
                  <c:v>6786140.5985156661</c:v>
                </c:pt>
                <c:pt idx="112">
                  <c:v>29125.315890307036</c:v>
                </c:pt>
                <c:pt idx="113">
                  <c:v>8149496.1603914136</c:v>
                </c:pt>
                <c:pt idx="114">
                  <c:v>59467442.860420607</c:v>
                </c:pt>
                <c:pt idx="115">
                  <c:v>18828653.177854389</c:v>
                </c:pt>
                <c:pt idx="116">
                  <c:v>29019971.972854387</c:v>
                </c:pt>
                <c:pt idx="117">
                  <c:v>733205.83621926524</c:v>
                </c:pt>
                <c:pt idx="118">
                  <c:v>44906553.735356078</c:v>
                </c:pt>
                <c:pt idx="119">
                  <c:v>1189654.6820602396</c:v>
                </c:pt>
                <c:pt idx="120">
                  <c:v>156764.12659752675</c:v>
                </c:pt>
                <c:pt idx="121">
                  <c:v>2997256.4267127253</c:v>
                </c:pt>
                <c:pt idx="122">
                  <c:v>499324.23309038661</c:v>
                </c:pt>
                <c:pt idx="123">
                  <c:v>14176.667355132349</c:v>
                </c:pt>
                <c:pt idx="124">
                  <c:v>2465044.7649656208</c:v>
                </c:pt>
                <c:pt idx="125">
                  <c:v>4633.8752145573562</c:v>
                </c:pt>
                <c:pt idx="126">
                  <c:v>27207373.675841704</c:v>
                </c:pt>
                <c:pt idx="127">
                  <c:v>322122.5812449872</c:v>
                </c:pt>
                <c:pt idx="128">
                  <c:v>10080570.030634454</c:v>
                </c:pt>
                <c:pt idx="129">
                  <c:v>243549.27003938516</c:v>
                </c:pt>
                <c:pt idx="130">
                  <c:v>41240.481452584339</c:v>
                </c:pt>
                <c:pt idx="131">
                  <c:v>916152.516063118</c:v>
                </c:pt>
                <c:pt idx="132">
                  <c:v>1209063.9862532273</c:v>
                </c:pt>
                <c:pt idx="133">
                  <c:v>22640.461070784819</c:v>
                </c:pt>
                <c:pt idx="134">
                  <c:v>370054.01021605491</c:v>
                </c:pt>
                <c:pt idx="135">
                  <c:v>7462271.5123742353</c:v>
                </c:pt>
                <c:pt idx="136">
                  <c:v>3080072.5142880757</c:v>
                </c:pt>
                <c:pt idx="137">
                  <c:v>1098746.6107566324</c:v>
                </c:pt>
                <c:pt idx="138">
                  <c:v>3764629.6054491648</c:v>
                </c:pt>
                <c:pt idx="139">
                  <c:v>1388385.0523044465</c:v>
                </c:pt>
                <c:pt idx="140">
                  <c:v>909051.74037050514</c:v>
                </c:pt>
                <c:pt idx="141">
                  <c:v>657602.53515903617</c:v>
                </c:pt>
                <c:pt idx="142">
                  <c:v>3161039.0193730751</c:v>
                </c:pt>
                <c:pt idx="143">
                  <c:v>3380.2755908652366</c:v>
                </c:pt>
                <c:pt idx="144">
                  <c:v>408725.40266234684</c:v>
                </c:pt>
                <c:pt idx="145">
                  <c:v>17629.594067457689</c:v>
                </c:pt>
                <c:pt idx="146">
                  <c:v>194130.64723962356</c:v>
                </c:pt>
                <c:pt idx="147">
                  <c:v>131720.66823613195</c:v>
                </c:pt>
                <c:pt idx="148">
                  <c:v>53487.767067162509</c:v>
                </c:pt>
                <c:pt idx="149">
                  <c:v>723339.15760138072</c:v>
                </c:pt>
              </c:numCache>
            </c:numRef>
          </c:bubbleSize>
          <c:bubble3D val="0"/>
          <c:extLst>
            <c:ext xmlns:c16="http://schemas.microsoft.com/office/drawing/2014/chart" uri="{C3380CC4-5D6E-409C-BE32-E72D297353CC}">
              <c16:uniqueId val="{00000000-C544-4810-8C42-0229C429C02D}"/>
            </c:ext>
          </c:extLst>
        </c:ser>
        <c:ser>
          <c:idx val="1"/>
          <c:order val="1"/>
          <c:spPr>
            <a:noFill/>
            <a:ln>
              <a:solidFill>
                <a:srgbClr val="FF0000"/>
              </a:solidFill>
            </a:ln>
            <a:effectLst/>
          </c:spPr>
          <c:invertIfNegative val="0"/>
          <c:xVal>
            <c:numRef>
              <c:f>'pred X, share NF'!$A$2:$A$151</c:f>
              <c:numCache>
                <c:formatCode>General</c:formatCode>
                <c:ptCount val="150"/>
                <c:pt idx="0">
                  <c:v>3.5910097744546642E-2</c:v>
                </c:pt>
                <c:pt idx="1">
                  <c:v>4.5568379537931157E-2</c:v>
                </c:pt>
                <c:pt idx="2">
                  <c:v>8.5550985390121959E-2</c:v>
                </c:pt>
                <c:pt idx="3">
                  <c:v>9.9378066738232906E-2</c:v>
                </c:pt>
                <c:pt idx="4">
                  <c:v>0.16443448281295708</c:v>
                </c:pt>
                <c:pt idx="5">
                  <c:v>0.17615399722175584</c:v>
                </c:pt>
                <c:pt idx="6">
                  <c:v>0.20432548715841048</c:v>
                </c:pt>
                <c:pt idx="7">
                  <c:v>0.21148577661773615</c:v>
                </c:pt>
                <c:pt idx="8">
                  <c:v>0.21336977737699137</c:v>
                </c:pt>
                <c:pt idx="9">
                  <c:v>0.21527494421966178</c:v>
                </c:pt>
                <c:pt idx="10">
                  <c:v>0.21785294014213658</c:v>
                </c:pt>
                <c:pt idx="11">
                  <c:v>0.24783652932892153</c:v>
                </c:pt>
                <c:pt idx="12">
                  <c:v>0.2532692409117045</c:v>
                </c:pt>
                <c:pt idx="13">
                  <c:v>0.27332311720515373</c:v>
                </c:pt>
                <c:pt idx="14">
                  <c:v>0.27445588684735156</c:v>
                </c:pt>
                <c:pt idx="15">
                  <c:v>0.27574876843011503</c:v>
                </c:pt>
                <c:pt idx="16">
                  <c:v>0.27601753566919868</c:v>
                </c:pt>
                <c:pt idx="17">
                  <c:v>0.28084101815549944</c:v>
                </c:pt>
                <c:pt idx="18">
                  <c:v>0.28181952331275678</c:v>
                </c:pt>
                <c:pt idx="19">
                  <c:v>0.29563375854217128</c:v>
                </c:pt>
                <c:pt idx="20">
                  <c:v>0.29845387989790795</c:v>
                </c:pt>
                <c:pt idx="21">
                  <c:v>0.30019596295564571</c:v>
                </c:pt>
                <c:pt idx="22">
                  <c:v>0.31844101862762902</c:v>
                </c:pt>
                <c:pt idx="23">
                  <c:v>0.31734358057488016</c:v>
                </c:pt>
                <c:pt idx="24">
                  <c:v>0.32574029553163258</c:v>
                </c:pt>
                <c:pt idx="25">
                  <c:v>0.33093141470982346</c:v>
                </c:pt>
                <c:pt idx="26">
                  <c:v>0.33487140816972411</c:v>
                </c:pt>
                <c:pt idx="27">
                  <c:v>0.33846779838071966</c:v>
                </c:pt>
                <c:pt idx="28">
                  <c:v>0.34575822405004819</c:v>
                </c:pt>
                <c:pt idx="29">
                  <c:v>0.35359415466492</c:v>
                </c:pt>
                <c:pt idx="30">
                  <c:v>0.36021902007548129</c:v>
                </c:pt>
                <c:pt idx="31">
                  <c:v>0.366014033095719</c:v>
                </c:pt>
                <c:pt idx="32">
                  <c:v>0.36849107766301004</c:v>
                </c:pt>
                <c:pt idx="33">
                  <c:v>0.37456995741512861</c:v>
                </c:pt>
                <c:pt idx="34">
                  <c:v>0.37710513081797614</c:v>
                </c:pt>
                <c:pt idx="35">
                  <c:v>0.3863375192559047</c:v>
                </c:pt>
                <c:pt idx="36">
                  <c:v>0.39569854287171735</c:v>
                </c:pt>
                <c:pt idx="37">
                  <c:v>0.39650253097402433</c:v>
                </c:pt>
                <c:pt idx="38">
                  <c:v>0.3985897625721041</c:v>
                </c:pt>
                <c:pt idx="39">
                  <c:v>0.39131915692279301</c:v>
                </c:pt>
                <c:pt idx="40">
                  <c:v>0.39754787186850576</c:v>
                </c:pt>
                <c:pt idx="41">
                  <c:v>0.40094146504288453</c:v>
                </c:pt>
                <c:pt idx="42">
                  <c:v>0.40423689663910345</c:v>
                </c:pt>
                <c:pt idx="43">
                  <c:v>0.41631795424303619</c:v>
                </c:pt>
                <c:pt idx="44">
                  <c:v>0.41556951408846976</c:v>
                </c:pt>
                <c:pt idx="45">
                  <c:v>0.43683421854296117</c:v>
                </c:pt>
                <c:pt idx="46">
                  <c:v>0.43374355354976024</c:v>
                </c:pt>
                <c:pt idx="47">
                  <c:v>0.43739774452934566</c:v>
                </c:pt>
                <c:pt idx="48">
                  <c:v>0.44675008339081035</c:v>
                </c:pt>
                <c:pt idx="49">
                  <c:v>0.44746184921126642</c:v>
                </c:pt>
                <c:pt idx="50">
                  <c:v>0.45216363543837018</c:v>
                </c:pt>
                <c:pt idx="51">
                  <c:v>0.4519324193727996</c:v>
                </c:pt>
                <c:pt idx="52">
                  <c:v>0.46030380763883511</c:v>
                </c:pt>
                <c:pt idx="53">
                  <c:v>0.46160734193051634</c:v>
                </c:pt>
                <c:pt idx="54">
                  <c:v>0.4641477732994756</c:v>
                </c:pt>
                <c:pt idx="55">
                  <c:v>0.46545960998840641</c:v>
                </c:pt>
                <c:pt idx="56">
                  <c:v>0.46268112865794619</c:v>
                </c:pt>
                <c:pt idx="57">
                  <c:v>0.46019211612650912</c:v>
                </c:pt>
                <c:pt idx="58">
                  <c:v>0.47833431806766946</c:v>
                </c:pt>
                <c:pt idx="59">
                  <c:v>0.46874700826261206</c:v>
                </c:pt>
                <c:pt idx="60">
                  <c:v>0.48335367183629319</c:v>
                </c:pt>
                <c:pt idx="61">
                  <c:v>0.47027754541090799</c:v>
                </c:pt>
                <c:pt idx="62">
                  <c:v>0.48707032644725023</c:v>
                </c:pt>
                <c:pt idx="63">
                  <c:v>0.48859368742763665</c:v>
                </c:pt>
                <c:pt idx="64">
                  <c:v>0.49379310434194212</c:v>
                </c:pt>
                <c:pt idx="65">
                  <c:v>0.49734671659970764</c:v>
                </c:pt>
                <c:pt idx="66">
                  <c:v>0.50998129282549964</c:v>
                </c:pt>
                <c:pt idx="67">
                  <c:v>0.50153455902662269</c:v>
                </c:pt>
                <c:pt idx="68">
                  <c:v>0.51933041099104649</c:v>
                </c:pt>
                <c:pt idx="69">
                  <c:v>0.52075807488610082</c:v>
                </c:pt>
                <c:pt idx="70">
                  <c:v>0.52434845637332061</c:v>
                </c:pt>
                <c:pt idx="71">
                  <c:v>0.52757207832990305</c:v>
                </c:pt>
                <c:pt idx="72">
                  <c:v>0.54314090098857748</c:v>
                </c:pt>
                <c:pt idx="73">
                  <c:v>0.54736256722534904</c:v>
                </c:pt>
                <c:pt idx="74">
                  <c:v>0.53419641042326171</c:v>
                </c:pt>
                <c:pt idx="75">
                  <c:v>0.55454051141633631</c:v>
                </c:pt>
                <c:pt idx="76">
                  <c:v>0.56321867283402194</c:v>
                </c:pt>
                <c:pt idx="77">
                  <c:v>0.56697341270465107</c:v>
                </c:pt>
                <c:pt idx="78">
                  <c:v>0.57504634880716254</c:v>
                </c:pt>
                <c:pt idx="79">
                  <c:v>0.57601283405445058</c:v>
                </c:pt>
                <c:pt idx="80">
                  <c:v>0.54566640829627377</c:v>
                </c:pt>
                <c:pt idx="81">
                  <c:v>0.5800920439106767</c:v>
                </c:pt>
                <c:pt idx="82">
                  <c:v>0.5716781651959012</c:v>
                </c:pt>
                <c:pt idx="83">
                  <c:v>0.56414991019050198</c:v>
                </c:pt>
                <c:pt idx="84">
                  <c:v>0.58869326404126598</c:v>
                </c:pt>
                <c:pt idx="85">
                  <c:v>0.57529612988726542</c:v>
                </c:pt>
                <c:pt idx="86">
                  <c:v>0.59170561619892159</c:v>
                </c:pt>
                <c:pt idx="87">
                  <c:v>0.59763711036050782</c:v>
                </c:pt>
                <c:pt idx="88">
                  <c:v>0.60078297849681883</c:v>
                </c:pt>
                <c:pt idx="89">
                  <c:v>0.57742212346294353</c:v>
                </c:pt>
                <c:pt idx="90">
                  <c:v>0.61210916395572146</c:v>
                </c:pt>
                <c:pt idx="91">
                  <c:v>0.61913036709039881</c:v>
                </c:pt>
                <c:pt idx="92">
                  <c:v>0.61653342029042912</c:v>
                </c:pt>
                <c:pt idx="93">
                  <c:v>0.60557619996928091</c:v>
                </c:pt>
                <c:pt idx="94">
                  <c:v>0.61895512927970908</c:v>
                </c:pt>
                <c:pt idx="95">
                  <c:v>0.62004884788442538</c:v>
                </c:pt>
                <c:pt idx="96">
                  <c:v>0.63122706237987514</c:v>
                </c:pt>
                <c:pt idx="97">
                  <c:v>0.62947811978877277</c:v>
                </c:pt>
                <c:pt idx="98">
                  <c:v>0.61374457258537396</c:v>
                </c:pt>
                <c:pt idx="99">
                  <c:v>0.63677799212894515</c:v>
                </c:pt>
                <c:pt idx="100">
                  <c:v>0.63824877270112101</c:v>
                </c:pt>
                <c:pt idx="101">
                  <c:v>0.63734288024599195</c:v>
                </c:pt>
                <c:pt idx="102">
                  <c:v>0.62847357357812794</c:v>
                </c:pt>
                <c:pt idx="103">
                  <c:v>0.61531020405345715</c:v>
                </c:pt>
                <c:pt idx="104">
                  <c:v>0.6491138502448569</c:v>
                </c:pt>
                <c:pt idx="105">
                  <c:v>0.65244929344016456</c:v>
                </c:pt>
                <c:pt idx="106">
                  <c:v>0.65692982395357058</c:v>
                </c:pt>
                <c:pt idx="107">
                  <c:v>0.65819630330874745</c:v>
                </c:pt>
                <c:pt idx="108">
                  <c:v>0.66845403586618346</c:v>
                </c:pt>
                <c:pt idx="109">
                  <c:v>0.6090967456528863</c:v>
                </c:pt>
                <c:pt idx="110">
                  <c:v>0.6639431215915198</c:v>
                </c:pt>
                <c:pt idx="111">
                  <c:v>0.67541857802732252</c:v>
                </c:pt>
                <c:pt idx="112">
                  <c:v>0.67540209972574949</c:v>
                </c:pt>
                <c:pt idx="113">
                  <c:v>0.68428988555926762</c:v>
                </c:pt>
                <c:pt idx="114">
                  <c:v>0.68762854232137627</c:v>
                </c:pt>
                <c:pt idx="115">
                  <c:v>0.68753680816446938</c:v>
                </c:pt>
                <c:pt idx="116">
                  <c:v>0.68688310316688117</c:v>
                </c:pt>
                <c:pt idx="117">
                  <c:v>0.70674989447027492</c:v>
                </c:pt>
                <c:pt idx="118">
                  <c:v>0.71846756283756186</c:v>
                </c:pt>
                <c:pt idx="119">
                  <c:v>0.71751972208979797</c:v>
                </c:pt>
                <c:pt idx="120">
                  <c:v>0.71491397351591224</c:v>
                </c:pt>
                <c:pt idx="121">
                  <c:v>0.71578115215308769</c:v>
                </c:pt>
                <c:pt idx="122">
                  <c:v>0.73059762813459073</c:v>
                </c:pt>
                <c:pt idx="123">
                  <c:v>0.73048189366049676</c:v>
                </c:pt>
                <c:pt idx="124">
                  <c:v>0.72674089527632424</c:v>
                </c:pt>
                <c:pt idx="125">
                  <c:v>0.7344707037034871</c:v>
                </c:pt>
                <c:pt idx="126">
                  <c:v>0.73634565926464846</c:v>
                </c:pt>
                <c:pt idx="127">
                  <c:v>0.73780065945788154</c:v>
                </c:pt>
                <c:pt idx="128">
                  <c:v>0.72979439740483498</c:v>
                </c:pt>
                <c:pt idx="129">
                  <c:v>0.74068067293943762</c:v>
                </c:pt>
                <c:pt idx="130">
                  <c:v>0.74899751949964055</c:v>
                </c:pt>
                <c:pt idx="131">
                  <c:v>0.74165863161467327</c:v>
                </c:pt>
                <c:pt idx="132">
                  <c:v>0.74845581766168812</c:v>
                </c:pt>
                <c:pt idx="133">
                  <c:v>0.7586893606221643</c:v>
                </c:pt>
                <c:pt idx="134">
                  <c:v>0.78645491294938097</c:v>
                </c:pt>
                <c:pt idx="135">
                  <c:v>0.79194107187655116</c:v>
                </c:pt>
                <c:pt idx="136">
                  <c:v>0.80292272906041129</c:v>
                </c:pt>
                <c:pt idx="137">
                  <c:v>0.80161785012996956</c:v>
                </c:pt>
                <c:pt idx="138">
                  <c:v>0.78962137365929397</c:v>
                </c:pt>
                <c:pt idx="139">
                  <c:v>0.78891248252664037</c:v>
                </c:pt>
                <c:pt idx="140">
                  <c:v>0.79144632066750442</c:v>
                </c:pt>
                <c:pt idx="141">
                  <c:v>0.82156360032299125</c:v>
                </c:pt>
                <c:pt idx="142">
                  <c:v>0.80929332435421364</c:v>
                </c:pt>
                <c:pt idx="143">
                  <c:v>0.83299470041573076</c:v>
                </c:pt>
                <c:pt idx="144">
                  <c:v>0.83082486714324733</c:v>
                </c:pt>
                <c:pt idx="145">
                  <c:v>0.82760698240579667</c:v>
                </c:pt>
                <c:pt idx="146">
                  <c:v>0.8749549407908056</c:v>
                </c:pt>
                <c:pt idx="147">
                  <c:v>0.89238336607848723</c:v>
                </c:pt>
                <c:pt idx="148">
                  <c:v>0.90676959009852853</c:v>
                </c:pt>
                <c:pt idx="149">
                  <c:v>0.90601254395278552</c:v>
                </c:pt>
              </c:numCache>
            </c:numRef>
          </c:xVal>
          <c:yVal>
            <c:numRef>
              <c:f>'pred X, share NF'!$C$2:$C$151</c:f>
              <c:numCache>
                <c:formatCode>General</c:formatCode>
                <c:ptCount val="150"/>
                <c:pt idx="0">
                  <c:v>0.96388679499999996</c:v>
                </c:pt>
                <c:pt idx="1">
                  <c:v>0.95429370899999999</c:v>
                </c:pt>
                <c:pt idx="2">
                  <c:v>0.914170021</c:v>
                </c:pt>
                <c:pt idx="3">
                  <c:v>0.900533001</c:v>
                </c:pt>
                <c:pt idx="4">
                  <c:v>0.83541327099999996</c:v>
                </c:pt>
                <c:pt idx="5">
                  <c:v>0.82367858100000002</c:v>
                </c:pt>
                <c:pt idx="6">
                  <c:v>0.79543077900000003</c:v>
                </c:pt>
                <c:pt idx="7">
                  <c:v>0.78814933600000003</c:v>
                </c:pt>
                <c:pt idx="8">
                  <c:v>0.78633788999999998</c:v>
                </c:pt>
                <c:pt idx="9">
                  <c:v>0.78463571799999998</c:v>
                </c:pt>
                <c:pt idx="10">
                  <c:v>0.78160302699999995</c:v>
                </c:pt>
                <c:pt idx="11">
                  <c:v>0.75144589299999998</c:v>
                </c:pt>
                <c:pt idx="12">
                  <c:v>0.74613497600000001</c:v>
                </c:pt>
                <c:pt idx="13">
                  <c:v>0.72574130299999995</c:v>
                </c:pt>
                <c:pt idx="14">
                  <c:v>0.72520663200000002</c:v>
                </c:pt>
                <c:pt idx="15">
                  <c:v>0.72411968999999998</c:v>
                </c:pt>
                <c:pt idx="16">
                  <c:v>0.72343192199999995</c:v>
                </c:pt>
                <c:pt idx="17">
                  <c:v>0.71780519300000001</c:v>
                </c:pt>
                <c:pt idx="18">
                  <c:v>0.71759039899999999</c:v>
                </c:pt>
                <c:pt idx="19">
                  <c:v>0.70379149799999996</c:v>
                </c:pt>
                <c:pt idx="20">
                  <c:v>0.70124230799999998</c:v>
                </c:pt>
                <c:pt idx="21">
                  <c:v>0.69891608599999999</c:v>
                </c:pt>
                <c:pt idx="22">
                  <c:v>0.68136395999999999</c:v>
                </c:pt>
                <c:pt idx="23">
                  <c:v>0.68080307100000004</c:v>
                </c:pt>
                <c:pt idx="24">
                  <c:v>0.67380086800000005</c:v>
                </c:pt>
                <c:pt idx="25">
                  <c:v>0.66708140800000004</c:v>
                </c:pt>
                <c:pt idx="26">
                  <c:v>0.66387242599999996</c:v>
                </c:pt>
                <c:pt idx="27">
                  <c:v>0.66110414100000003</c:v>
                </c:pt>
                <c:pt idx="28">
                  <c:v>0.65410173999999999</c:v>
                </c:pt>
                <c:pt idx="29">
                  <c:v>0.64567759000000002</c:v>
                </c:pt>
                <c:pt idx="30">
                  <c:v>0.635292525</c:v>
                </c:pt>
                <c:pt idx="31">
                  <c:v>0.63261157000000001</c:v>
                </c:pt>
                <c:pt idx="32">
                  <c:v>0.62794960899999996</c:v>
                </c:pt>
                <c:pt idx="33">
                  <c:v>0.62236150400000001</c:v>
                </c:pt>
                <c:pt idx="34">
                  <c:v>0.622068442</c:v>
                </c:pt>
                <c:pt idx="35">
                  <c:v>0.613116526</c:v>
                </c:pt>
                <c:pt idx="36">
                  <c:v>0.60305613000000002</c:v>
                </c:pt>
                <c:pt idx="37">
                  <c:v>0.60153123500000005</c:v>
                </c:pt>
                <c:pt idx="38">
                  <c:v>0.60120030099999999</c:v>
                </c:pt>
                <c:pt idx="39">
                  <c:v>0.60058685300000003</c:v>
                </c:pt>
                <c:pt idx="40">
                  <c:v>0.59779506999999998</c:v>
                </c:pt>
                <c:pt idx="41">
                  <c:v>0.59424039900000003</c:v>
                </c:pt>
                <c:pt idx="42">
                  <c:v>0.59256508200000002</c:v>
                </c:pt>
                <c:pt idx="43">
                  <c:v>0.58318699699999998</c:v>
                </c:pt>
                <c:pt idx="44">
                  <c:v>0.58212101199999999</c:v>
                </c:pt>
                <c:pt idx="45">
                  <c:v>0.56203840000000005</c:v>
                </c:pt>
                <c:pt idx="46">
                  <c:v>0.56191406399999999</c:v>
                </c:pt>
                <c:pt idx="47">
                  <c:v>0.56162773499999996</c:v>
                </c:pt>
                <c:pt idx="48">
                  <c:v>0.55289980699999997</c:v>
                </c:pt>
                <c:pt idx="49">
                  <c:v>0.551455217</c:v>
                </c:pt>
                <c:pt idx="50">
                  <c:v>0.547391937</c:v>
                </c:pt>
                <c:pt idx="51">
                  <c:v>0.54101719800000003</c:v>
                </c:pt>
                <c:pt idx="52">
                  <c:v>0.53892484699999998</c:v>
                </c:pt>
                <c:pt idx="53">
                  <c:v>0.536713365</c:v>
                </c:pt>
                <c:pt idx="54">
                  <c:v>0.53387918999999995</c:v>
                </c:pt>
                <c:pt idx="55">
                  <c:v>0.53250798899999996</c:v>
                </c:pt>
                <c:pt idx="56">
                  <c:v>0.53139436600000001</c:v>
                </c:pt>
                <c:pt idx="57">
                  <c:v>0.528636946</c:v>
                </c:pt>
                <c:pt idx="58">
                  <c:v>0.52141172899999999</c:v>
                </c:pt>
                <c:pt idx="59">
                  <c:v>0.519595641</c:v>
                </c:pt>
                <c:pt idx="60">
                  <c:v>0.51456521700000002</c:v>
                </c:pt>
                <c:pt idx="61">
                  <c:v>0.51300097499999997</c:v>
                </c:pt>
                <c:pt idx="62">
                  <c:v>0.51125796800000001</c:v>
                </c:pt>
                <c:pt idx="63">
                  <c:v>0.50667757099999999</c:v>
                </c:pt>
                <c:pt idx="64">
                  <c:v>0.50361650499999999</c:v>
                </c:pt>
                <c:pt idx="65">
                  <c:v>0.50226448599999995</c:v>
                </c:pt>
                <c:pt idx="66">
                  <c:v>0.48898060399999999</c:v>
                </c:pt>
                <c:pt idx="67">
                  <c:v>0.48852269300000001</c:v>
                </c:pt>
                <c:pt idx="68">
                  <c:v>0.47818849000000002</c:v>
                </c:pt>
                <c:pt idx="69">
                  <c:v>0.478081119</c:v>
                </c:pt>
                <c:pt idx="70">
                  <c:v>0.472188685</c:v>
                </c:pt>
                <c:pt idx="71">
                  <c:v>0.46980423500000001</c:v>
                </c:pt>
                <c:pt idx="72">
                  <c:v>0.455371256</c:v>
                </c:pt>
                <c:pt idx="73">
                  <c:v>0.45196046699999998</c:v>
                </c:pt>
                <c:pt idx="74">
                  <c:v>0.45150403500000003</c:v>
                </c:pt>
                <c:pt idx="75">
                  <c:v>0.44070870699999998</c:v>
                </c:pt>
                <c:pt idx="76">
                  <c:v>0.43348848899999998</c:v>
                </c:pt>
                <c:pt idx="77">
                  <c:v>0.42498150899999998</c:v>
                </c:pt>
                <c:pt idx="78">
                  <c:v>0.42315613400000002</c:v>
                </c:pt>
                <c:pt idx="79">
                  <c:v>0.42107308500000001</c:v>
                </c:pt>
                <c:pt idx="80">
                  <c:v>0.42060281100000002</c:v>
                </c:pt>
                <c:pt idx="81">
                  <c:v>0.41820252299999999</c:v>
                </c:pt>
                <c:pt idx="82">
                  <c:v>0.41704443400000002</c:v>
                </c:pt>
                <c:pt idx="83">
                  <c:v>0.41208433100000003</c:v>
                </c:pt>
                <c:pt idx="84">
                  <c:v>0.41080534899999999</c:v>
                </c:pt>
                <c:pt idx="85">
                  <c:v>0.40764459800000002</c:v>
                </c:pt>
                <c:pt idx="86">
                  <c:v>0.40726032400000001</c:v>
                </c:pt>
                <c:pt idx="87">
                  <c:v>0.39946965000000001</c:v>
                </c:pt>
                <c:pt idx="88">
                  <c:v>0.39898909199999999</c:v>
                </c:pt>
                <c:pt idx="89">
                  <c:v>0.39016835799999999</c:v>
                </c:pt>
                <c:pt idx="90">
                  <c:v>0.38565693299999998</c:v>
                </c:pt>
                <c:pt idx="91">
                  <c:v>0.37970220199999999</c:v>
                </c:pt>
                <c:pt idx="92">
                  <c:v>0.379105099</c:v>
                </c:pt>
                <c:pt idx="93">
                  <c:v>0.37850394100000001</c:v>
                </c:pt>
                <c:pt idx="94">
                  <c:v>0.37764537500000001</c:v>
                </c:pt>
                <c:pt idx="95">
                  <c:v>0.36868838700000001</c:v>
                </c:pt>
                <c:pt idx="96">
                  <c:v>0.36733592900000001</c:v>
                </c:pt>
                <c:pt idx="97">
                  <c:v>0.36702229800000002</c:v>
                </c:pt>
                <c:pt idx="98">
                  <c:v>0.36425970800000002</c:v>
                </c:pt>
                <c:pt idx="99">
                  <c:v>0.36151967699999998</c:v>
                </c:pt>
                <c:pt idx="100">
                  <c:v>0.360576234</c:v>
                </c:pt>
                <c:pt idx="101">
                  <c:v>0.35898487699999998</c:v>
                </c:pt>
                <c:pt idx="102">
                  <c:v>0.35667789500000002</c:v>
                </c:pt>
                <c:pt idx="103">
                  <c:v>0.35605704199999999</c:v>
                </c:pt>
                <c:pt idx="104">
                  <c:v>0.34427533799999999</c:v>
                </c:pt>
                <c:pt idx="105">
                  <c:v>0.34026008000000002</c:v>
                </c:pt>
                <c:pt idx="106">
                  <c:v>0.33932266300000002</c:v>
                </c:pt>
                <c:pt idx="107">
                  <c:v>0.33801897600000003</c:v>
                </c:pt>
                <c:pt idx="108">
                  <c:v>0.32900984</c:v>
                </c:pt>
                <c:pt idx="109">
                  <c:v>0.32731933899999999</c:v>
                </c:pt>
                <c:pt idx="110">
                  <c:v>0.32594350100000002</c:v>
                </c:pt>
                <c:pt idx="111">
                  <c:v>0.32180504399999998</c:v>
                </c:pt>
                <c:pt idx="112">
                  <c:v>0.31486710800000001</c:v>
                </c:pt>
                <c:pt idx="113">
                  <c:v>0.31439820400000001</c:v>
                </c:pt>
                <c:pt idx="114">
                  <c:v>0.31164372400000001</c:v>
                </c:pt>
                <c:pt idx="115">
                  <c:v>0.30984051699999998</c:v>
                </c:pt>
                <c:pt idx="116">
                  <c:v>0.30892226</c:v>
                </c:pt>
                <c:pt idx="117">
                  <c:v>0.28665256700000002</c:v>
                </c:pt>
                <c:pt idx="118">
                  <c:v>0.28032026300000001</c:v>
                </c:pt>
                <c:pt idx="119">
                  <c:v>0.27928071599999998</c:v>
                </c:pt>
                <c:pt idx="120">
                  <c:v>0.27914650800000002</c:v>
                </c:pt>
                <c:pt idx="121">
                  <c:v>0.278274572</c:v>
                </c:pt>
                <c:pt idx="122">
                  <c:v>0.26596719600000002</c:v>
                </c:pt>
                <c:pt idx="123">
                  <c:v>0.26457915900000001</c:v>
                </c:pt>
                <c:pt idx="124">
                  <c:v>0.26452703900000002</c:v>
                </c:pt>
                <c:pt idx="125">
                  <c:v>0.26277341399999998</c:v>
                </c:pt>
                <c:pt idx="126">
                  <c:v>0.258950183</c:v>
                </c:pt>
                <c:pt idx="127">
                  <c:v>0.256443435</c:v>
                </c:pt>
                <c:pt idx="128">
                  <c:v>0.25570690000000001</c:v>
                </c:pt>
                <c:pt idx="129">
                  <c:v>0.25346732799999999</c:v>
                </c:pt>
                <c:pt idx="130">
                  <c:v>0.245650589</c:v>
                </c:pt>
                <c:pt idx="131">
                  <c:v>0.24433861900000001</c:v>
                </c:pt>
                <c:pt idx="132">
                  <c:v>0.23693046500000001</c:v>
                </c:pt>
                <c:pt idx="133">
                  <c:v>0.23152318099999999</c:v>
                </c:pt>
                <c:pt idx="134">
                  <c:v>0.20393884200000001</c:v>
                </c:pt>
                <c:pt idx="135">
                  <c:v>0.19965756500000001</c:v>
                </c:pt>
                <c:pt idx="136">
                  <c:v>0.19013108200000001</c:v>
                </c:pt>
                <c:pt idx="137">
                  <c:v>0.188911308</c:v>
                </c:pt>
                <c:pt idx="138">
                  <c:v>0.18757943199999999</c:v>
                </c:pt>
                <c:pt idx="139">
                  <c:v>0.17745027599999999</c:v>
                </c:pt>
                <c:pt idx="140">
                  <c:v>0.17089875299999999</c:v>
                </c:pt>
                <c:pt idx="141">
                  <c:v>0.16467811600000001</c:v>
                </c:pt>
                <c:pt idx="142">
                  <c:v>0.163947023</c:v>
                </c:pt>
                <c:pt idx="143">
                  <c:v>0.16138944399999999</c:v>
                </c:pt>
                <c:pt idx="144">
                  <c:v>0.16039577499999999</c:v>
                </c:pt>
                <c:pt idx="145">
                  <c:v>0.15415731299999999</c:v>
                </c:pt>
                <c:pt idx="146">
                  <c:v>0.103774984</c:v>
                </c:pt>
                <c:pt idx="147">
                  <c:v>9.9278111000000002E-2</c:v>
                </c:pt>
                <c:pt idx="148">
                  <c:v>7.8479853000000002E-2</c:v>
                </c:pt>
                <c:pt idx="149">
                  <c:v>7.5378101000000003E-2</c:v>
                </c:pt>
              </c:numCache>
            </c:numRef>
          </c:yVal>
          <c:bubbleSize>
            <c:numRef>
              <c:f>'pred X, share NF'!$F$2:$F$151</c:f>
              <c:numCache>
                <c:formatCode>General</c:formatCode>
                <c:ptCount val="150"/>
                <c:pt idx="0">
                  <c:v>202120283.03949672</c:v>
                </c:pt>
                <c:pt idx="1">
                  <c:v>390321540.17124969</c:v>
                </c:pt>
                <c:pt idx="2">
                  <c:v>122079835.12947166</c:v>
                </c:pt>
                <c:pt idx="3">
                  <c:v>428662955.41883838</c:v>
                </c:pt>
                <c:pt idx="4">
                  <c:v>441623119.65957773</c:v>
                </c:pt>
                <c:pt idx="5">
                  <c:v>136578611.6425299</c:v>
                </c:pt>
                <c:pt idx="6">
                  <c:v>148380057.90483379</c:v>
                </c:pt>
                <c:pt idx="7">
                  <c:v>43448264.373436481</c:v>
                </c:pt>
                <c:pt idx="8">
                  <c:v>87625042.049916968</c:v>
                </c:pt>
                <c:pt idx="9">
                  <c:v>284180006.61330116</c:v>
                </c:pt>
                <c:pt idx="10">
                  <c:v>136428576.44812822</c:v>
                </c:pt>
                <c:pt idx="11">
                  <c:v>113721788.22507937</c:v>
                </c:pt>
                <c:pt idx="12">
                  <c:v>22477055.251377668</c:v>
                </c:pt>
                <c:pt idx="13">
                  <c:v>36237426.544637807</c:v>
                </c:pt>
                <c:pt idx="14">
                  <c:v>57700633.925120458</c:v>
                </c:pt>
                <c:pt idx="15">
                  <c:v>107027118.29293226</c:v>
                </c:pt>
                <c:pt idx="16">
                  <c:v>174290062.35676041</c:v>
                </c:pt>
                <c:pt idx="17">
                  <c:v>64110716.254963629</c:v>
                </c:pt>
                <c:pt idx="18">
                  <c:v>94039021.208949357</c:v>
                </c:pt>
                <c:pt idx="19">
                  <c:v>32192672.545018081</c:v>
                </c:pt>
                <c:pt idx="20">
                  <c:v>121433601.68587469</c:v>
                </c:pt>
                <c:pt idx="21">
                  <c:v>7172463.216509765</c:v>
                </c:pt>
                <c:pt idx="22">
                  <c:v>92491160.4528227</c:v>
                </c:pt>
                <c:pt idx="23">
                  <c:v>46050973.427760288</c:v>
                </c:pt>
                <c:pt idx="24">
                  <c:v>25706874.548554286</c:v>
                </c:pt>
                <c:pt idx="25">
                  <c:v>17729475.456173785</c:v>
                </c:pt>
                <c:pt idx="26">
                  <c:v>4417508.9048252599</c:v>
                </c:pt>
                <c:pt idx="27">
                  <c:v>10454443.303727521</c:v>
                </c:pt>
                <c:pt idx="28">
                  <c:v>68247867.54483591</c:v>
                </c:pt>
                <c:pt idx="29">
                  <c:v>33367574.297735978</c:v>
                </c:pt>
                <c:pt idx="30">
                  <c:v>72241286.291770935</c:v>
                </c:pt>
                <c:pt idx="31">
                  <c:v>1481368.436624045</c:v>
                </c:pt>
                <c:pt idx="32">
                  <c:v>6356760.4105570456</c:v>
                </c:pt>
                <c:pt idx="33">
                  <c:v>2138014.4637233578</c:v>
                </c:pt>
                <c:pt idx="34">
                  <c:v>69880859.654010937</c:v>
                </c:pt>
                <c:pt idx="35">
                  <c:v>37551387.219004646</c:v>
                </c:pt>
                <c:pt idx="36">
                  <c:v>1573128.3340593441</c:v>
                </c:pt>
                <c:pt idx="37">
                  <c:v>577954.92711615376</c:v>
                </c:pt>
                <c:pt idx="38">
                  <c:v>51330834.586009495</c:v>
                </c:pt>
                <c:pt idx="39">
                  <c:v>39845643.784060851</c:v>
                </c:pt>
                <c:pt idx="40">
                  <c:v>15336970.365730897</c:v>
                </c:pt>
                <c:pt idx="41">
                  <c:v>7128390.5956060896</c:v>
                </c:pt>
                <c:pt idx="42">
                  <c:v>69391.205125968656</c:v>
                </c:pt>
                <c:pt idx="43">
                  <c:v>30264689.361717187</c:v>
                </c:pt>
                <c:pt idx="44">
                  <c:v>46292027.455819003</c:v>
                </c:pt>
                <c:pt idx="45">
                  <c:v>9335185.3095195964</c:v>
                </c:pt>
                <c:pt idx="46">
                  <c:v>3781988.7091792622</c:v>
                </c:pt>
                <c:pt idx="47">
                  <c:v>4327719.5450265622</c:v>
                </c:pt>
                <c:pt idx="48">
                  <c:v>43588585.621401183</c:v>
                </c:pt>
                <c:pt idx="49">
                  <c:v>331135.67041530774</c:v>
                </c:pt>
                <c:pt idx="50">
                  <c:v>21271257.943587895</c:v>
                </c:pt>
                <c:pt idx="51">
                  <c:v>20216373.216650229</c:v>
                </c:pt>
                <c:pt idx="52">
                  <c:v>7924659.3222711552</c:v>
                </c:pt>
                <c:pt idx="53">
                  <c:v>3115311.6202622061</c:v>
                </c:pt>
                <c:pt idx="54">
                  <c:v>139838.32976242746</c:v>
                </c:pt>
                <c:pt idx="55">
                  <c:v>10098546.737263557</c:v>
                </c:pt>
                <c:pt idx="56">
                  <c:v>678620.75648585684</c:v>
                </c:pt>
                <c:pt idx="57">
                  <c:v>1535948.5074920245</c:v>
                </c:pt>
                <c:pt idx="58">
                  <c:v>31943003.064991981</c:v>
                </c:pt>
                <c:pt idx="59">
                  <c:v>1406201.5738732016</c:v>
                </c:pt>
                <c:pt idx="60">
                  <c:v>331978.84727668477</c:v>
                </c:pt>
                <c:pt idx="61">
                  <c:v>12132750.867571184</c:v>
                </c:pt>
                <c:pt idx="62">
                  <c:v>31196.391226495347</c:v>
                </c:pt>
                <c:pt idx="63">
                  <c:v>1297614.0958930827</c:v>
                </c:pt>
                <c:pt idx="64">
                  <c:v>564384.66092070867</c:v>
                </c:pt>
                <c:pt idx="65">
                  <c:v>62050797.530033007</c:v>
                </c:pt>
                <c:pt idx="66">
                  <c:v>4986806.6765908543</c:v>
                </c:pt>
                <c:pt idx="67">
                  <c:v>41232.854902729145</c:v>
                </c:pt>
                <c:pt idx="68">
                  <c:v>26867.535342910131</c:v>
                </c:pt>
                <c:pt idx="69">
                  <c:v>24169164.620867893</c:v>
                </c:pt>
                <c:pt idx="70">
                  <c:v>7729.8274221984811</c:v>
                </c:pt>
                <c:pt idx="71">
                  <c:v>782976.8593816607</c:v>
                </c:pt>
                <c:pt idx="72">
                  <c:v>73375148.493242845</c:v>
                </c:pt>
                <c:pt idx="73">
                  <c:v>17136700.555042543</c:v>
                </c:pt>
                <c:pt idx="74">
                  <c:v>18043.890150651659</c:v>
                </c:pt>
                <c:pt idx="75">
                  <c:v>2224.9930741283179</c:v>
                </c:pt>
                <c:pt idx="76">
                  <c:v>31057.543899738477</c:v>
                </c:pt>
                <c:pt idx="77">
                  <c:v>140051.778832468</c:v>
                </c:pt>
                <c:pt idx="78">
                  <c:v>1847758.0609194227</c:v>
                </c:pt>
                <c:pt idx="79">
                  <c:v>54659813.524065159</c:v>
                </c:pt>
                <c:pt idx="80">
                  <c:v>4399728.7735769376</c:v>
                </c:pt>
                <c:pt idx="81">
                  <c:v>8345794.6100375419</c:v>
                </c:pt>
                <c:pt idx="82">
                  <c:v>341355.08324960241</c:v>
                </c:pt>
                <c:pt idx="83">
                  <c:v>1622520.5740286072</c:v>
                </c:pt>
                <c:pt idx="84">
                  <c:v>70761008.426258937</c:v>
                </c:pt>
                <c:pt idx="85">
                  <c:v>4273384.339282576</c:v>
                </c:pt>
                <c:pt idx="86">
                  <c:v>11594901.511237176</c:v>
                </c:pt>
                <c:pt idx="87">
                  <c:v>10075509.581873039</c:v>
                </c:pt>
                <c:pt idx="88">
                  <c:v>22491913.101808537</c:v>
                </c:pt>
                <c:pt idx="89">
                  <c:v>3701334.4065043437</c:v>
                </c:pt>
                <c:pt idx="90">
                  <c:v>381099.77539239603</c:v>
                </c:pt>
                <c:pt idx="91">
                  <c:v>39127357.974577919</c:v>
                </c:pt>
                <c:pt idx="92">
                  <c:v>96315.707936301536</c:v>
                </c:pt>
                <c:pt idx="93">
                  <c:v>92787.548068113261</c:v>
                </c:pt>
                <c:pt idx="94">
                  <c:v>38381.588102714981</c:v>
                </c:pt>
                <c:pt idx="95">
                  <c:v>3172844.7369228187</c:v>
                </c:pt>
                <c:pt idx="96">
                  <c:v>16538795.545556108</c:v>
                </c:pt>
                <c:pt idx="97">
                  <c:v>37952.205458488032</c:v>
                </c:pt>
                <c:pt idx="98">
                  <c:v>378389.83071499545</c:v>
                </c:pt>
                <c:pt idx="99">
                  <c:v>3766693.4959909795</c:v>
                </c:pt>
                <c:pt idx="100">
                  <c:v>20862648.498381432</c:v>
                </c:pt>
                <c:pt idx="101">
                  <c:v>66214.180572876867</c:v>
                </c:pt>
                <c:pt idx="102">
                  <c:v>1982702.7403106045</c:v>
                </c:pt>
                <c:pt idx="103">
                  <c:v>79911.65262260141</c:v>
                </c:pt>
                <c:pt idx="104">
                  <c:v>1625.5901472011492</c:v>
                </c:pt>
                <c:pt idx="105">
                  <c:v>6103.4895740461516</c:v>
                </c:pt>
                <c:pt idx="106">
                  <c:v>8868498.7563145198</c:v>
                </c:pt>
                <c:pt idx="107">
                  <c:v>1404936.7439007377</c:v>
                </c:pt>
                <c:pt idx="108">
                  <c:v>51324548.899328433</c:v>
                </c:pt>
                <c:pt idx="109">
                  <c:v>1583069.9020063032</c:v>
                </c:pt>
                <c:pt idx="110">
                  <c:v>175217.75475232516</c:v>
                </c:pt>
                <c:pt idx="111">
                  <c:v>6786140.5985156661</c:v>
                </c:pt>
                <c:pt idx="112">
                  <c:v>29125.315890307036</c:v>
                </c:pt>
                <c:pt idx="113">
                  <c:v>8149496.1603914136</c:v>
                </c:pt>
                <c:pt idx="114">
                  <c:v>59467442.860420607</c:v>
                </c:pt>
                <c:pt idx="115">
                  <c:v>18828653.177854389</c:v>
                </c:pt>
                <c:pt idx="116">
                  <c:v>29019971.972854387</c:v>
                </c:pt>
                <c:pt idx="117">
                  <c:v>733205.83621926524</c:v>
                </c:pt>
                <c:pt idx="118">
                  <c:v>44906553.735356078</c:v>
                </c:pt>
                <c:pt idx="119">
                  <c:v>1189654.6820602396</c:v>
                </c:pt>
                <c:pt idx="120">
                  <c:v>156764.12659752675</c:v>
                </c:pt>
                <c:pt idx="121">
                  <c:v>2997256.4267127253</c:v>
                </c:pt>
                <c:pt idx="122">
                  <c:v>499324.23309038661</c:v>
                </c:pt>
                <c:pt idx="123">
                  <c:v>14176.667355132349</c:v>
                </c:pt>
                <c:pt idx="124">
                  <c:v>2465044.7649656208</c:v>
                </c:pt>
                <c:pt idx="125">
                  <c:v>4633.8752145573562</c:v>
                </c:pt>
                <c:pt idx="126">
                  <c:v>27207373.675841704</c:v>
                </c:pt>
                <c:pt idx="127">
                  <c:v>322122.5812449872</c:v>
                </c:pt>
                <c:pt idx="128">
                  <c:v>10080570.030634454</c:v>
                </c:pt>
                <c:pt idx="129">
                  <c:v>243549.27003938516</c:v>
                </c:pt>
                <c:pt idx="130">
                  <c:v>41240.481452584339</c:v>
                </c:pt>
                <c:pt idx="131">
                  <c:v>916152.516063118</c:v>
                </c:pt>
                <c:pt idx="132">
                  <c:v>1209063.9862532273</c:v>
                </c:pt>
                <c:pt idx="133">
                  <c:v>22640.461070784819</c:v>
                </c:pt>
                <c:pt idx="134">
                  <c:v>370054.01021605491</c:v>
                </c:pt>
                <c:pt idx="135">
                  <c:v>7462271.5123742353</c:v>
                </c:pt>
                <c:pt idx="136">
                  <c:v>3080072.5142880757</c:v>
                </c:pt>
                <c:pt idx="137">
                  <c:v>1098746.6107566324</c:v>
                </c:pt>
                <c:pt idx="138">
                  <c:v>3764629.6054491648</c:v>
                </c:pt>
                <c:pt idx="139">
                  <c:v>1388385.0523044465</c:v>
                </c:pt>
                <c:pt idx="140">
                  <c:v>909051.74037050514</c:v>
                </c:pt>
                <c:pt idx="141">
                  <c:v>657602.53515903617</c:v>
                </c:pt>
                <c:pt idx="142">
                  <c:v>3161039.0193730751</c:v>
                </c:pt>
                <c:pt idx="143">
                  <c:v>3380.2755908652366</c:v>
                </c:pt>
                <c:pt idx="144">
                  <c:v>408725.40266234684</c:v>
                </c:pt>
                <c:pt idx="145">
                  <c:v>17629.594067457689</c:v>
                </c:pt>
                <c:pt idx="146">
                  <c:v>194130.64723962356</c:v>
                </c:pt>
                <c:pt idx="147">
                  <c:v>131720.66823613195</c:v>
                </c:pt>
                <c:pt idx="148">
                  <c:v>53487.767067162509</c:v>
                </c:pt>
                <c:pt idx="149">
                  <c:v>723339.15760138072</c:v>
                </c:pt>
              </c:numCache>
            </c:numRef>
          </c:bubbleSize>
          <c:bubble3D val="0"/>
          <c:extLst>
            <c:ext xmlns:c16="http://schemas.microsoft.com/office/drawing/2014/chart" uri="{C3380CC4-5D6E-409C-BE32-E72D297353CC}">
              <c16:uniqueId val="{00000001-C544-4810-8C42-0229C429C02D}"/>
            </c:ext>
          </c:extLst>
        </c:ser>
        <c:dLbls>
          <c:showLegendKey val="0"/>
          <c:showVal val="0"/>
          <c:showCatName val="0"/>
          <c:showSerName val="0"/>
          <c:showPercent val="0"/>
          <c:showBubbleSize val="0"/>
        </c:dLbls>
        <c:bubbleScale val="10"/>
        <c:showNegBubbles val="0"/>
        <c:axId val="1191883536"/>
        <c:axId val="1191884368"/>
      </c:bubbleChart>
      <c:valAx>
        <c:axId val="11918835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Share M2L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884368"/>
        <c:crosses val="autoZero"/>
        <c:crossBetween val="midCat"/>
      </c:valAx>
      <c:valAx>
        <c:axId val="1191884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Share P2P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883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9050" cap="rnd">
              <a:noFill/>
              <a:round/>
            </a:ln>
            <a:effectLst/>
          </c:spPr>
          <c:marker>
            <c:symbol val="circle"/>
            <c:size val="2"/>
            <c:spPr>
              <a:solidFill>
                <a:schemeClr val="tx1"/>
              </a:solidFill>
              <a:ln w="3175">
                <a:noFill/>
              </a:ln>
              <a:effectLst/>
            </c:spPr>
          </c:marker>
          <c:xVal>
            <c:numRef>
              <c:f>'pred X, share NF'!$H$2:$H$151</c:f>
              <c:numCache>
                <c:formatCode>General</c:formatCode>
                <c:ptCount val="150"/>
                <c:pt idx="0">
                  <c:v>2.5333647000000035E-2</c:v>
                </c:pt>
                <c:pt idx="1">
                  <c:v>1.2199662000000007E-2</c:v>
                </c:pt>
                <c:pt idx="2">
                  <c:v>2.2726422999999996E-2</c:v>
                </c:pt>
                <c:pt idx="3">
                  <c:v>8.306930000000004E-3</c:v>
                </c:pt>
                <c:pt idx="4">
                  <c:v>5.1540570000000452E-3</c:v>
                </c:pt>
                <c:pt idx="5">
                  <c:v>1.3567427999999992E-2</c:v>
                </c:pt>
                <c:pt idx="6">
                  <c:v>2.4262989999999957E-2</c:v>
                </c:pt>
                <c:pt idx="7">
                  <c:v>4.0197544999999973E-2</c:v>
                </c:pt>
                <c:pt idx="8">
                  <c:v>3.2423900000000005E-2</c:v>
                </c:pt>
                <c:pt idx="9">
                  <c:v>6.862207000000009E-3</c:v>
                </c:pt>
                <c:pt idx="10">
                  <c:v>1.4142326000000038E-2</c:v>
                </c:pt>
                <c:pt idx="11">
                  <c:v>1.1352850000000025E-2</c:v>
                </c:pt>
                <c:pt idx="12">
                  <c:v>6.1181284000000002E-2</c:v>
                </c:pt>
                <c:pt idx="13">
                  <c:v>1.4380989000000066E-2</c:v>
                </c:pt>
                <c:pt idx="14">
                  <c:v>2.1743877999999994E-2</c:v>
                </c:pt>
                <c:pt idx="15">
                  <c:v>8.0707990000000174E-3</c:v>
                </c:pt>
                <c:pt idx="16">
                  <c:v>1.9555093000000023E-2</c:v>
                </c:pt>
                <c:pt idx="17">
                  <c:v>4.6472874999999997E-2</c:v>
                </c:pt>
                <c:pt idx="18">
                  <c:v>8.8176100000000313E-3</c:v>
                </c:pt>
                <c:pt idx="19">
                  <c:v>5.5274067000000038E-2</c:v>
                </c:pt>
                <c:pt idx="20">
                  <c:v>2.2035636000000025E-2</c:v>
                </c:pt>
                <c:pt idx="21">
                  <c:v>7.4353032000000013E-2</c:v>
                </c:pt>
                <c:pt idx="22">
                  <c:v>6.4104289999999953E-3</c:v>
                </c:pt>
                <c:pt idx="23">
                  <c:v>3.6501298999999987E-2</c:v>
                </c:pt>
                <c:pt idx="24">
                  <c:v>3.7606553999999959E-2</c:v>
                </c:pt>
                <c:pt idx="25">
                  <c:v>3.9139794999999977E-2</c:v>
                </c:pt>
                <c:pt idx="26">
                  <c:v>0.11762866400000005</c:v>
                </c:pt>
                <c:pt idx="27">
                  <c:v>5.0467490999999975E-2</c:v>
                </c:pt>
                <c:pt idx="28">
                  <c:v>1.0570895000000025E-2</c:v>
                </c:pt>
                <c:pt idx="29">
                  <c:v>5.4206611999999987E-2</c:v>
                </c:pt>
                <c:pt idx="30">
                  <c:v>3.5743234999999984E-2</c:v>
                </c:pt>
                <c:pt idx="31">
                  <c:v>0.14112465499999999</c:v>
                </c:pt>
                <c:pt idx="32">
                  <c:v>0.11696651400000002</c:v>
                </c:pt>
                <c:pt idx="33">
                  <c:v>4.3125358000000003E-2</c:v>
                </c:pt>
                <c:pt idx="34">
                  <c:v>1.0630297000000011E-2</c:v>
                </c:pt>
                <c:pt idx="35">
                  <c:v>2.5188700000000008E-2</c:v>
                </c:pt>
                <c:pt idx="36">
                  <c:v>8.6766341999999996E-2</c:v>
                </c:pt>
                <c:pt idx="37">
                  <c:v>0.19351834699999995</c:v>
                </c:pt>
                <c:pt idx="38">
                  <c:v>1.2013737999999996E-2</c:v>
                </c:pt>
                <c:pt idx="39">
                  <c:v>8.5560276999999962E-2</c:v>
                </c:pt>
                <c:pt idx="40">
                  <c:v>9.8688034000000036E-2</c:v>
                </c:pt>
                <c:pt idx="41">
                  <c:v>0.12640227999999998</c:v>
                </c:pt>
                <c:pt idx="42">
                  <c:v>0.29520318800000001</c:v>
                </c:pt>
                <c:pt idx="43">
                  <c:v>2.8703310000000037E-2</c:v>
                </c:pt>
                <c:pt idx="44">
                  <c:v>3.7321233000000009E-2</c:v>
                </c:pt>
                <c:pt idx="45">
                  <c:v>6.7612356999999956E-2</c:v>
                </c:pt>
                <c:pt idx="46">
                  <c:v>0.10336051099999999</c:v>
                </c:pt>
                <c:pt idx="47">
                  <c:v>7.7233343000000065E-2</c:v>
                </c:pt>
                <c:pt idx="48">
                  <c:v>9.1898200000000152E-3</c:v>
                </c:pt>
                <c:pt idx="49">
                  <c:v>0.16458968499999999</c:v>
                </c:pt>
                <c:pt idx="50">
                  <c:v>3.2999345999999985E-2</c:v>
                </c:pt>
                <c:pt idx="51">
                  <c:v>9.4791553999999945E-2</c:v>
                </c:pt>
                <c:pt idx="52">
                  <c:v>5.3236965000000025E-2</c:v>
                </c:pt>
                <c:pt idx="53">
                  <c:v>0.12892355500000002</c:v>
                </c:pt>
                <c:pt idx="54">
                  <c:v>0.19909020900000007</c:v>
                </c:pt>
                <c:pt idx="55">
                  <c:v>6.1421568000000037E-2</c:v>
                </c:pt>
                <c:pt idx="56">
                  <c:v>0.19986362200000002</c:v>
                </c:pt>
                <c:pt idx="57">
                  <c:v>0.22151016200000001</c:v>
                </c:pt>
                <c:pt idx="58">
                  <c:v>1.377801900000003E-2</c:v>
                </c:pt>
                <c:pt idx="59">
                  <c:v>0.206487278</c:v>
                </c:pt>
                <c:pt idx="60">
                  <c:v>0.16766429199999999</c:v>
                </c:pt>
                <c:pt idx="61">
                  <c:v>0.20713249600000005</c:v>
                </c:pt>
                <c:pt idx="62">
                  <c:v>0.20706755300000002</c:v>
                </c:pt>
                <c:pt idx="63">
                  <c:v>0.14604349100000003</c:v>
                </c:pt>
                <c:pt idx="64">
                  <c:v>0.19554683500000003</c:v>
                </c:pt>
                <c:pt idx="65">
                  <c:v>1.7196760000000033E-2</c:v>
                </c:pt>
                <c:pt idx="66">
                  <c:v>7.6478972000000034E-2</c:v>
                </c:pt>
                <c:pt idx="67">
                  <c:v>0.34833266300000004</c:v>
                </c:pt>
                <c:pt idx="68">
                  <c:v>0.18909497400000003</c:v>
                </c:pt>
                <c:pt idx="69">
                  <c:v>3.4412081999999955E-2</c:v>
                </c:pt>
                <c:pt idx="70">
                  <c:v>0.36843351700000004</c:v>
                </c:pt>
                <c:pt idx="71">
                  <c:v>0.15866654199999997</c:v>
                </c:pt>
                <c:pt idx="72">
                  <c:v>1.2788277999999931E-2</c:v>
                </c:pt>
                <c:pt idx="73">
                  <c:v>3.9300012000000106E-2</c:v>
                </c:pt>
                <c:pt idx="74">
                  <c:v>0.38882422099999997</c:v>
                </c:pt>
                <c:pt idx="75">
                  <c:v>0.398599237</c:v>
                </c:pt>
                <c:pt idx="76">
                  <c:v>0.25586189800000009</c:v>
                </c:pt>
                <c:pt idx="77">
                  <c:v>0.24959298500000004</c:v>
                </c:pt>
                <c:pt idx="78">
                  <c:v>0.1055371699999999</c:v>
                </c:pt>
                <c:pt idx="79">
                  <c:v>2.0171325000000073E-2</c:v>
                </c:pt>
                <c:pt idx="80">
                  <c:v>0.24248410800000003</c:v>
                </c:pt>
                <c:pt idx="81">
                  <c:v>9.0942170000000044E-2</c:v>
                </c:pt>
                <c:pt idx="82">
                  <c:v>0.26132122099999999</c:v>
                </c:pt>
                <c:pt idx="83">
                  <c:v>0.48692936000000003</c:v>
                </c:pt>
                <c:pt idx="84">
                  <c:v>1.0145179999999976E-2</c:v>
                </c:pt>
                <c:pt idx="85">
                  <c:v>0.35828446399999991</c:v>
                </c:pt>
                <c:pt idx="86">
                  <c:v>4.6464936999999984E-2</c:v>
                </c:pt>
                <c:pt idx="87">
                  <c:v>8.1446761000000034E-2</c:v>
                </c:pt>
                <c:pt idx="88">
                  <c:v>7.6767410000000424E-3</c:v>
                </c:pt>
                <c:pt idx="89">
                  <c:v>0.35266829000000005</c:v>
                </c:pt>
                <c:pt idx="90">
                  <c:v>0.16984346500000008</c:v>
                </c:pt>
                <c:pt idx="91">
                  <c:v>4.5623828999999949E-2</c:v>
                </c:pt>
                <c:pt idx="92">
                  <c:v>0.25747144900000002</c:v>
                </c:pt>
                <c:pt idx="93">
                  <c:v>0.31531071900000007</c:v>
                </c:pt>
                <c:pt idx="94">
                  <c:v>0.21427450800000003</c:v>
                </c:pt>
                <c:pt idx="95">
                  <c:v>0.19386796700000003</c:v>
                </c:pt>
                <c:pt idx="96">
                  <c:v>3.0466917000000038E-2</c:v>
                </c:pt>
                <c:pt idx="97">
                  <c:v>0.29240033600000004</c:v>
                </c:pt>
                <c:pt idx="98">
                  <c:v>0.34416140199999995</c:v>
                </c:pt>
                <c:pt idx="99">
                  <c:v>9.4336214000000029E-2</c:v>
                </c:pt>
                <c:pt idx="100">
                  <c:v>5.298933699999997E-2</c:v>
                </c:pt>
                <c:pt idx="101">
                  <c:v>0.25406433800000006</c:v>
                </c:pt>
                <c:pt idx="102">
                  <c:v>0.413337022</c:v>
                </c:pt>
                <c:pt idx="103">
                  <c:v>0.50195687200000005</c:v>
                </c:pt>
                <c:pt idx="104">
                  <c:v>0.43734985999999998</c:v>
                </c:pt>
                <c:pt idx="105">
                  <c:v>0.44428091200000003</c:v>
                </c:pt>
                <c:pt idx="106">
                  <c:v>7.8510365999999943E-2</c:v>
                </c:pt>
                <c:pt idx="107">
                  <c:v>0.20474201299999994</c:v>
                </c:pt>
                <c:pt idx="108">
                  <c:v>3.8752723999999961E-2</c:v>
                </c:pt>
                <c:pt idx="109">
                  <c:v>0.54313341199999998</c:v>
                </c:pt>
                <c:pt idx="110">
                  <c:v>0.47757680899999999</c:v>
                </c:pt>
                <c:pt idx="111">
                  <c:v>0.11413143599999998</c:v>
                </c:pt>
                <c:pt idx="112">
                  <c:v>0.45315199999999994</c:v>
                </c:pt>
                <c:pt idx="113">
                  <c:v>4.8549029000000021E-2</c:v>
                </c:pt>
                <c:pt idx="114">
                  <c:v>1.0328679999999979E-2</c:v>
                </c:pt>
                <c:pt idx="115">
                  <c:v>0.10428935499999992</c:v>
                </c:pt>
                <c:pt idx="116">
                  <c:v>9.341682200000001E-2</c:v>
                </c:pt>
                <c:pt idx="117">
                  <c:v>0.30098446200000001</c:v>
                </c:pt>
                <c:pt idx="118">
                  <c:v>3.8298818999999984E-2</c:v>
                </c:pt>
                <c:pt idx="119">
                  <c:v>0.10862030900000008</c:v>
                </c:pt>
                <c:pt idx="120">
                  <c:v>0.31683842600000006</c:v>
                </c:pt>
                <c:pt idx="121">
                  <c:v>0.23233942900000004</c:v>
                </c:pt>
                <c:pt idx="122">
                  <c:v>0.21437417899999989</c:v>
                </c:pt>
                <c:pt idx="123">
                  <c:v>0.38144218200000007</c:v>
                </c:pt>
                <c:pt idx="124">
                  <c:v>0.18481591099999994</c:v>
                </c:pt>
                <c:pt idx="125">
                  <c:v>0.37568719</c:v>
                </c:pt>
                <c:pt idx="126">
                  <c:v>9.4480704999999943E-2</c:v>
                </c:pt>
                <c:pt idx="127">
                  <c:v>0.318490567</c:v>
                </c:pt>
                <c:pt idx="128">
                  <c:v>0.2240335739999999</c:v>
                </c:pt>
                <c:pt idx="129">
                  <c:v>0.24905425500000006</c:v>
                </c:pt>
                <c:pt idx="130">
                  <c:v>0.28896845899999996</c:v>
                </c:pt>
                <c:pt idx="131">
                  <c:v>0.29434706300000002</c:v>
                </c:pt>
                <c:pt idx="132">
                  <c:v>0.56042719099999994</c:v>
                </c:pt>
                <c:pt idx="133">
                  <c:v>0.52148630299999998</c:v>
                </c:pt>
                <c:pt idx="134">
                  <c:v>0.360115407</c:v>
                </c:pt>
                <c:pt idx="135">
                  <c:v>0.21298450099999999</c:v>
                </c:pt>
                <c:pt idx="136">
                  <c:v>0.26555931100000008</c:v>
                </c:pt>
                <c:pt idx="137">
                  <c:v>0.35872480200000001</c:v>
                </c:pt>
                <c:pt idx="138">
                  <c:v>0.36193129300000004</c:v>
                </c:pt>
                <c:pt idx="139">
                  <c:v>0.54647117300000003</c:v>
                </c:pt>
                <c:pt idx="140">
                  <c:v>0.57743814700000007</c:v>
                </c:pt>
                <c:pt idx="141">
                  <c:v>0.59037898099999997</c:v>
                </c:pt>
                <c:pt idx="142">
                  <c:v>0.34349534000000004</c:v>
                </c:pt>
                <c:pt idx="143">
                  <c:v>0.43261390199999999</c:v>
                </c:pt>
                <c:pt idx="144">
                  <c:v>0.35429595699999999</c:v>
                </c:pt>
                <c:pt idx="145">
                  <c:v>0.58706406899999997</c:v>
                </c:pt>
                <c:pt idx="146">
                  <c:v>0.45921797600000003</c:v>
                </c:pt>
                <c:pt idx="147">
                  <c:v>0.47954065299999993</c:v>
                </c:pt>
                <c:pt idx="148">
                  <c:v>0.47112287999999997</c:v>
                </c:pt>
                <c:pt idx="149">
                  <c:v>0.49053598600000003</c:v>
                </c:pt>
              </c:numCache>
            </c:numRef>
          </c:xVal>
          <c:yVal>
            <c:numRef>
              <c:f>'pred X, share NF'!$D$2:$D$151</c:f>
              <c:numCache>
                <c:formatCode>General</c:formatCode>
                <c:ptCount val="150"/>
                <c:pt idx="0">
                  <c:v>6.7695685409999999</c:v>
                </c:pt>
                <c:pt idx="1">
                  <c:v>7.2300658350000004</c:v>
                </c:pt>
                <c:pt idx="2">
                  <c:v>6.4367166779999998</c:v>
                </c:pt>
                <c:pt idx="3">
                  <c:v>7.298130005</c:v>
                </c:pt>
                <c:pt idx="4">
                  <c:v>7.319900541</c:v>
                </c:pt>
                <c:pt idx="5">
                  <c:v>6.509359678</c:v>
                </c:pt>
                <c:pt idx="6">
                  <c:v>6.5635311940000003</c:v>
                </c:pt>
                <c:pt idx="7">
                  <c:v>5.8049334239999997</c:v>
                </c:pt>
                <c:pt idx="8">
                  <c:v>6.2267699939999996</c:v>
                </c:pt>
                <c:pt idx="9">
                  <c:v>7.0042131190000001</c:v>
                </c:pt>
                <c:pt idx="10">
                  <c:v>6.508644254</c:v>
                </c:pt>
                <c:pt idx="11">
                  <c:v>6.3912288420000003</c:v>
                </c:pt>
                <c:pt idx="12">
                  <c:v>5.4346795480000001</c:v>
                </c:pt>
                <c:pt idx="13">
                  <c:v>5.7005365530000001</c:v>
                </c:pt>
                <c:pt idx="14">
                  <c:v>5.9719760649999998</c:v>
                </c:pt>
                <c:pt idx="15">
                  <c:v>6.3525688870000003</c:v>
                </c:pt>
                <c:pt idx="16">
                  <c:v>6.6700219409999999</c:v>
                </c:pt>
                <c:pt idx="17">
                  <c:v>6.0352194020000001</c:v>
                </c:pt>
                <c:pt idx="18">
                  <c:v>6.2709134969999996</c:v>
                </c:pt>
                <c:pt idx="19">
                  <c:v>5.6334663330000003</c:v>
                </c:pt>
                <c:pt idx="20">
                  <c:v>6.4333012380000003</c:v>
                </c:pt>
                <c:pt idx="21">
                  <c:v>4.8480471280000001</c:v>
                </c:pt>
                <c:pt idx="22">
                  <c:v>6.2605144580000003</c:v>
                </c:pt>
                <c:pt idx="23">
                  <c:v>5.8388037930000003</c:v>
                </c:pt>
                <c:pt idx="24">
                  <c:v>5.508139463</c:v>
                </c:pt>
                <c:pt idx="25">
                  <c:v>5.3072505249999997</c:v>
                </c:pt>
                <c:pt idx="26">
                  <c:v>4.6186786140000002</c:v>
                </c:pt>
                <c:pt idx="27">
                  <c:v>5.0341956630000002</c:v>
                </c:pt>
                <c:pt idx="28">
                  <c:v>6.0730786930000002</c:v>
                </c:pt>
                <c:pt idx="29">
                  <c:v>5.6536961420000003</c:v>
                </c:pt>
                <c:pt idx="30">
                  <c:v>6.1077119529999999</c:v>
                </c:pt>
                <c:pt idx="31">
                  <c:v>4.140628897</c:v>
                </c:pt>
                <c:pt idx="32">
                  <c:v>4.7898684310000004</c:v>
                </c:pt>
                <c:pt idx="33">
                  <c:v>4.2953747900000003</c:v>
                </c:pt>
                <c:pt idx="34">
                  <c:v>6.0874558419999998</c:v>
                </c:pt>
                <c:pt idx="35">
                  <c:v>5.7208768430000001</c:v>
                </c:pt>
                <c:pt idx="36">
                  <c:v>4.1655889760000004</c:v>
                </c:pt>
                <c:pt idx="37">
                  <c:v>3.7686811640000002</c:v>
                </c:pt>
                <c:pt idx="38">
                  <c:v>5.9025249640000004</c:v>
                </c:pt>
                <c:pt idx="39">
                  <c:v>5.7549040189999996</c:v>
                </c:pt>
                <c:pt idx="40">
                  <c:v>5.2308703730000001</c:v>
                </c:pt>
                <c:pt idx="41">
                  <c:v>4.84505988</c:v>
                </c:pt>
                <c:pt idx="42">
                  <c:v>3.0488105810000001</c:v>
                </c:pt>
                <c:pt idx="43">
                  <c:v>5.5987828300000002</c:v>
                </c:pt>
                <c:pt idx="44">
                  <c:v>5.841852942</c:v>
                </c:pt>
                <c:pt idx="45">
                  <c:v>4.9775117550000001</c:v>
                </c:pt>
                <c:pt idx="46">
                  <c:v>4.5474928280000002</c:v>
                </c:pt>
                <c:pt idx="47">
                  <c:v>4.6092037960000001</c:v>
                </c:pt>
                <c:pt idx="48">
                  <c:v>5.8068054760000001</c:v>
                </c:pt>
                <c:pt idx="49">
                  <c:v>3.5645162309999998</c:v>
                </c:pt>
                <c:pt idx="50">
                  <c:v>5.4047961359999999</c:v>
                </c:pt>
                <c:pt idx="51">
                  <c:v>5.3773750109999998</c:v>
                </c:pt>
                <c:pt idx="52">
                  <c:v>4.896638694</c:v>
                </c:pt>
                <c:pt idx="53">
                  <c:v>4.4601570319999997</c:v>
                </c:pt>
                <c:pt idx="54">
                  <c:v>3.270111966</c:v>
                </c:pt>
                <c:pt idx="55">
                  <c:v>5.0167896059999997</c:v>
                </c:pt>
                <c:pt idx="56">
                  <c:v>3.8296820029999998</c:v>
                </c:pt>
                <c:pt idx="57">
                  <c:v>4.1556375860000001</c:v>
                </c:pt>
                <c:pt idx="58">
                  <c:v>5.6290819890000003</c:v>
                </c:pt>
                <c:pt idx="59">
                  <c:v>4.1191229759999999</c:v>
                </c:pt>
                <c:pt idx="60">
                  <c:v>3.5654228319999999</c:v>
                </c:pt>
                <c:pt idx="61">
                  <c:v>5.109706181</c:v>
                </c:pt>
                <c:pt idx="62">
                  <c:v>2.8145595110000001</c:v>
                </c:pt>
                <c:pt idx="63">
                  <c:v>4.0861523540000002</c:v>
                </c:pt>
                <c:pt idx="64">
                  <c:v>3.7597374659999998</c:v>
                </c:pt>
                <c:pt idx="65">
                  <c:v>6.0155416319999997</c:v>
                </c:pt>
                <c:pt idx="66">
                  <c:v>4.6750068679999996</c:v>
                </c:pt>
                <c:pt idx="67">
                  <c:v>2.8941720200000001</c:v>
                </c:pt>
                <c:pt idx="68">
                  <c:v>2.772827055</c:v>
                </c:pt>
                <c:pt idx="69">
                  <c:v>5.4742693730000003</c:v>
                </c:pt>
                <c:pt idx="70">
                  <c:v>2.4480313759999999</c:v>
                </c:pt>
                <c:pt idx="71">
                  <c:v>3.8848557069999998</c:v>
                </c:pt>
                <c:pt idx="72">
                  <c:v>6.1172312619999998</c:v>
                </c:pt>
                <c:pt idx="73">
                  <c:v>5.2892332670000002</c:v>
                </c:pt>
                <c:pt idx="74">
                  <c:v>2.6646060980000001</c:v>
                </c:pt>
                <c:pt idx="75">
                  <c:v>2.1613886490000001</c:v>
                </c:pt>
                <c:pt idx="76">
                  <c:v>2.8133043049999999</c:v>
                </c:pt>
                <c:pt idx="77">
                  <c:v>3.270610773</c:v>
                </c:pt>
                <c:pt idx="78">
                  <c:v>4.2331583119999996</c:v>
                </c:pt>
                <c:pt idx="79">
                  <c:v>5.939731514</c:v>
                </c:pt>
                <c:pt idx="80">
                  <c:v>4.6168162559999999</c:v>
                </c:pt>
                <c:pt idx="81">
                  <c:v>4.9220584790000004</c:v>
                </c:pt>
                <c:pt idx="82">
                  <c:v>3.5753670830000002</c:v>
                </c:pt>
                <c:pt idx="83">
                  <c:v>4.178486672</c:v>
                </c:pt>
                <c:pt idx="84">
                  <c:v>6.0950798749999997</c:v>
                </c:pt>
                <c:pt idx="85">
                  <c:v>4.6033839099999998</c:v>
                </c:pt>
                <c:pt idx="86">
                  <c:v>5.086589687</c:v>
                </c:pt>
                <c:pt idx="87">
                  <c:v>5.0156439820000003</c:v>
                </c:pt>
                <c:pt idx="88">
                  <c:v>5.4350386860000004</c:v>
                </c:pt>
                <c:pt idx="89">
                  <c:v>4.537700547</c:v>
                </c:pt>
                <c:pt idx="90">
                  <c:v>3.6149631059999998</c:v>
                </c:pt>
                <c:pt idx="91">
                  <c:v>5.7444446920000001</c:v>
                </c:pt>
                <c:pt idx="92">
                  <c:v>3.1504291129999999</c:v>
                </c:pt>
                <c:pt idx="93">
                  <c:v>3.1386939470000002</c:v>
                </c:pt>
                <c:pt idx="94">
                  <c:v>2.8735072289999999</c:v>
                </c:pt>
                <c:pt idx="95">
                  <c:v>4.4683263210000002</c:v>
                </c:pt>
                <c:pt idx="96">
                  <c:v>5.2704826479999998</c:v>
                </c:pt>
                <c:pt idx="97">
                  <c:v>2.870276279</c:v>
                </c:pt>
                <c:pt idx="98">
                  <c:v>3.6123842960000001</c:v>
                </c:pt>
                <c:pt idx="99">
                  <c:v>4.5456503640000001</c:v>
                </c:pt>
                <c:pt idx="100">
                  <c:v>5.3943229580000001</c:v>
                </c:pt>
                <c:pt idx="101">
                  <c:v>3.0345556120000001</c:v>
                </c:pt>
                <c:pt idx="102">
                  <c:v>4.2631023619999997</c:v>
                </c:pt>
                <c:pt idx="103">
                  <c:v>3.0921532599999999</c:v>
                </c:pt>
                <c:pt idx="104">
                  <c:v>2.0946000319999998</c:v>
                </c:pt>
                <c:pt idx="105">
                  <c:v>2.390880229</c:v>
                </c:pt>
                <c:pt idx="106">
                  <c:v>4.9520498850000001</c:v>
                </c:pt>
                <c:pt idx="107">
                  <c:v>4.118752325</c:v>
                </c:pt>
                <c:pt idx="108">
                  <c:v>5.9024526809999998</c:v>
                </c:pt>
                <c:pt idx="109">
                  <c:v>4.168214012</c:v>
                </c:pt>
                <c:pt idx="110">
                  <c:v>3.3447049359999999</c:v>
                </c:pt>
                <c:pt idx="111">
                  <c:v>4.8212792350000004</c:v>
                </c:pt>
                <c:pt idx="112">
                  <c:v>2.7952912460000001</c:v>
                </c:pt>
                <c:pt idx="113">
                  <c:v>4.9103570899999998</c:v>
                </c:pt>
                <c:pt idx="114">
                  <c:v>5.9900152269999998</c:v>
                </c:pt>
                <c:pt idx="115">
                  <c:v>5.3392705219999996</c:v>
                </c:pt>
                <c:pt idx="116">
                  <c:v>5.5753187129999997</c:v>
                </c:pt>
                <c:pt idx="117">
                  <c:v>3.859424872</c:v>
                </c:pt>
                <c:pt idx="118">
                  <c:v>5.8241288259999999</c:v>
                </c:pt>
                <c:pt idx="119">
                  <c:v>4.050812037</c:v>
                </c:pt>
                <c:pt idx="120">
                  <c:v>3.3076889980000002</c:v>
                </c:pt>
                <c:pt idx="121">
                  <c:v>4.4429598639999996</c:v>
                </c:pt>
                <c:pt idx="122">
                  <c:v>3.7139689140000001</c:v>
                </c:pt>
                <c:pt idx="123">
                  <c:v>2.6011021909999998</c:v>
                </c:pt>
                <c:pt idx="124">
                  <c:v>4.3569490469999996</c:v>
                </c:pt>
                <c:pt idx="125">
                  <c:v>2.325918181</c:v>
                </c:pt>
                <c:pt idx="126">
                  <c:v>5.5394757070000002</c:v>
                </c:pt>
                <c:pt idx="127">
                  <c:v>3.5546931480000001</c:v>
                </c:pt>
                <c:pt idx="128">
                  <c:v>5.0158958370000004</c:v>
                </c:pt>
                <c:pt idx="129">
                  <c:v>3.456676071</c:v>
                </c:pt>
                <c:pt idx="130">
                  <c:v>2.894225547</c:v>
                </c:pt>
                <c:pt idx="131">
                  <c:v>3.9463607029999999</c:v>
                </c:pt>
                <c:pt idx="132">
                  <c:v>4.0573729409999997</c:v>
                </c:pt>
                <c:pt idx="133">
                  <c:v>2.7257657279999998</c:v>
                </c:pt>
                <c:pt idx="134">
                  <c:v>3.6043463070000001</c:v>
                </c:pt>
                <c:pt idx="135">
                  <c:v>4.8672886750000002</c:v>
                </c:pt>
                <c:pt idx="136">
                  <c:v>4.4550860219999997</c:v>
                </c:pt>
                <c:pt idx="137">
                  <c:v>4.0187385679999998</c:v>
                </c:pt>
                <c:pt idx="138">
                  <c:v>4.5454012319999997</c:v>
                </c:pt>
                <c:pt idx="139">
                  <c:v>4.1138740660000002</c:v>
                </c:pt>
                <c:pt idx="140">
                  <c:v>3.943291297</c:v>
                </c:pt>
                <c:pt idx="141">
                  <c:v>3.8176520909999998</c:v>
                </c:pt>
                <c:pt idx="142">
                  <c:v>4.4666609279999996</c:v>
                </c:pt>
                <c:pt idx="143">
                  <c:v>2.2536953620000002</c:v>
                </c:pt>
                <c:pt idx="144">
                  <c:v>3.6403501870000001</c:v>
                </c:pt>
                <c:pt idx="145">
                  <c:v>2.658423891</c:v>
                </c:pt>
                <c:pt idx="146">
                  <c:v>3.3791650930000001</c:v>
                </c:pt>
                <c:pt idx="147">
                  <c:v>3.2506139329999999</c:v>
                </c:pt>
                <c:pt idx="148">
                  <c:v>2.9704718890000001</c:v>
                </c:pt>
                <c:pt idx="149">
                  <c:v>3.8541995610000002</c:v>
                </c:pt>
              </c:numCache>
            </c:numRef>
          </c:yVal>
          <c:smooth val="0"/>
          <c:extLst>
            <c:ext xmlns:c16="http://schemas.microsoft.com/office/drawing/2014/chart" uri="{C3380CC4-5D6E-409C-BE32-E72D297353CC}">
              <c16:uniqueId val="{00000000-CE22-4E0B-9F82-A8015F186F51}"/>
            </c:ext>
          </c:extLst>
        </c:ser>
        <c:dLbls>
          <c:showLegendKey val="0"/>
          <c:showVal val="0"/>
          <c:showCatName val="0"/>
          <c:showSerName val="0"/>
          <c:showPercent val="0"/>
          <c:showBubbleSize val="0"/>
        </c:dLbls>
        <c:axId val="1465589888"/>
        <c:axId val="1465587808"/>
      </c:scatterChart>
      <c:valAx>
        <c:axId val="1465589888"/>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587808"/>
        <c:crosses val="autoZero"/>
        <c:crossBetween val="midCat"/>
      </c:valAx>
      <c:valAx>
        <c:axId val="1465587808"/>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5898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SpeedUp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X!$W$1</c:f>
              <c:strCache>
                <c:ptCount val="1"/>
                <c:pt idx="0">
                  <c:v>share CPU FF</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X!$W$2:$W$151</c:f>
              <c:numCache>
                <c:formatCode>General</c:formatCode>
                <c:ptCount val="150"/>
                <c:pt idx="0">
                  <c:v>0.90601254395278552</c:v>
                </c:pt>
                <c:pt idx="1">
                  <c:v>0.90676959009852853</c:v>
                </c:pt>
                <c:pt idx="2">
                  <c:v>0.89238336607848723</c:v>
                </c:pt>
                <c:pt idx="3">
                  <c:v>0.8749549407908056</c:v>
                </c:pt>
                <c:pt idx="4">
                  <c:v>0.82760698240579667</c:v>
                </c:pt>
                <c:pt idx="5">
                  <c:v>0.83082486714324733</c:v>
                </c:pt>
                <c:pt idx="6">
                  <c:v>0.83299470041573076</c:v>
                </c:pt>
                <c:pt idx="7">
                  <c:v>0.80929332435421364</c:v>
                </c:pt>
                <c:pt idx="8">
                  <c:v>0.82156360032299125</c:v>
                </c:pt>
                <c:pt idx="9">
                  <c:v>0.79144632066750442</c:v>
                </c:pt>
                <c:pt idx="10">
                  <c:v>0.78891248252664037</c:v>
                </c:pt>
                <c:pt idx="11">
                  <c:v>0.78962137365929397</c:v>
                </c:pt>
                <c:pt idx="12">
                  <c:v>0.80161785012996956</c:v>
                </c:pt>
                <c:pt idx="13">
                  <c:v>0.80292272906041129</c:v>
                </c:pt>
                <c:pt idx="14">
                  <c:v>0.79194107187655116</c:v>
                </c:pt>
                <c:pt idx="15">
                  <c:v>0.78645491294938097</c:v>
                </c:pt>
                <c:pt idx="16">
                  <c:v>0.7586893606221643</c:v>
                </c:pt>
                <c:pt idx="17">
                  <c:v>0.74845581766168812</c:v>
                </c:pt>
                <c:pt idx="18">
                  <c:v>0.74165863161467327</c:v>
                </c:pt>
                <c:pt idx="19">
                  <c:v>0.74899751949964055</c:v>
                </c:pt>
                <c:pt idx="20">
                  <c:v>0.74068067293943762</c:v>
                </c:pt>
                <c:pt idx="21">
                  <c:v>0.72979439740483498</c:v>
                </c:pt>
                <c:pt idx="22">
                  <c:v>0.73780065945788154</c:v>
                </c:pt>
                <c:pt idx="23">
                  <c:v>0.73634565926464846</c:v>
                </c:pt>
                <c:pt idx="24">
                  <c:v>0.7344707037034871</c:v>
                </c:pt>
                <c:pt idx="25">
                  <c:v>0.72674089527632424</c:v>
                </c:pt>
                <c:pt idx="26">
                  <c:v>0.73048189366049676</c:v>
                </c:pt>
                <c:pt idx="27">
                  <c:v>0.73059762813459073</c:v>
                </c:pt>
                <c:pt idx="28">
                  <c:v>0.71578115215308769</c:v>
                </c:pt>
                <c:pt idx="29">
                  <c:v>0.71491397351591224</c:v>
                </c:pt>
                <c:pt idx="30">
                  <c:v>0.71751972208979797</c:v>
                </c:pt>
                <c:pt idx="31">
                  <c:v>0.71846756283756186</c:v>
                </c:pt>
                <c:pt idx="32">
                  <c:v>0.70674989447027492</c:v>
                </c:pt>
                <c:pt idx="33">
                  <c:v>0.68688310316688117</c:v>
                </c:pt>
                <c:pt idx="34">
                  <c:v>0.68753680816446938</c:v>
                </c:pt>
                <c:pt idx="35">
                  <c:v>0.68762854232137627</c:v>
                </c:pt>
                <c:pt idx="36">
                  <c:v>0.68428988555926762</c:v>
                </c:pt>
                <c:pt idx="37">
                  <c:v>0.67540209972574949</c:v>
                </c:pt>
                <c:pt idx="38">
                  <c:v>0.67541857802732252</c:v>
                </c:pt>
                <c:pt idx="39">
                  <c:v>0.6639431215915198</c:v>
                </c:pt>
                <c:pt idx="40">
                  <c:v>0.6090967456528863</c:v>
                </c:pt>
                <c:pt idx="41">
                  <c:v>0.66845403586618346</c:v>
                </c:pt>
                <c:pt idx="42">
                  <c:v>0.65819630330874745</c:v>
                </c:pt>
                <c:pt idx="43">
                  <c:v>0.65692982395357058</c:v>
                </c:pt>
                <c:pt idx="44">
                  <c:v>0.65244929344016456</c:v>
                </c:pt>
                <c:pt idx="45">
                  <c:v>0.6491138502448569</c:v>
                </c:pt>
                <c:pt idx="46">
                  <c:v>0.61531020405345715</c:v>
                </c:pt>
                <c:pt idx="47">
                  <c:v>0.62847357357812794</c:v>
                </c:pt>
                <c:pt idx="48">
                  <c:v>0.63734288024599195</c:v>
                </c:pt>
                <c:pt idx="49">
                  <c:v>0.63824877270112101</c:v>
                </c:pt>
                <c:pt idx="50">
                  <c:v>0.63677799212894515</c:v>
                </c:pt>
                <c:pt idx="51">
                  <c:v>0.61374457258537396</c:v>
                </c:pt>
                <c:pt idx="52">
                  <c:v>0.62947811978877277</c:v>
                </c:pt>
                <c:pt idx="53">
                  <c:v>0.63122706237987514</c:v>
                </c:pt>
                <c:pt idx="54">
                  <c:v>0.62004884788442538</c:v>
                </c:pt>
                <c:pt idx="55">
                  <c:v>0.61895512927970908</c:v>
                </c:pt>
                <c:pt idx="56">
                  <c:v>0.60557619996928091</c:v>
                </c:pt>
                <c:pt idx="57">
                  <c:v>0.61653342029042912</c:v>
                </c:pt>
                <c:pt idx="58">
                  <c:v>0.61913036709039881</c:v>
                </c:pt>
                <c:pt idx="59">
                  <c:v>0.61210916395572146</c:v>
                </c:pt>
                <c:pt idx="60">
                  <c:v>0.57742212346294353</c:v>
                </c:pt>
                <c:pt idx="61">
                  <c:v>0.60078297849681883</c:v>
                </c:pt>
                <c:pt idx="62">
                  <c:v>0.59763711036050782</c:v>
                </c:pt>
                <c:pt idx="63">
                  <c:v>0.59170561619892159</c:v>
                </c:pt>
                <c:pt idx="64">
                  <c:v>0.57529612988726542</c:v>
                </c:pt>
                <c:pt idx="65">
                  <c:v>0.58869326404126598</c:v>
                </c:pt>
                <c:pt idx="66">
                  <c:v>0.56414991019050198</c:v>
                </c:pt>
                <c:pt idx="67">
                  <c:v>0.5716781651959012</c:v>
                </c:pt>
                <c:pt idx="68">
                  <c:v>0.5800920439106767</c:v>
                </c:pt>
                <c:pt idx="69">
                  <c:v>0.54566640829627377</c:v>
                </c:pt>
                <c:pt idx="70">
                  <c:v>0.57601283405445058</c:v>
                </c:pt>
                <c:pt idx="71">
                  <c:v>0.57504634880716254</c:v>
                </c:pt>
                <c:pt idx="72">
                  <c:v>0.56697341270465107</c:v>
                </c:pt>
                <c:pt idx="73">
                  <c:v>0.56321867283402194</c:v>
                </c:pt>
                <c:pt idx="74">
                  <c:v>0.55454051141633631</c:v>
                </c:pt>
                <c:pt idx="75">
                  <c:v>0.53419641042326171</c:v>
                </c:pt>
                <c:pt idx="76">
                  <c:v>0.54736256722534904</c:v>
                </c:pt>
                <c:pt idx="77">
                  <c:v>0.54314090098857748</c:v>
                </c:pt>
                <c:pt idx="78">
                  <c:v>0.52757207832990305</c:v>
                </c:pt>
                <c:pt idx="79">
                  <c:v>0.52434845637332061</c:v>
                </c:pt>
                <c:pt idx="80">
                  <c:v>0.52075807488610082</c:v>
                </c:pt>
                <c:pt idx="81">
                  <c:v>0.51933041099104649</c:v>
                </c:pt>
                <c:pt idx="82">
                  <c:v>0.50153455902662269</c:v>
                </c:pt>
                <c:pt idx="83">
                  <c:v>0.50998129282549964</c:v>
                </c:pt>
                <c:pt idx="84">
                  <c:v>0.49734671659970764</c:v>
                </c:pt>
                <c:pt idx="85">
                  <c:v>0.49379310434194212</c:v>
                </c:pt>
                <c:pt idx="86">
                  <c:v>0.48859368742763665</c:v>
                </c:pt>
                <c:pt idx="87">
                  <c:v>0.48707032644725023</c:v>
                </c:pt>
                <c:pt idx="88">
                  <c:v>0.47027754541090799</c:v>
                </c:pt>
                <c:pt idx="89">
                  <c:v>0.48335367183629319</c:v>
                </c:pt>
                <c:pt idx="90">
                  <c:v>0.46874700826261206</c:v>
                </c:pt>
                <c:pt idx="91">
                  <c:v>0.47833431806766946</c:v>
                </c:pt>
                <c:pt idx="92">
                  <c:v>0.46019211612650912</c:v>
                </c:pt>
                <c:pt idx="93">
                  <c:v>0.46268112865794619</c:v>
                </c:pt>
                <c:pt idx="94">
                  <c:v>0.46545960998840641</c:v>
                </c:pt>
                <c:pt idx="95">
                  <c:v>0.4641477732994756</c:v>
                </c:pt>
                <c:pt idx="96">
                  <c:v>0.46160734193051634</c:v>
                </c:pt>
                <c:pt idx="97">
                  <c:v>0.46030380763883511</c:v>
                </c:pt>
                <c:pt idx="98">
                  <c:v>0.4519324193727996</c:v>
                </c:pt>
                <c:pt idx="99">
                  <c:v>0.45216363543837018</c:v>
                </c:pt>
                <c:pt idx="100">
                  <c:v>0.44746184921126642</c:v>
                </c:pt>
                <c:pt idx="101">
                  <c:v>0.44675008339081035</c:v>
                </c:pt>
                <c:pt idx="102">
                  <c:v>0.43739774452934566</c:v>
                </c:pt>
                <c:pt idx="103">
                  <c:v>0.43374355354976024</c:v>
                </c:pt>
                <c:pt idx="104">
                  <c:v>0.43683421854296117</c:v>
                </c:pt>
                <c:pt idx="105">
                  <c:v>0.41556951408846976</c:v>
                </c:pt>
                <c:pt idx="106">
                  <c:v>0.41631795424303619</c:v>
                </c:pt>
                <c:pt idx="107">
                  <c:v>0.40423689663910345</c:v>
                </c:pt>
                <c:pt idx="108">
                  <c:v>0.40094146504288453</c:v>
                </c:pt>
                <c:pt idx="109">
                  <c:v>0.39754787186850576</c:v>
                </c:pt>
                <c:pt idx="110">
                  <c:v>0.39131915692279301</c:v>
                </c:pt>
                <c:pt idx="111">
                  <c:v>0.3985897625721041</c:v>
                </c:pt>
                <c:pt idx="112">
                  <c:v>0.39650253097402433</c:v>
                </c:pt>
                <c:pt idx="113">
                  <c:v>0.39569854287171735</c:v>
                </c:pt>
                <c:pt idx="114">
                  <c:v>0.3863375192559047</c:v>
                </c:pt>
                <c:pt idx="115">
                  <c:v>0.37710513081797614</c:v>
                </c:pt>
                <c:pt idx="116">
                  <c:v>0.37456995741512861</c:v>
                </c:pt>
                <c:pt idx="117">
                  <c:v>0.36849107766301004</c:v>
                </c:pt>
                <c:pt idx="118">
                  <c:v>0.366014033095719</c:v>
                </c:pt>
                <c:pt idx="119">
                  <c:v>0.36021902007548129</c:v>
                </c:pt>
                <c:pt idx="120">
                  <c:v>0.35359415466492</c:v>
                </c:pt>
                <c:pt idx="121">
                  <c:v>0.34575822405004819</c:v>
                </c:pt>
                <c:pt idx="122">
                  <c:v>0.33846779838071966</c:v>
                </c:pt>
                <c:pt idx="123">
                  <c:v>0.33487140816972411</c:v>
                </c:pt>
                <c:pt idx="124">
                  <c:v>0.33093141470982346</c:v>
                </c:pt>
                <c:pt idx="125">
                  <c:v>0.32574029553163258</c:v>
                </c:pt>
                <c:pt idx="126">
                  <c:v>0.31734358057488016</c:v>
                </c:pt>
                <c:pt idx="127">
                  <c:v>0.31844101862762902</c:v>
                </c:pt>
                <c:pt idx="128">
                  <c:v>0.30019596295564571</c:v>
                </c:pt>
                <c:pt idx="129">
                  <c:v>0.29845387989790795</c:v>
                </c:pt>
                <c:pt idx="130">
                  <c:v>0.29563375854217128</c:v>
                </c:pt>
                <c:pt idx="131">
                  <c:v>0.28181952331275678</c:v>
                </c:pt>
                <c:pt idx="132">
                  <c:v>0.28084101815549944</c:v>
                </c:pt>
                <c:pt idx="133">
                  <c:v>0.27601753566919868</c:v>
                </c:pt>
                <c:pt idx="134">
                  <c:v>0.27574876843011503</c:v>
                </c:pt>
                <c:pt idx="135">
                  <c:v>0.27445588684735156</c:v>
                </c:pt>
                <c:pt idx="136">
                  <c:v>0.27332311720515373</c:v>
                </c:pt>
                <c:pt idx="137">
                  <c:v>0.2532692409117045</c:v>
                </c:pt>
                <c:pt idx="138">
                  <c:v>0.24783652932892153</c:v>
                </c:pt>
                <c:pt idx="139">
                  <c:v>0.21785294014213658</c:v>
                </c:pt>
                <c:pt idx="140">
                  <c:v>0.21527494421966178</c:v>
                </c:pt>
                <c:pt idx="141">
                  <c:v>0.21336977737699137</c:v>
                </c:pt>
                <c:pt idx="142">
                  <c:v>0.21148577661773615</c:v>
                </c:pt>
                <c:pt idx="143">
                  <c:v>0.20432548715841048</c:v>
                </c:pt>
                <c:pt idx="144">
                  <c:v>0.17615399722175584</c:v>
                </c:pt>
                <c:pt idx="145">
                  <c:v>0.16443448281295708</c:v>
                </c:pt>
                <c:pt idx="146">
                  <c:v>9.9378066738232906E-2</c:v>
                </c:pt>
                <c:pt idx="147">
                  <c:v>8.5550985390121959E-2</c:v>
                </c:pt>
                <c:pt idx="148">
                  <c:v>4.5568379537931157E-2</c:v>
                </c:pt>
                <c:pt idx="149">
                  <c:v>3.5910097744546642E-2</c:v>
                </c:pt>
              </c:numCache>
            </c:numRef>
          </c:xVal>
          <c:yVal>
            <c:numRef>
              <c:f>X!$K$2:$K$151</c:f>
              <c:numCache>
                <c:formatCode>General</c:formatCode>
                <c:ptCount val="150"/>
                <c:pt idx="0">
                  <c:v>3.8541995614415998</c:v>
                </c:pt>
                <c:pt idx="1">
                  <c:v>2.9704718889994735</c:v>
                </c:pt>
                <c:pt idx="2">
                  <c:v>3.2506139333109849</c:v>
                </c:pt>
                <c:pt idx="3">
                  <c:v>3.3791650925688606</c:v>
                </c:pt>
                <c:pt idx="4">
                  <c:v>2.6584238914624603</c:v>
                </c:pt>
                <c:pt idx="5">
                  <c:v>3.6403501870932584</c:v>
                </c:pt>
                <c:pt idx="6">
                  <c:v>2.2536953618804176</c:v>
                </c:pt>
                <c:pt idx="7">
                  <c:v>4.4666609284673724</c:v>
                </c:pt>
                <c:pt idx="8">
                  <c:v>3.8176520909673504</c:v>
                </c:pt>
                <c:pt idx="9">
                  <c:v>3.9432912973794916</c:v>
                </c:pt>
                <c:pt idx="10">
                  <c:v>4.1138740656453914</c:v>
                </c:pt>
                <c:pt idx="11">
                  <c:v>4.5454012319530834</c:v>
                </c:pt>
                <c:pt idx="12">
                  <c:v>4.0187385676737559</c:v>
                </c:pt>
                <c:pt idx="13">
                  <c:v>4.4550860222189312</c:v>
                </c:pt>
                <c:pt idx="14">
                  <c:v>4.8672886753386058</c:v>
                </c:pt>
                <c:pt idx="15">
                  <c:v>3.6043463069116561</c:v>
                </c:pt>
                <c:pt idx="16">
                  <c:v>2.7257657280138643</c:v>
                </c:pt>
                <c:pt idx="17">
                  <c:v>4.0573729406426988</c:v>
                </c:pt>
                <c:pt idx="18">
                  <c:v>3.9463607027608463</c:v>
                </c:pt>
                <c:pt idx="19">
                  <c:v>2.894225546675036</c:v>
                </c:pt>
                <c:pt idx="20">
                  <c:v>3.4566760712613998</c:v>
                </c:pt>
                <c:pt idx="21">
                  <c:v>5.0158958371228524</c:v>
                </c:pt>
                <c:pt idx="22">
                  <c:v>3.5546931480898194</c:v>
                </c:pt>
                <c:pt idx="23">
                  <c:v>5.5394757067819977</c:v>
                </c:pt>
                <c:pt idx="24">
                  <c:v>2.3259181809421468</c:v>
                </c:pt>
                <c:pt idx="25">
                  <c:v>4.3569490470821055</c:v>
                </c:pt>
                <c:pt idx="26">
                  <c:v>2.6011021907616132</c:v>
                </c:pt>
                <c:pt idx="27">
                  <c:v>3.7139689140007182</c:v>
                </c:pt>
                <c:pt idx="28">
                  <c:v>4.4429598642800112</c:v>
                </c:pt>
                <c:pt idx="29">
                  <c:v>3.3076889977578494</c:v>
                </c:pt>
                <c:pt idx="30">
                  <c:v>4.0508120374768222</c:v>
                </c:pt>
                <c:pt idx="31">
                  <c:v>5.8241288262042978</c:v>
                </c:pt>
                <c:pt idx="32">
                  <c:v>3.8594248724286135</c:v>
                </c:pt>
                <c:pt idx="33">
                  <c:v>5.5753187126530834</c:v>
                </c:pt>
                <c:pt idx="34">
                  <c:v>5.3392705217493335</c:v>
                </c:pt>
                <c:pt idx="35">
                  <c:v>5.9900152265343376</c:v>
                </c:pt>
                <c:pt idx="36">
                  <c:v>4.9103570903192351</c:v>
                </c:pt>
                <c:pt idx="37">
                  <c:v>2.7952912460066104</c:v>
                </c:pt>
                <c:pt idx="38">
                  <c:v>4.8212792352042646</c:v>
                </c:pt>
                <c:pt idx="39">
                  <c:v>3.3447049363352721</c:v>
                </c:pt>
                <c:pt idx="40">
                  <c:v>4.168214011709253</c:v>
                </c:pt>
                <c:pt idx="41">
                  <c:v>5.9024526812569542</c:v>
                </c:pt>
                <c:pt idx="42">
                  <c:v>4.1187523248330296</c:v>
                </c:pt>
                <c:pt idx="43">
                  <c:v>4.9520498854225528</c:v>
                </c:pt>
                <c:pt idx="44">
                  <c:v>2.3908802292201616</c:v>
                </c:pt>
                <c:pt idx="45">
                  <c:v>2.0946000316330062</c:v>
                </c:pt>
                <c:pt idx="46">
                  <c:v>3.0921532603441277</c:v>
                </c:pt>
                <c:pt idx="47">
                  <c:v>4.263102362083881</c:v>
                </c:pt>
                <c:pt idx="48">
                  <c:v>3.0345556116703514</c:v>
                </c:pt>
                <c:pt idx="49">
                  <c:v>5.3943229579302123</c:v>
                </c:pt>
                <c:pt idx="50">
                  <c:v>4.545650364492472</c:v>
                </c:pt>
                <c:pt idx="51">
                  <c:v>3.6123842958364745</c:v>
                </c:pt>
                <c:pt idx="52">
                  <c:v>2.8702762789282543</c:v>
                </c:pt>
                <c:pt idx="53">
                  <c:v>5.2704826481136822</c:v>
                </c:pt>
                <c:pt idx="54">
                  <c:v>4.4683263207344623</c:v>
                </c:pt>
                <c:pt idx="55">
                  <c:v>2.873507228571087</c:v>
                </c:pt>
                <c:pt idx="56">
                  <c:v>3.1386939467141026</c:v>
                </c:pt>
                <c:pt idx="57">
                  <c:v>3.1504291127543178</c:v>
                </c:pt>
                <c:pt idx="58">
                  <c:v>5.7444446916190257</c:v>
                </c:pt>
                <c:pt idx="59">
                  <c:v>3.6149631059123952</c:v>
                </c:pt>
                <c:pt idx="60">
                  <c:v>4.5377005466246398</c:v>
                </c:pt>
                <c:pt idx="61">
                  <c:v>5.4350386864311533</c:v>
                </c:pt>
                <c:pt idx="62">
                  <c:v>5.0156439822759262</c:v>
                </c:pt>
                <c:pt idx="63">
                  <c:v>5.0865896869531655</c:v>
                </c:pt>
                <c:pt idx="64">
                  <c:v>4.6033839101098089</c:v>
                </c:pt>
                <c:pt idx="65">
                  <c:v>6.0950798752842346</c:v>
                </c:pt>
                <c:pt idx="66">
                  <c:v>4.1784866721145333</c:v>
                </c:pt>
                <c:pt idx="67">
                  <c:v>3.5753670828197959</c:v>
                </c:pt>
                <c:pt idx="68">
                  <c:v>4.922058478962601</c:v>
                </c:pt>
                <c:pt idx="69">
                  <c:v>4.6168162556488932</c:v>
                </c:pt>
                <c:pt idx="70">
                  <c:v>5.9397315138499298</c:v>
                </c:pt>
                <c:pt idx="71">
                  <c:v>4.2331583122084542</c:v>
                </c:pt>
                <c:pt idx="72">
                  <c:v>3.2706107729384666</c:v>
                </c:pt>
                <c:pt idx="73">
                  <c:v>2.813304304850333</c:v>
                </c:pt>
                <c:pt idx="74">
                  <c:v>2.1613886491195715</c:v>
                </c:pt>
                <c:pt idx="75">
                  <c:v>2.6646060977322454</c:v>
                </c:pt>
                <c:pt idx="76">
                  <c:v>5.2892332666715127</c:v>
                </c:pt>
                <c:pt idx="77">
                  <c:v>6.1172312623532967</c:v>
                </c:pt>
                <c:pt idx="78">
                  <c:v>3.8848557074272501</c:v>
                </c:pt>
                <c:pt idx="79">
                  <c:v>2.4480313763543116</c:v>
                </c:pt>
                <c:pt idx="80">
                  <c:v>5.4742693727764316</c:v>
                </c:pt>
                <c:pt idx="81">
                  <c:v>2.7728270548852754</c:v>
                </c:pt>
                <c:pt idx="82">
                  <c:v>2.89417202020765</c:v>
                </c:pt>
                <c:pt idx="83">
                  <c:v>4.675006868362459</c:v>
                </c:pt>
                <c:pt idx="84">
                  <c:v>6.0155416321801098</c:v>
                </c:pt>
                <c:pt idx="85">
                  <c:v>3.7597374664458001</c:v>
                </c:pt>
                <c:pt idx="86">
                  <c:v>4.0861523542982372</c:v>
                </c:pt>
                <c:pt idx="87">
                  <c:v>2.8145595109318777</c:v>
                </c:pt>
                <c:pt idx="88">
                  <c:v>5.1097061809284492</c:v>
                </c:pt>
                <c:pt idx="89">
                  <c:v>3.5654228322564419</c:v>
                </c:pt>
                <c:pt idx="90">
                  <c:v>4.1191229757779331</c:v>
                </c:pt>
                <c:pt idx="91">
                  <c:v>5.6290819888458969</c:v>
                </c:pt>
                <c:pt idx="92">
                  <c:v>4.1556375857223449</c:v>
                </c:pt>
                <c:pt idx="93">
                  <c:v>3.8296820034297259</c:v>
                </c:pt>
                <c:pt idx="94">
                  <c:v>5.0167896062981363</c:v>
                </c:pt>
                <c:pt idx="95">
                  <c:v>3.270111965725083</c:v>
                </c:pt>
                <c:pt idx="96">
                  <c:v>4.4601570317329022</c:v>
                </c:pt>
                <c:pt idx="97">
                  <c:v>4.8966386935902895</c:v>
                </c:pt>
                <c:pt idx="98">
                  <c:v>5.3773750107962481</c:v>
                </c:pt>
                <c:pt idx="99">
                  <c:v>5.4047961357589518</c:v>
                </c:pt>
                <c:pt idx="100">
                  <c:v>3.5645162306127602</c:v>
                </c:pt>
                <c:pt idx="101">
                  <c:v>5.8068054764542554</c:v>
                </c:pt>
                <c:pt idx="102">
                  <c:v>4.6092037957009255</c:v>
                </c:pt>
                <c:pt idx="103">
                  <c:v>4.5474928278378446</c:v>
                </c:pt>
                <c:pt idx="104">
                  <c:v>4.9775117548495436</c:v>
                </c:pt>
                <c:pt idx="105">
                  <c:v>5.8418529420716938</c:v>
                </c:pt>
                <c:pt idx="106">
                  <c:v>5.5987828297449536</c:v>
                </c:pt>
                <c:pt idx="107">
                  <c:v>3.0488105814260318</c:v>
                </c:pt>
                <c:pt idx="108">
                  <c:v>4.8450598800599076</c:v>
                </c:pt>
                <c:pt idx="109">
                  <c:v>5.2308703734442279</c:v>
                </c:pt>
                <c:pt idx="110">
                  <c:v>5.754904019037725</c:v>
                </c:pt>
                <c:pt idx="111">
                  <c:v>5.902524964063339</c:v>
                </c:pt>
                <c:pt idx="112">
                  <c:v>3.7686811643469067</c:v>
                </c:pt>
                <c:pt idx="113">
                  <c:v>4.1655889760323674</c:v>
                </c:pt>
                <c:pt idx="114">
                  <c:v>5.7208768430705836</c:v>
                </c:pt>
                <c:pt idx="115">
                  <c:v>6.08745584215783</c:v>
                </c:pt>
                <c:pt idx="116">
                  <c:v>4.2953747900994452</c:v>
                </c:pt>
                <c:pt idx="117">
                  <c:v>4.7898684313039483</c:v>
                </c:pt>
                <c:pt idx="118">
                  <c:v>4.140628897241541</c:v>
                </c:pt>
                <c:pt idx="119">
                  <c:v>6.1077119534603339</c:v>
                </c:pt>
                <c:pt idx="120">
                  <c:v>5.6536961418733753</c:v>
                </c:pt>
                <c:pt idx="121">
                  <c:v>6.0730786929090677</c:v>
                </c:pt>
                <c:pt idx="122">
                  <c:v>5.0341956633286919</c:v>
                </c:pt>
                <c:pt idx="123">
                  <c:v>4.6186786136242697</c:v>
                </c:pt>
                <c:pt idx="124">
                  <c:v>5.3072505246010007</c:v>
                </c:pt>
                <c:pt idx="125">
                  <c:v>5.5081394630491234</c:v>
                </c:pt>
                <c:pt idx="126">
                  <c:v>5.838803792875142</c:v>
                </c:pt>
                <c:pt idx="127">
                  <c:v>6.2605144582195171</c:v>
                </c:pt>
                <c:pt idx="128">
                  <c:v>4.8480471277185861</c:v>
                </c:pt>
                <c:pt idx="129">
                  <c:v>6.4333012382512331</c:v>
                </c:pt>
                <c:pt idx="130">
                  <c:v>5.6334663334552495</c:v>
                </c:pt>
                <c:pt idx="131">
                  <c:v>6.2709134973285403</c:v>
                </c:pt>
                <c:pt idx="132">
                  <c:v>6.0352194015699432</c:v>
                </c:pt>
                <c:pt idx="133">
                  <c:v>6.6700219407933625</c:v>
                </c:pt>
                <c:pt idx="134">
                  <c:v>6.352568886914062</c:v>
                </c:pt>
                <c:pt idx="135">
                  <c:v>5.9719760650646148</c:v>
                </c:pt>
                <c:pt idx="136">
                  <c:v>5.7005365530493295</c:v>
                </c:pt>
                <c:pt idx="137">
                  <c:v>5.4346795484217481</c:v>
                </c:pt>
                <c:pt idx="138">
                  <c:v>6.3912288420856767</c:v>
                </c:pt>
                <c:pt idx="139">
                  <c:v>6.5086442540028413</c:v>
                </c:pt>
                <c:pt idx="140">
                  <c:v>7.0042131194003048</c:v>
                </c:pt>
                <c:pt idx="141">
                  <c:v>6.226769993752443</c:v>
                </c:pt>
                <c:pt idx="142">
                  <c:v>5.8049334238659576</c:v>
                </c:pt>
                <c:pt idx="143">
                  <c:v>6.5635311944378216</c:v>
                </c:pt>
                <c:pt idx="144">
                  <c:v>6.509359678379286</c:v>
                </c:pt>
                <c:pt idx="145">
                  <c:v>7.3199005410988525</c:v>
                </c:pt>
                <c:pt idx="146">
                  <c:v>7.2981300051338112</c:v>
                </c:pt>
                <c:pt idx="147">
                  <c:v>6.4367166775064897</c:v>
                </c:pt>
                <c:pt idx="148">
                  <c:v>7.230065834591084</c:v>
                </c:pt>
                <c:pt idx="149">
                  <c:v>6.7695685414344364</c:v>
                </c:pt>
              </c:numCache>
            </c:numRef>
          </c:yVal>
          <c:smooth val="0"/>
          <c:extLst>
            <c:ext xmlns:c16="http://schemas.microsoft.com/office/drawing/2014/chart" uri="{C3380CC4-5D6E-409C-BE32-E72D297353CC}">
              <c16:uniqueId val="{00000001-CB97-4C3F-A778-0C52B622D86E}"/>
            </c:ext>
          </c:extLst>
        </c:ser>
        <c:ser>
          <c:idx val="1"/>
          <c:order val="1"/>
          <c:tx>
            <c:strRef>
              <c:f>X!$Y$1</c:f>
              <c:strCache>
                <c:ptCount val="1"/>
                <c:pt idx="0">
                  <c:v>share CPU NF</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9.6780738946093278E-2"/>
                  <c:y val="-7.221493146689998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X!$Y$2:$Y$151</c:f>
              <c:numCache>
                <c:formatCode>General</c:formatCode>
                <c:ptCount val="150"/>
                <c:pt idx="0">
                  <c:v>7.5378101460527855E-2</c:v>
                </c:pt>
                <c:pt idx="1">
                  <c:v>7.8479853069739536E-2</c:v>
                </c:pt>
                <c:pt idx="2">
                  <c:v>9.9278110835958389E-2</c:v>
                </c:pt>
                <c:pt idx="3">
                  <c:v>0.10377498438333432</c:v>
                </c:pt>
                <c:pt idx="4">
                  <c:v>0.15415731291566162</c:v>
                </c:pt>
                <c:pt idx="5">
                  <c:v>0.1603957749748344</c:v>
                </c:pt>
                <c:pt idx="6">
                  <c:v>0.16138944356576437</c:v>
                </c:pt>
                <c:pt idx="7">
                  <c:v>0.16394702264468444</c:v>
                </c:pt>
                <c:pt idx="8">
                  <c:v>0.16467811611715136</c:v>
                </c:pt>
                <c:pt idx="9">
                  <c:v>0.17089875280743561</c:v>
                </c:pt>
                <c:pt idx="10">
                  <c:v>0.17745027636957769</c:v>
                </c:pt>
                <c:pt idx="11">
                  <c:v>0.18757943224469548</c:v>
                </c:pt>
                <c:pt idx="12">
                  <c:v>0.1889113078899739</c:v>
                </c:pt>
                <c:pt idx="13">
                  <c:v>0.19013108228268413</c:v>
                </c:pt>
                <c:pt idx="14">
                  <c:v>0.19965756545831506</c:v>
                </c:pt>
                <c:pt idx="15">
                  <c:v>0.20393884199750981</c:v>
                </c:pt>
                <c:pt idx="16">
                  <c:v>0.23152318117821796</c:v>
                </c:pt>
                <c:pt idx="17">
                  <c:v>0.23693046484779781</c:v>
                </c:pt>
                <c:pt idx="18">
                  <c:v>0.24433861928844622</c:v>
                </c:pt>
                <c:pt idx="19">
                  <c:v>0.24565058897349773</c:v>
                </c:pt>
                <c:pt idx="20">
                  <c:v>0.25346732815955836</c:v>
                </c:pt>
                <c:pt idx="21">
                  <c:v>0.25570689957006465</c:v>
                </c:pt>
                <c:pt idx="22">
                  <c:v>0.25644343522011792</c:v>
                </c:pt>
                <c:pt idx="23">
                  <c:v>0.25895018268500875</c:v>
                </c:pt>
                <c:pt idx="24">
                  <c:v>0.26277341391173903</c:v>
                </c:pt>
                <c:pt idx="25">
                  <c:v>0.26452703936912547</c:v>
                </c:pt>
                <c:pt idx="26">
                  <c:v>0.26457915923005387</c:v>
                </c:pt>
                <c:pt idx="27">
                  <c:v>0.26596719612474401</c:v>
                </c:pt>
                <c:pt idx="28">
                  <c:v>0.27827457182022275</c:v>
                </c:pt>
                <c:pt idx="29">
                  <c:v>0.27914650788438772</c:v>
                </c:pt>
                <c:pt idx="30">
                  <c:v>0.27928071552001582</c:v>
                </c:pt>
                <c:pt idx="31">
                  <c:v>0.28032026318223363</c:v>
                </c:pt>
                <c:pt idx="32">
                  <c:v>0.28665256691033919</c:v>
                </c:pt>
                <c:pt idx="33">
                  <c:v>0.3089222601445144</c:v>
                </c:pt>
                <c:pt idx="34">
                  <c:v>0.30984051684389613</c:v>
                </c:pt>
                <c:pt idx="35">
                  <c:v>0.3116437238486211</c:v>
                </c:pt>
                <c:pt idx="36">
                  <c:v>0.31439820442750693</c:v>
                </c:pt>
                <c:pt idx="37">
                  <c:v>0.31486710756017183</c:v>
                </c:pt>
                <c:pt idx="38">
                  <c:v>0.32180504394990417</c:v>
                </c:pt>
                <c:pt idx="39">
                  <c:v>0.32594350121371263</c:v>
                </c:pt>
                <c:pt idx="40">
                  <c:v>0.3273193389256393</c:v>
                </c:pt>
                <c:pt idx="41">
                  <c:v>0.32900983999987504</c:v>
                </c:pt>
                <c:pt idx="42">
                  <c:v>0.33801897583439339</c:v>
                </c:pt>
                <c:pt idx="43">
                  <c:v>0.33932266250706211</c:v>
                </c:pt>
                <c:pt idx="44">
                  <c:v>0.34026007956100585</c:v>
                </c:pt>
                <c:pt idx="45">
                  <c:v>0.34427533797878845</c:v>
                </c:pt>
                <c:pt idx="46">
                  <c:v>0.35605704184243464</c:v>
                </c:pt>
                <c:pt idx="47">
                  <c:v>0.35667789470895828</c:v>
                </c:pt>
                <c:pt idx="48">
                  <c:v>0.35898487659078271</c:v>
                </c:pt>
                <c:pt idx="49">
                  <c:v>0.36057623374912939</c:v>
                </c:pt>
                <c:pt idx="50">
                  <c:v>0.36151967689410308</c:v>
                </c:pt>
                <c:pt idx="51">
                  <c:v>0.36425970776519584</c:v>
                </c:pt>
                <c:pt idx="52">
                  <c:v>0.36702229751310844</c:v>
                </c:pt>
                <c:pt idx="53">
                  <c:v>0.36733592862035086</c:v>
                </c:pt>
                <c:pt idx="54">
                  <c:v>0.36868838736195686</c:v>
                </c:pt>
                <c:pt idx="55">
                  <c:v>0.37764537514018481</c:v>
                </c:pt>
                <c:pt idx="56">
                  <c:v>0.37850394052172937</c:v>
                </c:pt>
                <c:pt idx="57">
                  <c:v>0.37910509870026465</c:v>
                </c:pt>
                <c:pt idx="58">
                  <c:v>0.37970220231390001</c:v>
                </c:pt>
                <c:pt idx="59">
                  <c:v>0.38565693297657611</c:v>
                </c:pt>
                <c:pt idx="60">
                  <c:v>0.39016835779711279</c:v>
                </c:pt>
                <c:pt idx="61">
                  <c:v>0.39898909189875298</c:v>
                </c:pt>
                <c:pt idx="62">
                  <c:v>0.39946965019642877</c:v>
                </c:pt>
                <c:pt idx="63">
                  <c:v>0.40726032426604397</c:v>
                </c:pt>
                <c:pt idx="64">
                  <c:v>0.40764459823757276</c:v>
                </c:pt>
                <c:pt idx="65">
                  <c:v>0.41080534891330756</c:v>
                </c:pt>
                <c:pt idx="66">
                  <c:v>0.41208433103728775</c:v>
                </c:pt>
                <c:pt idx="67">
                  <c:v>0.41704443373703637</c:v>
                </c:pt>
                <c:pt idx="68">
                  <c:v>0.41820252298948096</c:v>
                </c:pt>
                <c:pt idx="69">
                  <c:v>0.4206028111878008</c:v>
                </c:pt>
                <c:pt idx="70">
                  <c:v>0.42107308531571319</c:v>
                </c:pt>
                <c:pt idx="71">
                  <c:v>0.42315613388345236</c:v>
                </c:pt>
                <c:pt idx="72">
                  <c:v>0.42498150862102912</c:v>
                </c:pt>
                <c:pt idx="73">
                  <c:v>0.43348848859761463</c:v>
                </c:pt>
                <c:pt idx="74">
                  <c:v>0.44070870712512433</c:v>
                </c:pt>
                <c:pt idx="75">
                  <c:v>0.45150403475860301</c:v>
                </c:pt>
                <c:pt idx="76">
                  <c:v>0.45196046657854128</c:v>
                </c:pt>
                <c:pt idx="77">
                  <c:v>0.45537125551940016</c:v>
                </c:pt>
                <c:pt idx="78">
                  <c:v>0.46980423453803394</c:v>
                </c:pt>
                <c:pt idx="79">
                  <c:v>0.47218868508601441</c:v>
                </c:pt>
                <c:pt idx="80">
                  <c:v>0.47808111890843885</c:v>
                </c:pt>
                <c:pt idx="81">
                  <c:v>0.47818849008973369</c:v>
                </c:pt>
                <c:pt idx="82">
                  <c:v>0.48852269344758625</c:v>
                </c:pt>
                <c:pt idx="83">
                  <c:v>0.48898060363517792</c:v>
                </c:pt>
                <c:pt idx="84">
                  <c:v>0.50226448600554885</c:v>
                </c:pt>
                <c:pt idx="85">
                  <c:v>0.50361650459984286</c:v>
                </c:pt>
                <c:pt idx="86">
                  <c:v>0.50667757137854585</c:v>
                </c:pt>
                <c:pt idx="87">
                  <c:v>0.51125796847544269</c:v>
                </c:pt>
                <c:pt idx="88">
                  <c:v>0.51300097530827238</c:v>
                </c:pt>
                <c:pt idx="89">
                  <c:v>0.51456521678080802</c:v>
                </c:pt>
                <c:pt idx="90">
                  <c:v>0.51959564098089417</c:v>
                </c:pt>
                <c:pt idx="91">
                  <c:v>0.52141172850252382</c:v>
                </c:pt>
                <c:pt idx="92">
                  <c:v>0.52863694591796073</c:v>
                </c:pt>
                <c:pt idx="93">
                  <c:v>0.53139436635774362</c:v>
                </c:pt>
                <c:pt idx="94">
                  <c:v>0.53250798928253029</c:v>
                </c:pt>
                <c:pt idx="95">
                  <c:v>0.53387918964063374</c:v>
                </c:pt>
                <c:pt idx="96">
                  <c:v>0.53671336521831514</c:v>
                </c:pt>
                <c:pt idx="97">
                  <c:v>0.53892484706048271</c:v>
                </c:pt>
                <c:pt idx="98">
                  <c:v>0.54101719772734291</c:v>
                </c:pt>
                <c:pt idx="99">
                  <c:v>0.54739193747713388</c:v>
                </c:pt>
                <c:pt idx="100">
                  <c:v>0.55145521732332858</c:v>
                </c:pt>
                <c:pt idx="101">
                  <c:v>0.55289980665895111</c:v>
                </c:pt>
                <c:pt idx="102">
                  <c:v>0.56162773462233362</c:v>
                </c:pt>
                <c:pt idx="103">
                  <c:v>0.56191406418587786</c:v>
                </c:pt>
                <c:pt idx="104">
                  <c:v>0.56203840035617414</c:v>
                </c:pt>
                <c:pt idx="105">
                  <c:v>0.5821210117174942</c:v>
                </c:pt>
                <c:pt idx="106">
                  <c:v>0.58318699654547435</c:v>
                </c:pt>
                <c:pt idx="107">
                  <c:v>0.59256508201960023</c:v>
                </c:pt>
                <c:pt idx="108">
                  <c:v>0.5942403994849198</c:v>
                </c:pt>
                <c:pt idx="109">
                  <c:v>0.59779507046758917</c:v>
                </c:pt>
                <c:pt idx="110">
                  <c:v>0.60058685283971136</c:v>
                </c:pt>
                <c:pt idx="111">
                  <c:v>0.60120030117410161</c:v>
                </c:pt>
                <c:pt idx="112">
                  <c:v>0.60153123493957361</c:v>
                </c:pt>
                <c:pt idx="113">
                  <c:v>0.60305612998677705</c:v>
                </c:pt>
                <c:pt idx="114">
                  <c:v>0.61311652584969811</c:v>
                </c:pt>
                <c:pt idx="115">
                  <c:v>0.62206844210777545</c:v>
                </c:pt>
                <c:pt idx="116">
                  <c:v>0.62236150398166756</c:v>
                </c:pt>
                <c:pt idx="117">
                  <c:v>0.62794960895635654</c:v>
                </c:pt>
                <c:pt idx="118">
                  <c:v>0.63261156973568422</c:v>
                </c:pt>
                <c:pt idx="119">
                  <c:v>0.63529252512017442</c:v>
                </c:pt>
                <c:pt idx="120">
                  <c:v>0.6456775902507681</c:v>
                </c:pt>
                <c:pt idx="121">
                  <c:v>0.65410173993356158</c:v>
                </c:pt>
                <c:pt idx="122">
                  <c:v>0.66110414112964744</c:v>
                </c:pt>
                <c:pt idx="123">
                  <c:v>0.66387242557513981</c:v>
                </c:pt>
                <c:pt idx="124">
                  <c:v>0.66708140843358388</c:v>
                </c:pt>
                <c:pt idx="125">
                  <c:v>0.67380086779032533</c:v>
                </c:pt>
                <c:pt idx="126">
                  <c:v>0.68080307083479163</c:v>
                </c:pt>
                <c:pt idx="127">
                  <c:v>0.68136396007582656</c:v>
                </c:pt>
                <c:pt idx="128">
                  <c:v>0.69891608623658996</c:v>
                </c:pt>
                <c:pt idx="129">
                  <c:v>0.70124230831395185</c:v>
                </c:pt>
                <c:pt idx="130">
                  <c:v>0.70379149839552879</c:v>
                </c:pt>
                <c:pt idx="131">
                  <c:v>0.71759039917154921</c:v>
                </c:pt>
                <c:pt idx="132">
                  <c:v>0.71780519275373422</c:v>
                </c:pt>
                <c:pt idx="133">
                  <c:v>0.72343192152793023</c:v>
                </c:pt>
                <c:pt idx="134">
                  <c:v>0.72411968975796337</c:v>
                </c:pt>
                <c:pt idx="135">
                  <c:v>0.72520663159671306</c:v>
                </c:pt>
                <c:pt idx="136">
                  <c:v>0.72574130251946878</c:v>
                </c:pt>
                <c:pt idx="137">
                  <c:v>0.74613497588333422</c:v>
                </c:pt>
                <c:pt idx="138">
                  <c:v>0.75144589299980857</c:v>
                </c:pt>
                <c:pt idx="139">
                  <c:v>0.78160302714111518</c:v>
                </c:pt>
                <c:pt idx="140">
                  <c:v>0.78463571848635827</c:v>
                </c:pt>
                <c:pt idx="141">
                  <c:v>0.78633788991954445</c:v>
                </c:pt>
                <c:pt idx="142">
                  <c:v>0.78814933581229896</c:v>
                </c:pt>
                <c:pt idx="143">
                  <c:v>0.79543077892856506</c:v>
                </c:pt>
                <c:pt idx="144">
                  <c:v>0.82367858072060107</c:v>
                </c:pt>
                <c:pt idx="145">
                  <c:v>0.8354132712821577</c:v>
                </c:pt>
                <c:pt idx="146">
                  <c:v>0.90053300110725376</c:v>
                </c:pt>
                <c:pt idx="147">
                  <c:v>0.91417002097715105</c:v>
                </c:pt>
                <c:pt idx="148">
                  <c:v>0.95429370944575487</c:v>
                </c:pt>
                <c:pt idx="149">
                  <c:v>0.96388679483258399</c:v>
                </c:pt>
              </c:numCache>
            </c:numRef>
          </c:xVal>
          <c:yVal>
            <c:numRef>
              <c:f>X!$K$2:$K$151</c:f>
              <c:numCache>
                <c:formatCode>General</c:formatCode>
                <c:ptCount val="150"/>
                <c:pt idx="0">
                  <c:v>3.8541995614415998</c:v>
                </c:pt>
                <c:pt idx="1">
                  <c:v>2.9704718889994735</c:v>
                </c:pt>
                <c:pt idx="2">
                  <c:v>3.2506139333109849</c:v>
                </c:pt>
                <c:pt idx="3">
                  <c:v>3.3791650925688606</c:v>
                </c:pt>
                <c:pt idx="4">
                  <c:v>2.6584238914624603</c:v>
                </c:pt>
                <c:pt idx="5">
                  <c:v>3.6403501870932584</c:v>
                </c:pt>
                <c:pt idx="6">
                  <c:v>2.2536953618804176</c:v>
                </c:pt>
                <c:pt idx="7">
                  <c:v>4.4666609284673724</c:v>
                </c:pt>
                <c:pt idx="8">
                  <c:v>3.8176520909673504</c:v>
                </c:pt>
                <c:pt idx="9">
                  <c:v>3.9432912973794916</c:v>
                </c:pt>
                <c:pt idx="10">
                  <c:v>4.1138740656453914</c:v>
                </c:pt>
                <c:pt idx="11">
                  <c:v>4.5454012319530834</c:v>
                </c:pt>
                <c:pt idx="12">
                  <c:v>4.0187385676737559</c:v>
                </c:pt>
                <c:pt idx="13">
                  <c:v>4.4550860222189312</c:v>
                </c:pt>
                <c:pt idx="14">
                  <c:v>4.8672886753386058</c:v>
                </c:pt>
                <c:pt idx="15">
                  <c:v>3.6043463069116561</c:v>
                </c:pt>
                <c:pt idx="16">
                  <c:v>2.7257657280138643</c:v>
                </c:pt>
                <c:pt idx="17">
                  <c:v>4.0573729406426988</c:v>
                </c:pt>
                <c:pt idx="18">
                  <c:v>3.9463607027608463</c:v>
                </c:pt>
                <c:pt idx="19">
                  <c:v>2.894225546675036</c:v>
                </c:pt>
                <c:pt idx="20">
                  <c:v>3.4566760712613998</c:v>
                </c:pt>
                <c:pt idx="21">
                  <c:v>5.0158958371228524</c:v>
                </c:pt>
                <c:pt idx="22">
                  <c:v>3.5546931480898194</c:v>
                </c:pt>
                <c:pt idx="23">
                  <c:v>5.5394757067819977</c:v>
                </c:pt>
                <c:pt idx="24">
                  <c:v>2.3259181809421468</c:v>
                </c:pt>
                <c:pt idx="25">
                  <c:v>4.3569490470821055</c:v>
                </c:pt>
                <c:pt idx="26">
                  <c:v>2.6011021907616132</c:v>
                </c:pt>
                <c:pt idx="27">
                  <c:v>3.7139689140007182</c:v>
                </c:pt>
                <c:pt idx="28">
                  <c:v>4.4429598642800112</c:v>
                </c:pt>
                <c:pt idx="29">
                  <c:v>3.3076889977578494</c:v>
                </c:pt>
                <c:pt idx="30">
                  <c:v>4.0508120374768222</c:v>
                </c:pt>
                <c:pt idx="31">
                  <c:v>5.8241288262042978</c:v>
                </c:pt>
                <c:pt idx="32">
                  <c:v>3.8594248724286135</c:v>
                </c:pt>
                <c:pt idx="33">
                  <c:v>5.5753187126530834</c:v>
                </c:pt>
                <c:pt idx="34">
                  <c:v>5.3392705217493335</c:v>
                </c:pt>
                <c:pt idx="35">
                  <c:v>5.9900152265343376</c:v>
                </c:pt>
                <c:pt idx="36">
                  <c:v>4.9103570903192351</c:v>
                </c:pt>
                <c:pt idx="37">
                  <c:v>2.7952912460066104</c:v>
                </c:pt>
                <c:pt idx="38">
                  <c:v>4.8212792352042646</c:v>
                </c:pt>
                <c:pt idx="39">
                  <c:v>3.3447049363352721</c:v>
                </c:pt>
                <c:pt idx="40">
                  <c:v>4.168214011709253</c:v>
                </c:pt>
                <c:pt idx="41">
                  <c:v>5.9024526812569542</c:v>
                </c:pt>
                <c:pt idx="42">
                  <c:v>4.1187523248330296</c:v>
                </c:pt>
                <c:pt idx="43">
                  <c:v>4.9520498854225528</c:v>
                </c:pt>
                <c:pt idx="44">
                  <c:v>2.3908802292201616</c:v>
                </c:pt>
                <c:pt idx="45">
                  <c:v>2.0946000316330062</c:v>
                </c:pt>
                <c:pt idx="46">
                  <c:v>3.0921532603441277</c:v>
                </c:pt>
                <c:pt idx="47">
                  <c:v>4.263102362083881</c:v>
                </c:pt>
                <c:pt idx="48">
                  <c:v>3.0345556116703514</c:v>
                </c:pt>
                <c:pt idx="49">
                  <c:v>5.3943229579302123</c:v>
                </c:pt>
                <c:pt idx="50">
                  <c:v>4.545650364492472</c:v>
                </c:pt>
                <c:pt idx="51">
                  <c:v>3.6123842958364745</c:v>
                </c:pt>
                <c:pt idx="52">
                  <c:v>2.8702762789282543</c:v>
                </c:pt>
                <c:pt idx="53">
                  <c:v>5.2704826481136822</c:v>
                </c:pt>
                <c:pt idx="54">
                  <c:v>4.4683263207344623</c:v>
                </c:pt>
                <c:pt idx="55">
                  <c:v>2.873507228571087</c:v>
                </c:pt>
                <c:pt idx="56">
                  <c:v>3.1386939467141026</c:v>
                </c:pt>
                <c:pt idx="57">
                  <c:v>3.1504291127543178</c:v>
                </c:pt>
                <c:pt idx="58">
                  <c:v>5.7444446916190257</c:v>
                </c:pt>
                <c:pt idx="59">
                  <c:v>3.6149631059123952</c:v>
                </c:pt>
                <c:pt idx="60">
                  <c:v>4.5377005466246398</c:v>
                </c:pt>
                <c:pt idx="61">
                  <c:v>5.4350386864311533</c:v>
                </c:pt>
                <c:pt idx="62">
                  <c:v>5.0156439822759262</c:v>
                </c:pt>
                <c:pt idx="63">
                  <c:v>5.0865896869531655</c:v>
                </c:pt>
                <c:pt idx="64">
                  <c:v>4.6033839101098089</c:v>
                </c:pt>
                <c:pt idx="65">
                  <c:v>6.0950798752842346</c:v>
                </c:pt>
                <c:pt idx="66">
                  <c:v>4.1784866721145333</c:v>
                </c:pt>
                <c:pt idx="67">
                  <c:v>3.5753670828197959</c:v>
                </c:pt>
                <c:pt idx="68">
                  <c:v>4.922058478962601</c:v>
                </c:pt>
                <c:pt idx="69">
                  <c:v>4.6168162556488932</c:v>
                </c:pt>
                <c:pt idx="70">
                  <c:v>5.9397315138499298</c:v>
                </c:pt>
                <c:pt idx="71">
                  <c:v>4.2331583122084542</c:v>
                </c:pt>
                <c:pt idx="72">
                  <c:v>3.2706107729384666</c:v>
                </c:pt>
                <c:pt idx="73">
                  <c:v>2.813304304850333</c:v>
                </c:pt>
                <c:pt idx="74">
                  <c:v>2.1613886491195715</c:v>
                </c:pt>
                <c:pt idx="75">
                  <c:v>2.6646060977322454</c:v>
                </c:pt>
                <c:pt idx="76">
                  <c:v>5.2892332666715127</c:v>
                </c:pt>
                <c:pt idx="77">
                  <c:v>6.1172312623532967</c:v>
                </c:pt>
                <c:pt idx="78">
                  <c:v>3.8848557074272501</c:v>
                </c:pt>
                <c:pt idx="79">
                  <c:v>2.4480313763543116</c:v>
                </c:pt>
                <c:pt idx="80">
                  <c:v>5.4742693727764316</c:v>
                </c:pt>
                <c:pt idx="81">
                  <c:v>2.7728270548852754</c:v>
                </c:pt>
                <c:pt idx="82">
                  <c:v>2.89417202020765</c:v>
                </c:pt>
                <c:pt idx="83">
                  <c:v>4.675006868362459</c:v>
                </c:pt>
                <c:pt idx="84">
                  <c:v>6.0155416321801098</c:v>
                </c:pt>
                <c:pt idx="85">
                  <c:v>3.7597374664458001</c:v>
                </c:pt>
                <c:pt idx="86">
                  <c:v>4.0861523542982372</c:v>
                </c:pt>
                <c:pt idx="87">
                  <c:v>2.8145595109318777</c:v>
                </c:pt>
                <c:pt idx="88">
                  <c:v>5.1097061809284492</c:v>
                </c:pt>
                <c:pt idx="89">
                  <c:v>3.5654228322564419</c:v>
                </c:pt>
                <c:pt idx="90">
                  <c:v>4.1191229757779331</c:v>
                </c:pt>
                <c:pt idx="91">
                  <c:v>5.6290819888458969</c:v>
                </c:pt>
                <c:pt idx="92">
                  <c:v>4.1556375857223449</c:v>
                </c:pt>
                <c:pt idx="93">
                  <c:v>3.8296820034297259</c:v>
                </c:pt>
                <c:pt idx="94">
                  <c:v>5.0167896062981363</c:v>
                </c:pt>
                <c:pt idx="95">
                  <c:v>3.270111965725083</c:v>
                </c:pt>
                <c:pt idx="96">
                  <c:v>4.4601570317329022</c:v>
                </c:pt>
                <c:pt idx="97">
                  <c:v>4.8966386935902895</c:v>
                </c:pt>
                <c:pt idx="98">
                  <c:v>5.3773750107962481</c:v>
                </c:pt>
                <c:pt idx="99">
                  <c:v>5.4047961357589518</c:v>
                </c:pt>
                <c:pt idx="100">
                  <c:v>3.5645162306127602</c:v>
                </c:pt>
                <c:pt idx="101">
                  <c:v>5.8068054764542554</c:v>
                </c:pt>
                <c:pt idx="102">
                  <c:v>4.6092037957009255</c:v>
                </c:pt>
                <c:pt idx="103">
                  <c:v>4.5474928278378446</c:v>
                </c:pt>
                <c:pt idx="104">
                  <c:v>4.9775117548495436</c:v>
                </c:pt>
                <c:pt idx="105">
                  <c:v>5.8418529420716938</c:v>
                </c:pt>
                <c:pt idx="106">
                  <c:v>5.5987828297449536</c:v>
                </c:pt>
                <c:pt idx="107">
                  <c:v>3.0488105814260318</c:v>
                </c:pt>
                <c:pt idx="108">
                  <c:v>4.8450598800599076</c:v>
                </c:pt>
                <c:pt idx="109">
                  <c:v>5.2308703734442279</c:v>
                </c:pt>
                <c:pt idx="110">
                  <c:v>5.754904019037725</c:v>
                </c:pt>
                <c:pt idx="111">
                  <c:v>5.902524964063339</c:v>
                </c:pt>
                <c:pt idx="112">
                  <c:v>3.7686811643469067</c:v>
                </c:pt>
                <c:pt idx="113">
                  <c:v>4.1655889760323674</c:v>
                </c:pt>
                <c:pt idx="114">
                  <c:v>5.7208768430705836</c:v>
                </c:pt>
                <c:pt idx="115">
                  <c:v>6.08745584215783</c:v>
                </c:pt>
                <c:pt idx="116">
                  <c:v>4.2953747900994452</c:v>
                </c:pt>
                <c:pt idx="117">
                  <c:v>4.7898684313039483</c:v>
                </c:pt>
                <c:pt idx="118">
                  <c:v>4.140628897241541</c:v>
                </c:pt>
                <c:pt idx="119">
                  <c:v>6.1077119534603339</c:v>
                </c:pt>
                <c:pt idx="120">
                  <c:v>5.6536961418733753</c:v>
                </c:pt>
                <c:pt idx="121">
                  <c:v>6.0730786929090677</c:v>
                </c:pt>
                <c:pt idx="122">
                  <c:v>5.0341956633286919</c:v>
                </c:pt>
                <c:pt idx="123">
                  <c:v>4.6186786136242697</c:v>
                </c:pt>
                <c:pt idx="124">
                  <c:v>5.3072505246010007</c:v>
                </c:pt>
                <c:pt idx="125">
                  <c:v>5.5081394630491234</c:v>
                </c:pt>
                <c:pt idx="126">
                  <c:v>5.838803792875142</c:v>
                </c:pt>
                <c:pt idx="127">
                  <c:v>6.2605144582195171</c:v>
                </c:pt>
                <c:pt idx="128">
                  <c:v>4.8480471277185861</c:v>
                </c:pt>
                <c:pt idx="129">
                  <c:v>6.4333012382512331</c:v>
                </c:pt>
                <c:pt idx="130">
                  <c:v>5.6334663334552495</c:v>
                </c:pt>
                <c:pt idx="131">
                  <c:v>6.2709134973285403</c:v>
                </c:pt>
                <c:pt idx="132">
                  <c:v>6.0352194015699432</c:v>
                </c:pt>
                <c:pt idx="133">
                  <c:v>6.6700219407933625</c:v>
                </c:pt>
                <c:pt idx="134">
                  <c:v>6.352568886914062</c:v>
                </c:pt>
                <c:pt idx="135">
                  <c:v>5.9719760650646148</c:v>
                </c:pt>
                <c:pt idx="136">
                  <c:v>5.7005365530493295</c:v>
                </c:pt>
                <c:pt idx="137">
                  <c:v>5.4346795484217481</c:v>
                </c:pt>
                <c:pt idx="138">
                  <c:v>6.3912288420856767</c:v>
                </c:pt>
                <c:pt idx="139">
                  <c:v>6.5086442540028413</c:v>
                </c:pt>
                <c:pt idx="140">
                  <c:v>7.0042131194003048</c:v>
                </c:pt>
                <c:pt idx="141">
                  <c:v>6.226769993752443</c:v>
                </c:pt>
                <c:pt idx="142">
                  <c:v>5.8049334238659576</c:v>
                </c:pt>
                <c:pt idx="143">
                  <c:v>6.5635311944378216</c:v>
                </c:pt>
                <c:pt idx="144">
                  <c:v>6.509359678379286</c:v>
                </c:pt>
                <c:pt idx="145">
                  <c:v>7.3199005410988525</c:v>
                </c:pt>
                <c:pt idx="146">
                  <c:v>7.2981300051338112</c:v>
                </c:pt>
                <c:pt idx="147">
                  <c:v>6.4367166775064897</c:v>
                </c:pt>
                <c:pt idx="148">
                  <c:v>7.230065834591084</c:v>
                </c:pt>
                <c:pt idx="149">
                  <c:v>6.7695685414344364</c:v>
                </c:pt>
              </c:numCache>
            </c:numRef>
          </c:yVal>
          <c:smooth val="0"/>
          <c:extLst>
            <c:ext xmlns:c16="http://schemas.microsoft.com/office/drawing/2014/chart" uri="{C3380CC4-5D6E-409C-BE32-E72D297353CC}">
              <c16:uniqueId val="{00000003-CB97-4C3F-A778-0C52B622D86E}"/>
            </c:ext>
          </c:extLst>
        </c:ser>
        <c:ser>
          <c:idx val="2"/>
          <c:order val="2"/>
          <c:tx>
            <c:v>Share FF Others</c:v>
          </c:tx>
          <c:spPr>
            <a:ln w="25400" cap="rnd">
              <a:noFill/>
              <a:round/>
            </a:ln>
            <a:effectLst/>
          </c:spPr>
          <c:marker>
            <c:symbol val="circle"/>
            <c:size val="5"/>
            <c:spPr>
              <a:solidFill>
                <a:srgbClr val="FFC000"/>
              </a:solidFill>
              <a:ln w="9525">
                <a:solidFill>
                  <a:schemeClr val="accent3"/>
                </a:solidFill>
              </a:ln>
              <a:effectLst/>
            </c:spPr>
          </c:marker>
          <c:xVal>
            <c:numRef>
              <c:f>X!$AA$2:$AA$151</c:f>
              <c:numCache>
                <c:formatCode>General</c:formatCode>
                <c:ptCount val="150"/>
                <c:pt idx="0">
                  <c:v>0.47192663054468398</c:v>
                </c:pt>
                <c:pt idx="1">
                  <c:v>0.45637232270340472</c:v>
                </c:pt>
                <c:pt idx="2">
                  <c:v>0.47120213031706876</c:v>
                </c:pt>
                <c:pt idx="3">
                  <c:v>0.43794790052463145</c:v>
                </c:pt>
                <c:pt idx="4">
                  <c:v>0.56882836435043005</c:v>
                </c:pt>
                <c:pt idx="5">
                  <c:v>0.34551659962115566</c:v>
                </c:pt>
                <c:pt idx="6">
                  <c:v>0.42699804663042806</c:v>
                </c:pt>
                <c:pt idx="7">
                  <c:v>0.31673568746276126</c:v>
                </c:pt>
                <c:pt idx="8">
                  <c:v>0.57662069779596159</c:v>
                </c:pt>
                <c:pt idx="9">
                  <c:v>0.53978322072496887</c:v>
                </c:pt>
                <c:pt idx="10">
                  <c:v>0.51283393200008587</c:v>
                </c:pt>
                <c:pt idx="11">
                  <c:v>0.33913209856501331</c:v>
                </c:pt>
                <c:pt idx="12">
                  <c:v>0.34925395997815462</c:v>
                </c:pt>
                <c:pt idx="13">
                  <c:v>0.25861312229760325</c:v>
                </c:pt>
                <c:pt idx="14">
                  <c:v>0.20458313786485616</c:v>
                </c:pt>
                <c:pt idx="15">
                  <c:v>0.35050916185967101</c:v>
                </c:pt>
                <c:pt idx="16">
                  <c:v>0.51169884455876957</c:v>
                </c:pt>
                <c:pt idx="17">
                  <c:v>0.54581347373060352</c:v>
                </c:pt>
                <c:pt idx="18">
                  <c:v>0.28034431366688883</c:v>
                </c:pt>
                <c:pt idx="19">
                  <c:v>0.28361656751897901</c:v>
                </c:pt>
                <c:pt idx="20">
                  <c:v>0.24320225612226576</c:v>
                </c:pt>
                <c:pt idx="21">
                  <c:v>0.20953487169469776</c:v>
                </c:pt>
                <c:pt idx="22">
                  <c:v>0.31273466107307324</c:v>
                </c:pt>
                <c:pt idx="23">
                  <c:v>8.9776547733693923E-2</c:v>
                </c:pt>
                <c:pt idx="24">
                  <c:v>0.37293130747010794</c:v>
                </c:pt>
                <c:pt idx="25">
                  <c:v>0.17608384540686073</c:v>
                </c:pt>
                <c:pt idx="26">
                  <c:v>0.37650323477278463</c:v>
                </c:pt>
                <c:pt idx="27">
                  <c:v>0.21093900348170169</c:v>
                </c:pt>
                <c:pt idx="28">
                  <c:v>0.22639515365170138</c:v>
                </c:pt>
                <c:pt idx="29">
                  <c:v>0.31089890765102796</c:v>
                </c:pt>
                <c:pt idx="30">
                  <c:v>0.10542074749474639</c:v>
                </c:pt>
                <c:pt idx="31">
                  <c:v>3.7086644663753998E-2</c:v>
                </c:pt>
                <c:pt idx="32">
                  <c:v>0.29438692366533131</c:v>
                </c:pt>
                <c:pt idx="33">
                  <c:v>8.9222184687260064E-2</c:v>
                </c:pt>
                <c:pt idx="34">
                  <c:v>0.10166667975593824</c:v>
                </c:pt>
                <c:pt idx="35">
                  <c:v>9.6009466045455794E-3</c:v>
                </c:pt>
                <c:pt idx="36">
                  <c:v>4.7237118791082389E-2</c:v>
                </c:pt>
                <c:pt idx="37">
                  <c:v>0.44342120777677907</c:v>
                </c:pt>
                <c:pt idx="38">
                  <c:v>0.11135505783022481</c:v>
                </c:pt>
                <c:pt idx="39">
                  <c:v>0.46746343129621076</c:v>
                </c:pt>
                <c:pt idx="40">
                  <c:v>0.4795494968878844</c:v>
                </c:pt>
                <c:pt idx="41">
                  <c:v>3.6216600027327184E-2</c:v>
                </c:pt>
                <c:pt idx="42">
                  <c:v>0.20095729197194212</c:v>
                </c:pt>
                <c:pt idx="43">
                  <c:v>7.4762852777841893E-2</c:v>
                </c:pt>
                <c:pt idx="44">
                  <c:v>0.43699028568117437</c:v>
                </c:pt>
                <c:pt idx="45">
                  <c:v>0.43073904852476325</c:v>
                </c:pt>
                <c:pt idx="46">
                  <c:v>0.4733241183862652</c:v>
                </c:pt>
                <c:pt idx="47">
                  <c:v>0.39848849064433622</c:v>
                </c:pt>
                <c:pt idx="48">
                  <c:v>0.25039209567524107</c:v>
                </c:pt>
                <c:pt idx="49">
                  <c:v>5.1814344089410325E-2</c:v>
                </c:pt>
                <c:pt idx="50">
                  <c:v>9.2633883445237153E-2</c:v>
                </c:pt>
                <c:pt idx="51">
                  <c:v>0.32216568298423887</c:v>
                </c:pt>
                <c:pt idx="52">
                  <c:v>0.28890075422947964</c:v>
                </c:pt>
                <c:pt idx="53">
                  <c:v>2.9029908126162907E-2</c:v>
                </c:pt>
                <c:pt idx="54">
                  <c:v>0.18260520217482235</c:v>
                </c:pt>
                <c:pt idx="55">
                  <c:v>0.21087501256833119</c:v>
                </c:pt>
                <c:pt idx="56">
                  <c:v>0.29939086020337957</c:v>
                </c:pt>
                <c:pt idx="57">
                  <c:v>0.25310996844627814</c:v>
                </c:pt>
                <c:pt idx="58">
                  <c:v>4.4456398122285634E-2</c:v>
                </c:pt>
                <c:pt idx="59">
                  <c:v>0.16760956173172026</c:v>
                </c:pt>
                <c:pt idx="60">
                  <c:v>0.32025877137371406</c:v>
                </c:pt>
                <c:pt idx="61">
                  <c:v>7.4488111591984874E-3</c:v>
                </c:pt>
                <c:pt idx="62">
                  <c:v>7.8553520935689791E-2</c:v>
                </c:pt>
                <c:pt idx="63">
                  <c:v>4.5430876736123338E-2</c:v>
                </c:pt>
                <c:pt idx="64">
                  <c:v>0.34122519169999066</c:v>
                </c:pt>
                <c:pt idx="65">
                  <c:v>9.6437931997556126E-3</c:v>
                </c:pt>
                <c:pt idx="66">
                  <c:v>0.46316360121442385</c:v>
                </c:pt>
                <c:pt idx="67">
                  <c:v>0.25004382018668714</c:v>
                </c:pt>
                <c:pt idx="68">
                  <c:v>8.9236737266953192E-2</c:v>
                </c:pt>
                <c:pt idx="69">
                  <c:v>0.20875332716361955</c:v>
                </c:pt>
                <c:pt idx="70">
                  <c:v>1.7257244166625885E-2</c:v>
                </c:pt>
                <c:pt idx="71">
                  <c:v>0.10373965298220389</c:v>
                </c:pt>
                <c:pt idx="72">
                  <c:v>0.2415479068757902</c:v>
                </c:pt>
                <c:pt idx="73">
                  <c:v>0.25256905963221976</c:v>
                </c:pt>
                <c:pt idx="74">
                  <c:v>0.39384845589375017</c:v>
                </c:pt>
                <c:pt idx="75">
                  <c:v>0.37452466646546367</c:v>
                </c:pt>
                <c:pt idx="76">
                  <c:v>3.8623046200034761E-2</c:v>
                </c:pt>
                <c:pt idx="77">
                  <c:v>1.1300434813354188E-2</c:v>
                </c:pt>
                <c:pt idx="78">
                  <c:v>0.15604285514366883</c:v>
                </c:pt>
                <c:pt idx="79">
                  <c:v>0.36497065866383893</c:v>
                </c:pt>
                <c:pt idx="80">
                  <c:v>3.3251275920197998E-2</c:v>
                </c:pt>
                <c:pt idx="81">
                  <c:v>0.18661387509494537</c:v>
                </c:pt>
                <c:pt idx="82">
                  <c:v>0.33838991485274211</c:v>
                </c:pt>
                <c:pt idx="83">
                  <c:v>7.5440868757617074E-2</c:v>
                </c:pt>
                <c:pt idx="84">
                  <c:v>1.6807962926743303E-2</c:v>
                </c:pt>
                <c:pt idx="85">
                  <c:v>0.19295644473997076</c:v>
                </c:pt>
                <c:pt idx="86">
                  <c:v>0.14131474933066912</c:v>
                </c:pt>
                <c:pt idx="87">
                  <c:v>0.2053958476997863</c:v>
                </c:pt>
                <c:pt idx="88">
                  <c:v>0.19041101687453216</c:v>
                </c:pt>
                <c:pt idx="89">
                  <c:v>0.16558318078595963</c:v>
                </c:pt>
                <c:pt idx="90">
                  <c:v>0.19482992699510177</c:v>
                </c:pt>
                <c:pt idx="91">
                  <c:v>1.352406605589046E-2</c:v>
                </c:pt>
                <c:pt idx="92">
                  <c:v>0.21033922365914909</c:v>
                </c:pt>
                <c:pt idx="93">
                  <c:v>0.19393911633820504</c:v>
                </c:pt>
                <c:pt idx="94">
                  <c:v>5.9389167106009666E-2</c:v>
                </c:pt>
                <c:pt idx="95">
                  <c:v>0.19711717216155256</c:v>
                </c:pt>
                <c:pt idx="96">
                  <c:v>0.12724426192128369</c:v>
                </c:pt>
                <c:pt idx="97">
                  <c:v>5.2465619588791201E-2</c:v>
                </c:pt>
                <c:pt idx="98">
                  <c:v>8.7741171805513773E-2</c:v>
                </c:pt>
                <c:pt idx="99">
                  <c:v>3.2554918637459018E-2</c:v>
                </c:pt>
                <c:pt idx="100">
                  <c:v>0.16350675158576261</c:v>
                </c:pt>
                <c:pt idx="101">
                  <c:v>8.8397107138747377E-3</c:v>
                </c:pt>
                <c:pt idx="102">
                  <c:v>7.6258822029876439E-2</c:v>
                </c:pt>
                <c:pt idx="103">
                  <c:v>9.9018128392943883E-2</c:v>
                </c:pt>
                <c:pt idx="104">
                  <c:v>6.6484975421813641E-2</c:v>
                </c:pt>
                <c:pt idx="105">
                  <c:v>3.5011758813249139E-2</c:v>
                </c:pt>
                <c:pt idx="106">
                  <c:v>2.8208260827231768E-2</c:v>
                </c:pt>
                <c:pt idx="107">
                  <c:v>0.29200516673379806</c:v>
                </c:pt>
                <c:pt idx="108">
                  <c:v>0.12158414379473226</c:v>
                </c:pt>
                <c:pt idx="109">
                  <c:v>9.4030975443484988E-2</c:v>
                </c:pt>
                <c:pt idx="110">
                  <c:v>7.7466287269660539E-2</c:v>
                </c:pt>
                <c:pt idx="111">
                  <c:v>1.1803801124279423E-2</c:v>
                </c:pt>
                <c:pt idx="112">
                  <c:v>0.19155211336284386</c:v>
                </c:pt>
                <c:pt idx="113">
                  <c:v>8.5521015066685468E-2</c:v>
                </c:pt>
                <c:pt idx="114">
                  <c:v>2.464274518396653E-2</c:v>
                </c:pt>
                <c:pt idx="115">
                  <c:v>9.8038698387512557E-3</c:v>
                </c:pt>
                <c:pt idx="116">
                  <c:v>4.0056819523470621E-2</c:v>
                </c:pt>
                <c:pt idx="117">
                  <c:v>0.11340720073053945</c:v>
                </c:pt>
                <c:pt idx="118">
                  <c:v>0.13975025826878518</c:v>
                </c:pt>
                <c:pt idx="119">
                  <c:v>3.1254779874492489E-2</c:v>
                </c:pt>
                <c:pt idx="120">
                  <c:v>5.3478356892594114E-2</c:v>
                </c:pt>
                <c:pt idx="121">
                  <c:v>1.0430858903156592E-2</c:v>
                </c:pt>
                <c:pt idx="122">
                  <c:v>5.0039430773263949E-2</c:v>
                </c:pt>
                <c:pt idx="123">
                  <c:v>0.11637249780532744</c:v>
                </c:pt>
                <c:pt idx="124">
                  <c:v>3.7152617810670918E-2</c:v>
                </c:pt>
                <c:pt idx="125">
                  <c:v>3.7147717797621604E-2</c:v>
                </c:pt>
                <c:pt idx="126">
                  <c:v>3.4647950350975287E-2</c:v>
                </c:pt>
                <c:pt idx="127">
                  <c:v>6.2154075570464706E-3</c:v>
                </c:pt>
                <c:pt idx="128">
                  <c:v>7.3465081290209372E-2</c:v>
                </c:pt>
                <c:pt idx="129">
                  <c:v>2.1731823968034136E-2</c:v>
                </c:pt>
                <c:pt idx="130">
                  <c:v>5.4699323094103219E-2</c:v>
                </c:pt>
                <c:pt idx="131">
                  <c:v>8.2275326650314562E-3</c:v>
                </c:pt>
                <c:pt idx="132">
                  <c:v>4.511908660725969E-2</c:v>
                </c:pt>
                <c:pt idx="133">
                  <c:v>1.9004550387134278E-2</c:v>
                </c:pt>
                <c:pt idx="134">
                  <c:v>7.9392571631473063E-3</c:v>
                </c:pt>
                <c:pt idx="135">
                  <c:v>2.140639669281752E-2</c:v>
                </c:pt>
                <c:pt idx="136">
                  <c:v>1.344540953448542E-2</c:v>
                </c:pt>
                <c:pt idx="137">
                  <c:v>6.0585500956145427E-2</c:v>
                </c:pt>
                <c:pt idx="138">
                  <c:v>1.0635272250521577E-2</c:v>
                </c:pt>
                <c:pt idx="139">
                  <c:v>1.3598292855591582E-2</c:v>
                </c:pt>
                <c:pt idx="140">
                  <c:v>6.7728689789059715E-3</c:v>
                </c:pt>
                <c:pt idx="141">
                  <c:v>3.213156755136698E-2</c:v>
                </c:pt>
                <c:pt idx="142">
                  <c:v>3.9832657209349642E-2</c:v>
                </c:pt>
                <c:pt idx="143">
                  <c:v>2.4019256163150177E-2</c:v>
                </c:pt>
                <c:pt idx="144">
                  <c:v>1.3400006550448817E-2</c:v>
                </c:pt>
                <c:pt idx="145">
                  <c:v>5.0018103515330758E-3</c:v>
                </c:pt>
                <c:pt idx="146">
                  <c:v>8.2179976162677082E-3</c:v>
                </c:pt>
                <c:pt idx="147">
                  <c:v>2.2447429535373944E-2</c:v>
                </c:pt>
                <c:pt idx="148">
                  <c:v>1.2061750835272375E-2</c:v>
                </c:pt>
                <c:pt idx="149">
                  <c:v>2.5130539494313792E-2</c:v>
                </c:pt>
              </c:numCache>
            </c:numRef>
          </c:xVal>
          <c:yVal>
            <c:numRef>
              <c:f>X!$K$2:$K$151</c:f>
              <c:numCache>
                <c:formatCode>General</c:formatCode>
                <c:ptCount val="150"/>
                <c:pt idx="0">
                  <c:v>3.8541995614415998</c:v>
                </c:pt>
                <c:pt idx="1">
                  <c:v>2.9704718889994735</c:v>
                </c:pt>
                <c:pt idx="2">
                  <c:v>3.2506139333109849</c:v>
                </c:pt>
                <c:pt idx="3">
                  <c:v>3.3791650925688606</c:v>
                </c:pt>
                <c:pt idx="4">
                  <c:v>2.6584238914624603</c:v>
                </c:pt>
                <c:pt idx="5">
                  <c:v>3.6403501870932584</c:v>
                </c:pt>
                <c:pt idx="6">
                  <c:v>2.2536953618804176</c:v>
                </c:pt>
                <c:pt idx="7">
                  <c:v>4.4666609284673724</c:v>
                </c:pt>
                <c:pt idx="8">
                  <c:v>3.8176520909673504</c:v>
                </c:pt>
                <c:pt idx="9">
                  <c:v>3.9432912973794916</c:v>
                </c:pt>
                <c:pt idx="10">
                  <c:v>4.1138740656453914</c:v>
                </c:pt>
                <c:pt idx="11">
                  <c:v>4.5454012319530834</c:v>
                </c:pt>
                <c:pt idx="12">
                  <c:v>4.0187385676737559</c:v>
                </c:pt>
                <c:pt idx="13">
                  <c:v>4.4550860222189312</c:v>
                </c:pt>
                <c:pt idx="14">
                  <c:v>4.8672886753386058</c:v>
                </c:pt>
                <c:pt idx="15">
                  <c:v>3.6043463069116561</c:v>
                </c:pt>
                <c:pt idx="16">
                  <c:v>2.7257657280138643</c:v>
                </c:pt>
                <c:pt idx="17">
                  <c:v>4.0573729406426988</c:v>
                </c:pt>
                <c:pt idx="18">
                  <c:v>3.9463607027608463</c:v>
                </c:pt>
                <c:pt idx="19">
                  <c:v>2.894225546675036</c:v>
                </c:pt>
                <c:pt idx="20">
                  <c:v>3.4566760712613998</c:v>
                </c:pt>
                <c:pt idx="21">
                  <c:v>5.0158958371228524</c:v>
                </c:pt>
                <c:pt idx="22">
                  <c:v>3.5546931480898194</c:v>
                </c:pt>
                <c:pt idx="23">
                  <c:v>5.5394757067819977</c:v>
                </c:pt>
                <c:pt idx="24">
                  <c:v>2.3259181809421468</c:v>
                </c:pt>
                <c:pt idx="25">
                  <c:v>4.3569490470821055</c:v>
                </c:pt>
                <c:pt idx="26">
                  <c:v>2.6011021907616132</c:v>
                </c:pt>
                <c:pt idx="27">
                  <c:v>3.7139689140007182</c:v>
                </c:pt>
                <c:pt idx="28">
                  <c:v>4.4429598642800112</c:v>
                </c:pt>
                <c:pt idx="29">
                  <c:v>3.3076889977578494</c:v>
                </c:pt>
                <c:pt idx="30">
                  <c:v>4.0508120374768222</c:v>
                </c:pt>
                <c:pt idx="31">
                  <c:v>5.8241288262042978</c:v>
                </c:pt>
                <c:pt idx="32">
                  <c:v>3.8594248724286135</c:v>
                </c:pt>
                <c:pt idx="33">
                  <c:v>5.5753187126530834</c:v>
                </c:pt>
                <c:pt idx="34">
                  <c:v>5.3392705217493335</c:v>
                </c:pt>
                <c:pt idx="35">
                  <c:v>5.9900152265343376</c:v>
                </c:pt>
                <c:pt idx="36">
                  <c:v>4.9103570903192351</c:v>
                </c:pt>
                <c:pt idx="37">
                  <c:v>2.7952912460066104</c:v>
                </c:pt>
                <c:pt idx="38">
                  <c:v>4.8212792352042646</c:v>
                </c:pt>
                <c:pt idx="39">
                  <c:v>3.3447049363352721</c:v>
                </c:pt>
                <c:pt idx="40">
                  <c:v>4.168214011709253</c:v>
                </c:pt>
                <c:pt idx="41">
                  <c:v>5.9024526812569542</c:v>
                </c:pt>
                <c:pt idx="42">
                  <c:v>4.1187523248330296</c:v>
                </c:pt>
                <c:pt idx="43">
                  <c:v>4.9520498854225528</c:v>
                </c:pt>
                <c:pt idx="44">
                  <c:v>2.3908802292201616</c:v>
                </c:pt>
                <c:pt idx="45">
                  <c:v>2.0946000316330062</c:v>
                </c:pt>
                <c:pt idx="46">
                  <c:v>3.0921532603441277</c:v>
                </c:pt>
                <c:pt idx="47">
                  <c:v>4.263102362083881</c:v>
                </c:pt>
                <c:pt idx="48">
                  <c:v>3.0345556116703514</c:v>
                </c:pt>
                <c:pt idx="49">
                  <c:v>5.3943229579302123</c:v>
                </c:pt>
                <c:pt idx="50">
                  <c:v>4.545650364492472</c:v>
                </c:pt>
                <c:pt idx="51">
                  <c:v>3.6123842958364745</c:v>
                </c:pt>
                <c:pt idx="52">
                  <c:v>2.8702762789282543</c:v>
                </c:pt>
                <c:pt idx="53">
                  <c:v>5.2704826481136822</c:v>
                </c:pt>
                <c:pt idx="54">
                  <c:v>4.4683263207344623</c:v>
                </c:pt>
                <c:pt idx="55">
                  <c:v>2.873507228571087</c:v>
                </c:pt>
                <c:pt idx="56">
                  <c:v>3.1386939467141026</c:v>
                </c:pt>
                <c:pt idx="57">
                  <c:v>3.1504291127543178</c:v>
                </c:pt>
                <c:pt idx="58">
                  <c:v>5.7444446916190257</c:v>
                </c:pt>
                <c:pt idx="59">
                  <c:v>3.6149631059123952</c:v>
                </c:pt>
                <c:pt idx="60">
                  <c:v>4.5377005466246398</c:v>
                </c:pt>
                <c:pt idx="61">
                  <c:v>5.4350386864311533</c:v>
                </c:pt>
                <c:pt idx="62">
                  <c:v>5.0156439822759262</c:v>
                </c:pt>
                <c:pt idx="63">
                  <c:v>5.0865896869531655</c:v>
                </c:pt>
                <c:pt idx="64">
                  <c:v>4.6033839101098089</c:v>
                </c:pt>
                <c:pt idx="65">
                  <c:v>6.0950798752842346</c:v>
                </c:pt>
                <c:pt idx="66">
                  <c:v>4.1784866721145333</c:v>
                </c:pt>
                <c:pt idx="67">
                  <c:v>3.5753670828197959</c:v>
                </c:pt>
                <c:pt idx="68">
                  <c:v>4.922058478962601</c:v>
                </c:pt>
                <c:pt idx="69">
                  <c:v>4.6168162556488932</c:v>
                </c:pt>
                <c:pt idx="70">
                  <c:v>5.9397315138499298</c:v>
                </c:pt>
                <c:pt idx="71">
                  <c:v>4.2331583122084542</c:v>
                </c:pt>
                <c:pt idx="72">
                  <c:v>3.2706107729384666</c:v>
                </c:pt>
                <c:pt idx="73">
                  <c:v>2.813304304850333</c:v>
                </c:pt>
                <c:pt idx="74">
                  <c:v>2.1613886491195715</c:v>
                </c:pt>
                <c:pt idx="75">
                  <c:v>2.6646060977322454</c:v>
                </c:pt>
                <c:pt idx="76">
                  <c:v>5.2892332666715127</c:v>
                </c:pt>
                <c:pt idx="77">
                  <c:v>6.1172312623532967</c:v>
                </c:pt>
                <c:pt idx="78">
                  <c:v>3.8848557074272501</c:v>
                </c:pt>
                <c:pt idx="79">
                  <c:v>2.4480313763543116</c:v>
                </c:pt>
                <c:pt idx="80">
                  <c:v>5.4742693727764316</c:v>
                </c:pt>
                <c:pt idx="81">
                  <c:v>2.7728270548852754</c:v>
                </c:pt>
                <c:pt idx="82">
                  <c:v>2.89417202020765</c:v>
                </c:pt>
                <c:pt idx="83">
                  <c:v>4.675006868362459</c:v>
                </c:pt>
                <c:pt idx="84">
                  <c:v>6.0155416321801098</c:v>
                </c:pt>
                <c:pt idx="85">
                  <c:v>3.7597374664458001</c:v>
                </c:pt>
                <c:pt idx="86">
                  <c:v>4.0861523542982372</c:v>
                </c:pt>
                <c:pt idx="87">
                  <c:v>2.8145595109318777</c:v>
                </c:pt>
                <c:pt idx="88">
                  <c:v>5.1097061809284492</c:v>
                </c:pt>
                <c:pt idx="89">
                  <c:v>3.5654228322564419</c:v>
                </c:pt>
                <c:pt idx="90">
                  <c:v>4.1191229757779331</c:v>
                </c:pt>
                <c:pt idx="91">
                  <c:v>5.6290819888458969</c:v>
                </c:pt>
                <c:pt idx="92">
                  <c:v>4.1556375857223449</c:v>
                </c:pt>
                <c:pt idx="93">
                  <c:v>3.8296820034297259</c:v>
                </c:pt>
                <c:pt idx="94">
                  <c:v>5.0167896062981363</c:v>
                </c:pt>
                <c:pt idx="95">
                  <c:v>3.270111965725083</c:v>
                </c:pt>
                <c:pt idx="96">
                  <c:v>4.4601570317329022</c:v>
                </c:pt>
                <c:pt idx="97">
                  <c:v>4.8966386935902895</c:v>
                </c:pt>
                <c:pt idx="98">
                  <c:v>5.3773750107962481</c:v>
                </c:pt>
                <c:pt idx="99">
                  <c:v>5.4047961357589518</c:v>
                </c:pt>
                <c:pt idx="100">
                  <c:v>3.5645162306127602</c:v>
                </c:pt>
                <c:pt idx="101">
                  <c:v>5.8068054764542554</c:v>
                </c:pt>
                <c:pt idx="102">
                  <c:v>4.6092037957009255</c:v>
                </c:pt>
                <c:pt idx="103">
                  <c:v>4.5474928278378446</c:v>
                </c:pt>
                <c:pt idx="104">
                  <c:v>4.9775117548495436</c:v>
                </c:pt>
                <c:pt idx="105">
                  <c:v>5.8418529420716938</c:v>
                </c:pt>
                <c:pt idx="106">
                  <c:v>5.5987828297449536</c:v>
                </c:pt>
                <c:pt idx="107">
                  <c:v>3.0488105814260318</c:v>
                </c:pt>
                <c:pt idx="108">
                  <c:v>4.8450598800599076</c:v>
                </c:pt>
                <c:pt idx="109">
                  <c:v>5.2308703734442279</c:v>
                </c:pt>
                <c:pt idx="110">
                  <c:v>5.754904019037725</c:v>
                </c:pt>
                <c:pt idx="111">
                  <c:v>5.902524964063339</c:v>
                </c:pt>
                <c:pt idx="112">
                  <c:v>3.7686811643469067</c:v>
                </c:pt>
                <c:pt idx="113">
                  <c:v>4.1655889760323674</c:v>
                </c:pt>
                <c:pt idx="114">
                  <c:v>5.7208768430705836</c:v>
                </c:pt>
                <c:pt idx="115">
                  <c:v>6.08745584215783</c:v>
                </c:pt>
                <c:pt idx="116">
                  <c:v>4.2953747900994452</c:v>
                </c:pt>
                <c:pt idx="117">
                  <c:v>4.7898684313039483</c:v>
                </c:pt>
                <c:pt idx="118">
                  <c:v>4.140628897241541</c:v>
                </c:pt>
                <c:pt idx="119">
                  <c:v>6.1077119534603339</c:v>
                </c:pt>
                <c:pt idx="120">
                  <c:v>5.6536961418733753</c:v>
                </c:pt>
                <c:pt idx="121">
                  <c:v>6.0730786929090677</c:v>
                </c:pt>
                <c:pt idx="122">
                  <c:v>5.0341956633286919</c:v>
                </c:pt>
                <c:pt idx="123">
                  <c:v>4.6186786136242697</c:v>
                </c:pt>
                <c:pt idx="124">
                  <c:v>5.3072505246010007</c:v>
                </c:pt>
                <c:pt idx="125">
                  <c:v>5.5081394630491234</c:v>
                </c:pt>
                <c:pt idx="126">
                  <c:v>5.838803792875142</c:v>
                </c:pt>
                <c:pt idx="127">
                  <c:v>6.2605144582195171</c:v>
                </c:pt>
                <c:pt idx="128">
                  <c:v>4.8480471277185861</c:v>
                </c:pt>
                <c:pt idx="129">
                  <c:v>6.4333012382512331</c:v>
                </c:pt>
                <c:pt idx="130">
                  <c:v>5.6334663334552495</c:v>
                </c:pt>
                <c:pt idx="131">
                  <c:v>6.2709134973285403</c:v>
                </c:pt>
                <c:pt idx="132">
                  <c:v>6.0352194015699432</c:v>
                </c:pt>
                <c:pt idx="133">
                  <c:v>6.6700219407933625</c:v>
                </c:pt>
                <c:pt idx="134">
                  <c:v>6.352568886914062</c:v>
                </c:pt>
                <c:pt idx="135">
                  <c:v>5.9719760650646148</c:v>
                </c:pt>
                <c:pt idx="136">
                  <c:v>5.7005365530493295</c:v>
                </c:pt>
                <c:pt idx="137">
                  <c:v>5.4346795484217481</c:v>
                </c:pt>
                <c:pt idx="138">
                  <c:v>6.3912288420856767</c:v>
                </c:pt>
                <c:pt idx="139">
                  <c:v>6.5086442540028413</c:v>
                </c:pt>
                <c:pt idx="140">
                  <c:v>7.0042131194003048</c:v>
                </c:pt>
                <c:pt idx="141">
                  <c:v>6.226769993752443</c:v>
                </c:pt>
                <c:pt idx="142">
                  <c:v>5.8049334238659576</c:v>
                </c:pt>
                <c:pt idx="143">
                  <c:v>6.5635311944378216</c:v>
                </c:pt>
                <c:pt idx="144">
                  <c:v>6.509359678379286</c:v>
                </c:pt>
                <c:pt idx="145">
                  <c:v>7.3199005410988525</c:v>
                </c:pt>
                <c:pt idx="146">
                  <c:v>7.2981300051338112</c:v>
                </c:pt>
                <c:pt idx="147">
                  <c:v>6.4367166775064897</c:v>
                </c:pt>
                <c:pt idx="148">
                  <c:v>7.230065834591084</c:v>
                </c:pt>
                <c:pt idx="149">
                  <c:v>6.7695685414344364</c:v>
                </c:pt>
              </c:numCache>
            </c:numRef>
          </c:yVal>
          <c:smooth val="0"/>
          <c:extLst>
            <c:ext xmlns:c16="http://schemas.microsoft.com/office/drawing/2014/chart" uri="{C3380CC4-5D6E-409C-BE32-E72D297353CC}">
              <c16:uniqueId val="{00000005-CB97-4C3F-A778-0C52B622D86E}"/>
            </c:ext>
          </c:extLst>
        </c:ser>
        <c:dLbls>
          <c:showLegendKey val="0"/>
          <c:showVal val="0"/>
          <c:showCatName val="0"/>
          <c:showSerName val="0"/>
          <c:showPercent val="0"/>
          <c:showBubbleSize val="0"/>
        </c:dLbls>
        <c:axId val="1392087200"/>
        <c:axId val="1392094688"/>
      </c:scatterChart>
      <c:valAx>
        <c:axId val="1392087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094688"/>
        <c:crosses val="autoZero"/>
        <c:crossBetween val="midCat"/>
      </c:valAx>
      <c:valAx>
        <c:axId val="1392094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087200"/>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2"/>
          <c:order val="0"/>
          <c:tx>
            <c:strRef>
              <c:f>'pred X, share NF'!$H$1</c:f>
              <c:strCache>
                <c:ptCount val="1"/>
                <c:pt idx="0">
                  <c:v>share others FF</c:v>
                </c:pt>
              </c:strCache>
            </c:strRef>
          </c:tx>
          <c:spPr>
            <a:solidFill>
              <a:schemeClr val="accent3"/>
            </a:solidFill>
            <a:ln>
              <a:noFill/>
            </a:ln>
            <a:effectLst/>
          </c:spPr>
          <c:invertIfNegative val="0"/>
          <c:val>
            <c:numRef>
              <c:f>'pred X, share NF'!$H$2:$H$151</c:f>
              <c:numCache>
                <c:formatCode>General</c:formatCode>
                <c:ptCount val="150"/>
                <c:pt idx="0">
                  <c:v>2.5333647000000035E-2</c:v>
                </c:pt>
                <c:pt idx="1">
                  <c:v>1.2199662000000007E-2</c:v>
                </c:pt>
                <c:pt idx="2">
                  <c:v>2.2726422999999996E-2</c:v>
                </c:pt>
                <c:pt idx="3">
                  <c:v>8.306930000000004E-3</c:v>
                </c:pt>
                <c:pt idx="4">
                  <c:v>5.1540570000000452E-3</c:v>
                </c:pt>
                <c:pt idx="5">
                  <c:v>1.3567427999999992E-2</c:v>
                </c:pt>
                <c:pt idx="6">
                  <c:v>2.4262989999999957E-2</c:v>
                </c:pt>
                <c:pt idx="7">
                  <c:v>4.0197544999999973E-2</c:v>
                </c:pt>
                <c:pt idx="8">
                  <c:v>3.2423900000000005E-2</c:v>
                </c:pt>
                <c:pt idx="9">
                  <c:v>6.862207000000009E-3</c:v>
                </c:pt>
                <c:pt idx="10">
                  <c:v>1.4142326000000038E-2</c:v>
                </c:pt>
                <c:pt idx="11">
                  <c:v>1.1352850000000025E-2</c:v>
                </c:pt>
                <c:pt idx="12">
                  <c:v>6.1181284000000002E-2</c:v>
                </c:pt>
                <c:pt idx="13">
                  <c:v>1.4380989000000066E-2</c:v>
                </c:pt>
                <c:pt idx="14">
                  <c:v>2.1743877999999994E-2</c:v>
                </c:pt>
                <c:pt idx="15">
                  <c:v>8.0707990000000174E-3</c:v>
                </c:pt>
                <c:pt idx="16">
                  <c:v>1.9555093000000023E-2</c:v>
                </c:pt>
                <c:pt idx="17">
                  <c:v>4.6472874999999997E-2</c:v>
                </c:pt>
                <c:pt idx="18">
                  <c:v>8.8176100000000313E-3</c:v>
                </c:pt>
                <c:pt idx="19">
                  <c:v>5.5274067000000038E-2</c:v>
                </c:pt>
                <c:pt idx="20">
                  <c:v>2.2035636000000025E-2</c:v>
                </c:pt>
                <c:pt idx="21">
                  <c:v>7.4353032000000013E-2</c:v>
                </c:pt>
                <c:pt idx="22">
                  <c:v>6.4104289999999953E-3</c:v>
                </c:pt>
                <c:pt idx="23">
                  <c:v>3.6501298999999987E-2</c:v>
                </c:pt>
                <c:pt idx="24">
                  <c:v>3.7606553999999959E-2</c:v>
                </c:pt>
                <c:pt idx="25">
                  <c:v>3.9139794999999977E-2</c:v>
                </c:pt>
                <c:pt idx="26">
                  <c:v>0.11762866400000005</c:v>
                </c:pt>
                <c:pt idx="27">
                  <c:v>5.0467490999999975E-2</c:v>
                </c:pt>
                <c:pt idx="28">
                  <c:v>1.0570895000000025E-2</c:v>
                </c:pt>
                <c:pt idx="29">
                  <c:v>5.4206611999999987E-2</c:v>
                </c:pt>
                <c:pt idx="30">
                  <c:v>3.5743234999999984E-2</c:v>
                </c:pt>
                <c:pt idx="31">
                  <c:v>0.14112465499999999</c:v>
                </c:pt>
                <c:pt idx="32">
                  <c:v>0.11696651400000002</c:v>
                </c:pt>
                <c:pt idx="33">
                  <c:v>4.3125358000000003E-2</c:v>
                </c:pt>
                <c:pt idx="34">
                  <c:v>1.0630297000000011E-2</c:v>
                </c:pt>
                <c:pt idx="35">
                  <c:v>2.5188700000000008E-2</c:v>
                </c:pt>
                <c:pt idx="36">
                  <c:v>8.6766341999999996E-2</c:v>
                </c:pt>
                <c:pt idx="37">
                  <c:v>0.19351834699999995</c:v>
                </c:pt>
                <c:pt idx="38">
                  <c:v>1.2013737999999996E-2</c:v>
                </c:pt>
                <c:pt idx="39">
                  <c:v>8.5560276999999962E-2</c:v>
                </c:pt>
                <c:pt idx="40">
                  <c:v>9.8688034000000036E-2</c:v>
                </c:pt>
                <c:pt idx="41">
                  <c:v>0.12640227999999998</c:v>
                </c:pt>
                <c:pt idx="42">
                  <c:v>0.29520318800000001</c:v>
                </c:pt>
                <c:pt idx="43">
                  <c:v>2.8703310000000037E-2</c:v>
                </c:pt>
                <c:pt idx="44">
                  <c:v>3.7321233000000009E-2</c:v>
                </c:pt>
                <c:pt idx="45">
                  <c:v>6.7612356999999956E-2</c:v>
                </c:pt>
                <c:pt idx="46">
                  <c:v>0.10336051099999999</c:v>
                </c:pt>
                <c:pt idx="47">
                  <c:v>7.7233343000000065E-2</c:v>
                </c:pt>
                <c:pt idx="48">
                  <c:v>9.1898200000000152E-3</c:v>
                </c:pt>
                <c:pt idx="49">
                  <c:v>0.16458968499999999</c:v>
                </c:pt>
                <c:pt idx="50">
                  <c:v>3.2999345999999985E-2</c:v>
                </c:pt>
                <c:pt idx="51">
                  <c:v>9.4791553999999945E-2</c:v>
                </c:pt>
                <c:pt idx="52">
                  <c:v>5.3236965000000025E-2</c:v>
                </c:pt>
                <c:pt idx="53">
                  <c:v>0.12892355500000002</c:v>
                </c:pt>
                <c:pt idx="54">
                  <c:v>0.19909020900000007</c:v>
                </c:pt>
                <c:pt idx="55">
                  <c:v>6.1421568000000037E-2</c:v>
                </c:pt>
                <c:pt idx="56">
                  <c:v>0.19986362200000002</c:v>
                </c:pt>
                <c:pt idx="57">
                  <c:v>0.22151016200000001</c:v>
                </c:pt>
                <c:pt idx="58">
                  <c:v>1.377801900000003E-2</c:v>
                </c:pt>
                <c:pt idx="59">
                  <c:v>0.206487278</c:v>
                </c:pt>
                <c:pt idx="60">
                  <c:v>0.16766429199999999</c:v>
                </c:pt>
                <c:pt idx="61">
                  <c:v>0.20713249600000005</c:v>
                </c:pt>
                <c:pt idx="62">
                  <c:v>0.20706755300000002</c:v>
                </c:pt>
                <c:pt idx="63">
                  <c:v>0.14604349100000003</c:v>
                </c:pt>
                <c:pt idx="64">
                  <c:v>0.19554683500000003</c:v>
                </c:pt>
                <c:pt idx="65">
                  <c:v>1.7196760000000033E-2</c:v>
                </c:pt>
                <c:pt idx="66">
                  <c:v>7.6478972000000034E-2</c:v>
                </c:pt>
                <c:pt idx="67">
                  <c:v>0.34833266300000004</c:v>
                </c:pt>
                <c:pt idx="68">
                  <c:v>0.18909497400000003</c:v>
                </c:pt>
                <c:pt idx="69">
                  <c:v>3.4412081999999955E-2</c:v>
                </c:pt>
                <c:pt idx="70">
                  <c:v>0.36843351700000004</c:v>
                </c:pt>
                <c:pt idx="71">
                  <c:v>0.15866654199999997</c:v>
                </c:pt>
                <c:pt idx="72">
                  <c:v>1.2788277999999931E-2</c:v>
                </c:pt>
                <c:pt idx="73">
                  <c:v>3.9300012000000106E-2</c:v>
                </c:pt>
                <c:pt idx="74">
                  <c:v>0.38882422099999997</c:v>
                </c:pt>
                <c:pt idx="75">
                  <c:v>0.398599237</c:v>
                </c:pt>
                <c:pt idx="76">
                  <c:v>0.25586189800000009</c:v>
                </c:pt>
                <c:pt idx="77">
                  <c:v>0.24959298500000004</c:v>
                </c:pt>
                <c:pt idx="78">
                  <c:v>0.1055371699999999</c:v>
                </c:pt>
                <c:pt idx="79">
                  <c:v>2.0171325000000073E-2</c:v>
                </c:pt>
                <c:pt idx="80">
                  <c:v>0.24248410800000003</c:v>
                </c:pt>
                <c:pt idx="81">
                  <c:v>9.0942170000000044E-2</c:v>
                </c:pt>
                <c:pt idx="82">
                  <c:v>0.26132122099999999</c:v>
                </c:pt>
                <c:pt idx="83">
                  <c:v>0.48692936000000003</c:v>
                </c:pt>
                <c:pt idx="84">
                  <c:v>1.0145179999999976E-2</c:v>
                </c:pt>
                <c:pt idx="85">
                  <c:v>0.35828446399999991</c:v>
                </c:pt>
                <c:pt idx="86">
                  <c:v>4.6464936999999984E-2</c:v>
                </c:pt>
                <c:pt idx="87">
                  <c:v>8.1446761000000034E-2</c:v>
                </c:pt>
                <c:pt idx="88">
                  <c:v>7.6767410000000424E-3</c:v>
                </c:pt>
                <c:pt idx="89">
                  <c:v>0.35266829000000005</c:v>
                </c:pt>
                <c:pt idx="90">
                  <c:v>0.16984346500000008</c:v>
                </c:pt>
                <c:pt idx="91">
                  <c:v>4.5623828999999949E-2</c:v>
                </c:pt>
                <c:pt idx="92">
                  <c:v>0.25747144900000002</c:v>
                </c:pt>
                <c:pt idx="93">
                  <c:v>0.31531071900000007</c:v>
                </c:pt>
                <c:pt idx="94">
                  <c:v>0.21427450800000003</c:v>
                </c:pt>
                <c:pt idx="95">
                  <c:v>0.19386796700000003</c:v>
                </c:pt>
                <c:pt idx="96">
                  <c:v>3.0466917000000038E-2</c:v>
                </c:pt>
                <c:pt idx="97">
                  <c:v>0.29240033600000004</c:v>
                </c:pt>
                <c:pt idx="98">
                  <c:v>0.34416140199999995</c:v>
                </c:pt>
                <c:pt idx="99">
                  <c:v>9.4336214000000029E-2</c:v>
                </c:pt>
                <c:pt idx="100">
                  <c:v>5.298933699999997E-2</c:v>
                </c:pt>
                <c:pt idx="101">
                  <c:v>0.25406433800000006</c:v>
                </c:pt>
                <c:pt idx="102">
                  <c:v>0.413337022</c:v>
                </c:pt>
                <c:pt idx="103">
                  <c:v>0.50195687200000005</c:v>
                </c:pt>
                <c:pt idx="104">
                  <c:v>0.43734985999999998</c:v>
                </c:pt>
                <c:pt idx="105">
                  <c:v>0.44428091200000003</c:v>
                </c:pt>
                <c:pt idx="106">
                  <c:v>7.8510365999999943E-2</c:v>
                </c:pt>
                <c:pt idx="107">
                  <c:v>0.20474201299999994</c:v>
                </c:pt>
                <c:pt idx="108">
                  <c:v>3.8752723999999961E-2</c:v>
                </c:pt>
                <c:pt idx="109">
                  <c:v>0.54313341199999998</c:v>
                </c:pt>
                <c:pt idx="110">
                  <c:v>0.47757680899999999</c:v>
                </c:pt>
                <c:pt idx="111">
                  <c:v>0.11413143599999998</c:v>
                </c:pt>
                <c:pt idx="112">
                  <c:v>0.45315199999999994</c:v>
                </c:pt>
                <c:pt idx="113">
                  <c:v>4.8549029000000021E-2</c:v>
                </c:pt>
                <c:pt idx="114">
                  <c:v>1.0328679999999979E-2</c:v>
                </c:pt>
                <c:pt idx="115">
                  <c:v>0.10428935499999992</c:v>
                </c:pt>
                <c:pt idx="116">
                  <c:v>9.341682200000001E-2</c:v>
                </c:pt>
                <c:pt idx="117">
                  <c:v>0.30098446200000001</c:v>
                </c:pt>
                <c:pt idx="118">
                  <c:v>3.8298818999999984E-2</c:v>
                </c:pt>
                <c:pt idx="119">
                  <c:v>0.10862030900000008</c:v>
                </c:pt>
                <c:pt idx="120">
                  <c:v>0.31683842600000006</c:v>
                </c:pt>
                <c:pt idx="121">
                  <c:v>0.23233942900000004</c:v>
                </c:pt>
                <c:pt idx="122">
                  <c:v>0.21437417899999989</c:v>
                </c:pt>
                <c:pt idx="123">
                  <c:v>0.38144218200000007</c:v>
                </c:pt>
                <c:pt idx="124">
                  <c:v>0.18481591099999994</c:v>
                </c:pt>
                <c:pt idx="125">
                  <c:v>0.37568719</c:v>
                </c:pt>
                <c:pt idx="126">
                  <c:v>9.4480704999999943E-2</c:v>
                </c:pt>
                <c:pt idx="127">
                  <c:v>0.318490567</c:v>
                </c:pt>
                <c:pt idx="128">
                  <c:v>0.2240335739999999</c:v>
                </c:pt>
                <c:pt idx="129">
                  <c:v>0.24905425500000006</c:v>
                </c:pt>
                <c:pt idx="130">
                  <c:v>0.28896845899999996</c:v>
                </c:pt>
                <c:pt idx="131">
                  <c:v>0.29434706300000002</c:v>
                </c:pt>
                <c:pt idx="132">
                  <c:v>0.56042719099999994</c:v>
                </c:pt>
                <c:pt idx="133">
                  <c:v>0.52148630299999998</c:v>
                </c:pt>
                <c:pt idx="134">
                  <c:v>0.360115407</c:v>
                </c:pt>
                <c:pt idx="135">
                  <c:v>0.21298450099999999</c:v>
                </c:pt>
                <c:pt idx="136">
                  <c:v>0.26555931100000008</c:v>
                </c:pt>
                <c:pt idx="137">
                  <c:v>0.35872480200000001</c:v>
                </c:pt>
                <c:pt idx="138">
                  <c:v>0.36193129300000004</c:v>
                </c:pt>
                <c:pt idx="139">
                  <c:v>0.54647117300000003</c:v>
                </c:pt>
                <c:pt idx="140">
                  <c:v>0.57743814700000007</c:v>
                </c:pt>
                <c:pt idx="141">
                  <c:v>0.59037898099999997</c:v>
                </c:pt>
                <c:pt idx="142">
                  <c:v>0.34349534000000004</c:v>
                </c:pt>
                <c:pt idx="143">
                  <c:v>0.43261390199999999</c:v>
                </c:pt>
                <c:pt idx="144">
                  <c:v>0.35429595699999999</c:v>
                </c:pt>
                <c:pt idx="145">
                  <c:v>0.58706406899999997</c:v>
                </c:pt>
                <c:pt idx="146">
                  <c:v>0.45921797600000003</c:v>
                </c:pt>
                <c:pt idx="147">
                  <c:v>0.47954065299999993</c:v>
                </c:pt>
                <c:pt idx="148">
                  <c:v>0.47112287999999997</c:v>
                </c:pt>
                <c:pt idx="149">
                  <c:v>0.49053598600000003</c:v>
                </c:pt>
              </c:numCache>
            </c:numRef>
          </c:val>
          <c:extLst>
            <c:ext xmlns:c16="http://schemas.microsoft.com/office/drawing/2014/chart" uri="{C3380CC4-5D6E-409C-BE32-E72D297353CC}">
              <c16:uniqueId val="{00000002-A755-4475-B599-5082F014BB76}"/>
            </c:ext>
          </c:extLst>
        </c:ser>
        <c:ser>
          <c:idx val="0"/>
          <c:order val="1"/>
          <c:tx>
            <c:strRef>
              <c:f>'pred X, share NF'!$B$1</c:f>
              <c:strCache>
                <c:ptCount val="1"/>
                <c:pt idx="0">
                  <c:v>shareM2L</c:v>
                </c:pt>
              </c:strCache>
            </c:strRef>
          </c:tx>
          <c:spPr>
            <a:solidFill>
              <a:schemeClr val="accent1"/>
            </a:solidFill>
            <a:ln>
              <a:noFill/>
            </a:ln>
            <a:effectLst/>
          </c:spPr>
          <c:invertIfNegative val="0"/>
          <c:val>
            <c:numRef>
              <c:f>'pred X, share NF'!$B$2:$B$151</c:f>
              <c:numCache>
                <c:formatCode>General</c:formatCode>
                <c:ptCount val="150"/>
                <c:pt idx="0">
                  <c:v>1.0779558E-2</c:v>
                </c:pt>
                <c:pt idx="1">
                  <c:v>3.3506629000000003E-2</c:v>
                </c:pt>
                <c:pt idx="2">
                  <c:v>6.3103556000000005E-2</c:v>
                </c:pt>
                <c:pt idx="3">
                  <c:v>9.1160068999999996E-2</c:v>
                </c:pt>
                <c:pt idx="4">
                  <c:v>0.159432672</c:v>
                </c:pt>
                <c:pt idx="5">
                  <c:v>0.16275399099999999</c:v>
                </c:pt>
                <c:pt idx="6">
                  <c:v>0.18030623100000001</c:v>
                </c:pt>
                <c:pt idx="7">
                  <c:v>0.17165311899999999</c:v>
                </c:pt>
                <c:pt idx="8">
                  <c:v>0.18123821000000001</c:v>
                </c:pt>
                <c:pt idx="9">
                  <c:v>0.20850207500000001</c:v>
                </c:pt>
                <c:pt idx="10">
                  <c:v>0.20425464700000001</c:v>
                </c:pt>
                <c:pt idx="11">
                  <c:v>0.237201257</c:v>
                </c:pt>
                <c:pt idx="12">
                  <c:v>0.19268373999999999</c:v>
                </c:pt>
                <c:pt idx="13">
                  <c:v>0.25987770799999999</c:v>
                </c:pt>
                <c:pt idx="14">
                  <c:v>0.25304948999999999</c:v>
                </c:pt>
                <c:pt idx="15">
                  <c:v>0.267809511</c:v>
                </c:pt>
                <c:pt idx="16">
                  <c:v>0.25701298500000003</c:v>
                </c:pt>
                <c:pt idx="17">
                  <c:v>0.235721932</c:v>
                </c:pt>
                <c:pt idx="18">
                  <c:v>0.27359199099999998</c:v>
                </c:pt>
                <c:pt idx="19">
                  <c:v>0.240934435</c:v>
                </c:pt>
                <c:pt idx="20">
                  <c:v>0.27672205599999999</c:v>
                </c:pt>
                <c:pt idx="21">
                  <c:v>0.22673088199999999</c:v>
                </c:pt>
                <c:pt idx="22">
                  <c:v>0.31222561100000001</c:v>
                </c:pt>
                <c:pt idx="23">
                  <c:v>0.28269562999999998</c:v>
                </c:pt>
                <c:pt idx="24">
                  <c:v>0.28859257799999999</c:v>
                </c:pt>
                <c:pt idx="25">
                  <c:v>0.29377879699999998</c:v>
                </c:pt>
                <c:pt idx="26">
                  <c:v>0.21849890999999999</c:v>
                </c:pt>
                <c:pt idx="27">
                  <c:v>0.28842836799999999</c:v>
                </c:pt>
                <c:pt idx="28">
                  <c:v>0.33532736499999999</c:v>
                </c:pt>
                <c:pt idx="29">
                  <c:v>0.30011579799999999</c:v>
                </c:pt>
                <c:pt idx="30">
                  <c:v>0.32896424000000002</c:v>
                </c:pt>
                <c:pt idx="31">
                  <c:v>0.226263775</c:v>
                </c:pt>
                <c:pt idx="32">
                  <c:v>0.25508387700000001</c:v>
                </c:pt>
                <c:pt idx="33">
                  <c:v>0.33451313799999999</c:v>
                </c:pt>
                <c:pt idx="34">
                  <c:v>0.36730126099999999</c:v>
                </c:pt>
                <c:pt idx="35">
                  <c:v>0.361694774</c:v>
                </c:pt>
                <c:pt idx="36">
                  <c:v>0.31017752799999998</c:v>
                </c:pt>
                <c:pt idx="37">
                  <c:v>0.204950418</c:v>
                </c:pt>
                <c:pt idx="38">
                  <c:v>0.38678596100000001</c:v>
                </c:pt>
                <c:pt idx="39">
                  <c:v>0.31385287000000001</c:v>
                </c:pt>
                <c:pt idx="40">
                  <c:v>0.30351689599999998</c:v>
                </c:pt>
                <c:pt idx="41">
                  <c:v>0.27935732099999999</c:v>
                </c:pt>
                <c:pt idx="42">
                  <c:v>0.11223173</c:v>
                </c:pt>
                <c:pt idx="43">
                  <c:v>0.38810969299999998</c:v>
                </c:pt>
                <c:pt idx="44">
                  <c:v>0.380557755</c:v>
                </c:pt>
                <c:pt idx="45">
                  <c:v>0.37034924299999999</c:v>
                </c:pt>
                <c:pt idx="46">
                  <c:v>0.33472542500000002</c:v>
                </c:pt>
                <c:pt idx="47">
                  <c:v>0.36113892199999997</c:v>
                </c:pt>
                <c:pt idx="48">
                  <c:v>0.43791037300000002</c:v>
                </c:pt>
                <c:pt idx="49">
                  <c:v>0.28395509800000002</c:v>
                </c:pt>
                <c:pt idx="50">
                  <c:v>0.41960871700000002</c:v>
                </c:pt>
                <c:pt idx="51">
                  <c:v>0.36419124800000002</c:v>
                </c:pt>
                <c:pt idx="52">
                  <c:v>0.40783818799999999</c:v>
                </c:pt>
                <c:pt idx="53">
                  <c:v>0.33436307999999998</c:v>
                </c:pt>
                <c:pt idx="54">
                  <c:v>0.26703060099999998</c:v>
                </c:pt>
                <c:pt idx="55">
                  <c:v>0.406070443</c:v>
                </c:pt>
                <c:pt idx="56">
                  <c:v>0.26874201199999997</c:v>
                </c:pt>
                <c:pt idx="57">
                  <c:v>0.24985289199999999</c:v>
                </c:pt>
                <c:pt idx="58">
                  <c:v>0.46481025199999998</c:v>
                </c:pt>
                <c:pt idx="59">
                  <c:v>0.27391708100000001</c:v>
                </c:pt>
                <c:pt idx="60">
                  <c:v>0.31777049099999999</c:v>
                </c:pt>
                <c:pt idx="61">
                  <c:v>0.27986652899999998</c:v>
                </c:pt>
                <c:pt idx="62">
                  <c:v>0.28167447899999998</c:v>
                </c:pt>
                <c:pt idx="63">
                  <c:v>0.34727893799999998</c:v>
                </c:pt>
                <c:pt idx="64">
                  <c:v>0.30083665999999998</c:v>
                </c:pt>
                <c:pt idx="65">
                  <c:v>0.48053875400000001</c:v>
                </c:pt>
                <c:pt idx="66">
                  <c:v>0.43454042399999998</c:v>
                </c:pt>
                <c:pt idx="67">
                  <c:v>0.16314464400000001</c:v>
                </c:pt>
                <c:pt idx="68">
                  <c:v>0.33271653600000001</c:v>
                </c:pt>
                <c:pt idx="69">
                  <c:v>0.48750679899999999</c:v>
                </c:pt>
                <c:pt idx="70">
                  <c:v>0.15937779799999999</c:v>
                </c:pt>
                <c:pt idx="71">
                  <c:v>0.37152922300000002</c:v>
                </c:pt>
                <c:pt idx="72">
                  <c:v>0.53184046600000001</c:v>
                </c:pt>
                <c:pt idx="73">
                  <c:v>0.50873952099999997</c:v>
                </c:pt>
                <c:pt idx="74">
                  <c:v>0.159671744</c:v>
                </c:pt>
                <c:pt idx="75">
                  <c:v>0.160692056</c:v>
                </c:pt>
                <c:pt idx="76">
                  <c:v>0.31064961299999999</c:v>
                </c:pt>
                <c:pt idx="77">
                  <c:v>0.32542550599999998</c:v>
                </c:pt>
                <c:pt idx="78">
                  <c:v>0.47130669600000002</c:v>
                </c:pt>
                <c:pt idx="79">
                  <c:v>0.55875558999999997</c:v>
                </c:pt>
                <c:pt idx="80">
                  <c:v>0.336913081</c:v>
                </c:pt>
                <c:pt idx="81">
                  <c:v>0.49085530700000002</c:v>
                </c:pt>
                <c:pt idx="82">
                  <c:v>0.32163434499999999</c:v>
                </c:pt>
                <c:pt idx="83">
                  <c:v>0.100986309</c:v>
                </c:pt>
                <c:pt idx="84">
                  <c:v>0.57904947100000004</c:v>
                </c:pt>
                <c:pt idx="85">
                  <c:v>0.23407093800000001</c:v>
                </c:pt>
                <c:pt idx="86">
                  <c:v>0.54627473900000001</c:v>
                </c:pt>
                <c:pt idx="87">
                  <c:v>0.51908358899999996</c:v>
                </c:pt>
                <c:pt idx="88">
                  <c:v>0.59333416699999997</c:v>
                </c:pt>
                <c:pt idx="89">
                  <c:v>0.25716335200000001</c:v>
                </c:pt>
                <c:pt idx="90">
                  <c:v>0.44449960199999999</c:v>
                </c:pt>
                <c:pt idx="91">
                  <c:v>0.57467396900000001</c:v>
                </c:pt>
                <c:pt idx="92">
                  <c:v>0.36342345199999998</c:v>
                </c:pt>
                <c:pt idx="93">
                  <c:v>0.30618533999999997</c:v>
                </c:pt>
                <c:pt idx="94">
                  <c:v>0.40808011700000002</c:v>
                </c:pt>
                <c:pt idx="95">
                  <c:v>0.43744364600000002</c:v>
                </c:pt>
                <c:pt idx="96">
                  <c:v>0.60219715399999996</c:v>
                </c:pt>
                <c:pt idx="97">
                  <c:v>0.34057736599999999</c:v>
                </c:pt>
                <c:pt idx="98">
                  <c:v>0.29157888999999998</c:v>
                </c:pt>
                <c:pt idx="99">
                  <c:v>0.54414410899999999</c:v>
                </c:pt>
                <c:pt idx="100">
                  <c:v>0.58643442899999998</c:v>
                </c:pt>
                <c:pt idx="101">
                  <c:v>0.38695078500000002</c:v>
                </c:pt>
                <c:pt idx="102">
                  <c:v>0.22998508300000001</c:v>
                </c:pt>
                <c:pt idx="103">
                  <c:v>0.14198608600000001</c:v>
                </c:pt>
                <c:pt idx="104">
                  <c:v>0.21837480200000001</c:v>
                </c:pt>
                <c:pt idx="105">
                  <c:v>0.21545900800000001</c:v>
                </c:pt>
                <c:pt idx="106">
                  <c:v>0.58216697100000003</c:v>
                </c:pt>
                <c:pt idx="107">
                  <c:v>0.45723901099999997</c:v>
                </c:pt>
                <c:pt idx="108">
                  <c:v>0.63223743600000004</c:v>
                </c:pt>
                <c:pt idx="109">
                  <c:v>0.129547249</c:v>
                </c:pt>
                <c:pt idx="110">
                  <c:v>0.19647969000000001</c:v>
                </c:pt>
                <c:pt idx="111">
                  <c:v>0.56406352000000004</c:v>
                </c:pt>
                <c:pt idx="112">
                  <c:v>0.23198089199999999</c:v>
                </c:pt>
                <c:pt idx="113">
                  <c:v>0.63705276700000002</c:v>
                </c:pt>
                <c:pt idx="114">
                  <c:v>0.67802759599999995</c:v>
                </c:pt>
                <c:pt idx="115">
                  <c:v>0.58587012800000005</c:v>
                </c:pt>
                <c:pt idx="116">
                  <c:v>0.59766091799999999</c:v>
                </c:pt>
                <c:pt idx="117">
                  <c:v>0.41236297100000002</c:v>
                </c:pt>
                <c:pt idx="118">
                  <c:v>0.681380918</c:v>
                </c:pt>
                <c:pt idx="119">
                  <c:v>0.61209897499999999</c:v>
                </c:pt>
                <c:pt idx="120">
                  <c:v>0.40401506599999998</c:v>
                </c:pt>
                <c:pt idx="121">
                  <c:v>0.48938599900000002</c:v>
                </c:pt>
                <c:pt idx="122">
                  <c:v>0.51965862500000004</c:v>
                </c:pt>
                <c:pt idx="123">
                  <c:v>0.35397865899999997</c:v>
                </c:pt>
                <c:pt idx="124">
                  <c:v>0.55065704999999998</c:v>
                </c:pt>
                <c:pt idx="125">
                  <c:v>0.36153939600000001</c:v>
                </c:pt>
                <c:pt idx="126">
                  <c:v>0.646569112</c:v>
                </c:pt>
                <c:pt idx="127">
                  <c:v>0.425065998</c:v>
                </c:pt>
                <c:pt idx="128">
                  <c:v>0.52025952600000003</c:v>
                </c:pt>
                <c:pt idx="129">
                  <c:v>0.49747841700000001</c:v>
                </c:pt>
                <c:pt idx="130">
                  <c:v>0.46538095200000001</c:v>
                </c:pt>
                <c:pt idx="131">
                  <c:v>0.461314318</c:v>
                </c:pt>
                <c:pt idx="132">
                  <c:v>0.202642344</c:v>
                </c:pt>
                <c:pt idx="133">
                  <c:v>0.24699051599999999</c:v>
                </c:pt>
                <c:pt idx="134">
                  <c:v>0.43594575099999999</c:v>
                </c:pt>
                <c:pt idx="135">
                  <c:v>0.58735793400000003</c:v>
                </c:pt>
                <c:pt idx="136">
                  <c:v>0.54430960699999997</c:v>
                </c:pt>
                <c:pt idx="137">
                  <c:v>0.45236388999999999</c:v>
                </c:pt>
                <c:pt idx="138">
                  <c:v>0.45048927500000002</c:v>
                </c:pt>
                <c:pt idx="139">
                  <c:v>0.27607855100000001</c:v>
                </c:pt>
                <c:pt idx="140">
                  <c:v>0.25166309999999997</c:v>
                </c:pt>
                <c:pt idx="141">
                  <c:v>0.24494290299999999</c:v>
                </c:pt>
                <c:pt idx="142">
                  <c:v>0.49255763699999999</c:v>
                </c:pt>
                <c:pt idx="143">
                  <c:v>0.40599665400000001</c:v>
                </c:pt>
                <c:pt idx="144">
                  <c:v>0.48530826799999999</c:v>
                </c:pt>
                <c:pt idx="145">
                  <c:v>0.25877861800000002</c:v>
                </c:pt>
                <c:pt idx="146">
                  <c:v>0.43700704000000001</c:v>
                </c:pt>
                <c:pt idx="147">
                  <c:v>0.42118123600000001</c:v>
                </c:pt>
                <c:pt idx="148">
                  <c:v>0.45039726699999999</c:v>
                </c:pt>
                <c:pt idx="149">
                  <c:v>0.43408591299999999</c:v>
                </c:pt>
              </c:numCache>
            </c:numRef>
          </c:val>
          <c:extLst>
            <c:ext xmlns:c16="http://schemas.microsoft.com/office/drawing/2014/chart" uri="{C3380CC4-5D6E-409C-BE32-E72D297353CC}">
              <c16:uniqueId val="{00000000-A755-4475-B599-5082F014BB76}"/>
            </c:ext>
          </c:extLst>
        </c:ser>
        <c:ser>
          <c:idx val="1"/>
          <c:order val="2"/>
          <c:tx>
            <c:strRef>
              <c:f>'pred X, share NF'!$C$1</c:f>
              <c:strCache>
                <c:ptCount val="1"/>
                <c:pt idx="0">
                  <c:v>shareP2P</c:v>
                </c:pt>
              </c:strCache>
            </c:strRef>
          </c:tx>
          <c:spPr>
            <a:solidFill>
              <a:schemeClr val="accent2"/>
            </a:solidFill>
            <a:ln>
              <a:noFill/>
            </a:ln>
            <a:effectLst/>
          </c:spPr>
          <c:invertIfNegative val="0"/>
          <c:val>
            <c:numRef>
              <c:f>'pred X, share NF'!$C$2:$C$151</c:f>
              <c:numCache>
                <c:formatCode>General</c:formatCode>
                <c:ptCount val="150"/>
                <c:pt idx="0">
                  <c:v>0.96388679499999996</c:v>
                </c:pt>
                <c:pt idx="1">
                  <c:v>0.95429370899999999</c:v>
                </c:pt>
                <c:pt idx="2">
                  <c:v>0.914170021</c:v>
                </c:pt>
                <c:pt idx="3">
                  <c:v>0.900533001</c:v>
                </c:pt>
                <c:pt idx="4">
                  <c:v>0.83541327099999996</c:v>
                </c:pt>
                <c:pt idx="5">
                  <c:v>0.82367858100000002</c:v>
                </c:pt>
                <c:pt idx="6">
                  <c:v>0.79543077900000003</c:v>
                </c:pt>
                <c:pt idx="7">
                  <c:v>0.78814933600000003</c:v>
                </c:pt>
                <c:pt idx="8">
                  <c:v>0.78633788999999998</c:v>
                </c:pt>
                <c:pt idx="9">
                  <c:v>0.78463571799999998</c:v>
                </c:pt>
                <c:pt idx="10">
                  <c:v>0.78160302699999995</c:v>
                </c:pt>
                <c:pt idx="11">
                  <c:v>0.75144589299999998</c:v>
                </c:pt>
                <c:pt idx="12">
                  <c:v>0.74613497600000001</c:v>
                </c:pt>
                <c:pt idx="13">
                  <c:v>0.72574130299999995</c:v>
                </c:pt>
                <c:pt idx="14">
                  <c:v>0.72520663200000002</c:v>
                </c:pt>
                <c:pt idx="15">
                  <c:v>0.72411968999999998</c:v>
                </c:pt>
                <c:pt idx="16">
                  <c:v>0.72343192199999995</c:v>
                </c:pt>
                <c:pt idx="17">
                  <c:v>0.71780519300000001</c:v>
                </c:pt>
                <c:pt idx="18">
                  <c:v>0.71759039899999999</c:v>
                </c:pt>
                <c:pt idx="19">
                  <c:v>0.70379149799999996</c:v>
                </c:pt>
                <c:pt idx="20">
                  <c:v>0.70124230799999998</c:v>
                </c:pt>
                <c:pt idx="21">
                  <c:v>0.69891608599999999</c:v>
                </c:pt>
                <c:pt idx="22">
                  <c:v>0.68136395999999999</c:v>
                </c:pt>
                <c:pt idx="23">
                  <c:v>0.68080307100000004</c:v>
                </c:pt>
                <c:pt idx="24">
                  <c:v>0.67380086800000005</c:v>
                </c:pt>
                <c:pt idx="25">
                  <c:v>0.66708140800000004</c:v>
                </c:pt>
                <c:pt idx="26">
                  <c:v>0.66387242599999996</c:v>
                </c:pt>
                <c:pt idx="27">
                  <c:v>0.66110414100000003</c:v>
                </c:pt>
                <c:pt idx="28">
                  <c:v>0.65410173999999999</c:v>
                </c:pt>
                <c:pt idx="29">
                  <c:v>0.64567759000000002</c:v>
                </c:pt>
                <c:pt idx="30">
                  <c:v>0.635292525</c:v>
                </c:pt>
                <c:pt idx="31">
                  <c:v>0.63261157000000001</c:v>
                </c:pt>
                <c:pt idx="32">
                  <c:v>0.62794960899999996</c:v>
                </c:pt>
                <c:pt idx="33">
                  <c:v>0.62236150400000001</c:v>
                </c:pt>
                <c:pt idx="34">
                  <c:v>0.622068442</c:v>
                </c:pt>
                <c:pt idx="35">
                  <c:v>0.613116526</c:v>
                </c:pt>
                <c:pt idx="36">
                  <c:v>0.60305613000000002</c:v>
                </c:pt>
                <c:pt idx="37">
                  <c:v>0.60153123500000005</c:v>
                </c:pt>
                <c:pt idx="38">
                  <c:v>0.60120030099999999</c:v>
                </c:pt>
                <c:pt idx="39">
                  <c:v>0.60058685300000003</c:v>
                </c:pt>
                <c:pt idx="40">
                  <c:v>0.59779506999999998</c:v>
                </c:pt>
                <c:pt idx="41">
                  <c:v>0.59424039900000003</c:v>
                </c:pt>
                <c:pt idx="42">
                  <c:v>0.59256508200000002</c:v>
                </c:pt>
                <c:pt idx="43">
                  <c:v>0.58318699699999998</c:v>
                </c:pt>
                <c:pt idx="44">
                  <c:v>0.58212101199999999</c:v>
                </c:pt>
                <c:pt idx="45">
                  <c:v>0.56203840000000005</c:v>
                </c:pt>
                <c:pt idx="46">
                  <c:v>0.56191406399999999</c:v>
                </c:pt>
                <c:pt idx="47">
                  <c:v>0.56162773499999996</c:v>
                </c:pt>
                <c:pt idx="48">
                  <c:v>0.55289980699999997</c:v>
                </c:pt>
                <c:pt idx="49">
                  <c:v>0.551455217</c:v>
                </c:pt>
                <c:pt idx="50">
                  <c:v>0.547391937</c:v>
                </c:pt>
                <c:pt idx="51">
                  <c:v>0.54101719800000003</c:v>
                </c:pt>
                <c:pt idx="52">
                  <c:v>0.53892484699999998</c:v>
                </c:pt>
                <c:pt idx="53">
                  <c:v>0.536713365</c:v>
                </c:pt>
                <c:pt idx="54">
                  <c:v>0.53387918999999995</c:v>
                </c:pt>
                <c:pt idx="55">
                  <c:v>0.53250798899999996</c:v>
                </c:pt>
                <c:pt idx="56">
                  <c:v>0.53139436600000001</c:v>
                </c:pt>
                <c:pt idx="57">
                  <c:v>0.528636946</c:v>
                </c:pt>
                <c:pt idx="58">
                  <c:v>0.52141172899999999</c:v>
                </c:pt>
                <c:pt idx="59">
                  <c:v>0.519595641</c:v>
                </c:pt>
                <c:pt idx="60">
                  <c:v>0.51456521700000002</c:v>
                </c:pt>
                <c:pt idx="61">
                  <c:v>0.51300097499999997</c:v>
                </c:pt>
                <c:pt idx="62">
                  <c:v>0.51125796800000001</c:v>
                </c:pt>
                <c:pt idx="63">
                  <c:v>0.50667757099999999</c:v>
                </c:pt>
                <c:pt idx="64">
                  <c:v>0.50361650499999999</c:v>
                </c:pt>
                <c:pt idx="65">
                  <c:v>0.50226448599999995</c:v>
                </c:pt>
                <c:pt idx="66">
                  <c:v>0.48898060399999999</c:v>
                </c:pt>
                <c:pt idx="67">
                  <c:v>0.48852269300000001</c:v>
                </c:pt>
                <c:pt idx="68">
                  <c:v>0.47818849000000002</c:v>
                </c:pt>
                <c:pt idx="69">
                  <c:v>0.478081119</c:v>
                </c:pt>
                <c:pt idx="70">
                  <c:v>0.472188685</c:v>
                </c:pt>
                <c:pt idx="71">
                  <c:v>0.46980423500000001</c:v>
                </c:pt>
                <c:pt idx="72">
                  <c:v>0.455371256</c:v>
                </c:pt>
                <c:pt idx="73">
                  <c:v>0.45196046699999998</c:v>
                </c:pt>
                <c:pt idx="74">
                  <c:v>0.45150403500000003</c:v>
                </c:pt>
                <c:pt idx="75">
                  <c:v>0.44070870699999998</c:v>
                </c:pt>
                <c:pt idx="76">
                  <c:v>0.43348848899999998</c:v>
                </c:pt>
                <c:pt idx="77">
                  <c:v>0.42498150899999998</c:v>
                </c:pt>
                <c:pt idx="78">
                  <c:v>0.42315613400000002</c:v>
                </c:pt>
                <c:pt idx="79">
                  <c:v>0.42107308500000001</c:v>
                </c:pt>
                <c:pt idx="80">
                  <c:v>0.42060281100000002</c:v>
                </c:pt>
                <c:pt idx="81">
                  <c:v>0.41820252299999999</c:v>
                </c:pt>
                <c:pt idx="82">
                  <c:v>0.41704443400000002</c:v>
                </c:pt>
                <c:pt idx="83">
                  <c:v>0.41208433100000003</c:v>
                </c:pt>
                <c:pt idx="84">
                  <c:v>0.41080534899999999</c:v>
                </c:pt>
                <c:pt idx="85">
                  <c:v>0.40764459800000002</c:v>
                </c:pt>
                <c:pt idx="86">
                  <c:v>0.40726032400000001</c:v>
                </c:pt>
                <c:pt idx="87">
                  <c:v>0.39946965000000001</c:v>
                </c:pt>
                <c:pt idx="88">
                  <c:v>0.39898909199999999</c:v>
                </c:pt>
                <c:pt idx="89">
                  <c:v>0.39016835799999999</c:v>
                </c:pt>
                <c:pt idx="90">
                  <c:v>0.38565693299999998</c:v>
                </c:pt>
                <c:pt idx="91">
                  <c:v>0.37970220199999999</c:v>
                </c:pt>
                <c:pt idx="92">
                  <c:v>0.379105099</c:v>
                </c:pt>
                <c:pt idx="93">
                  <c:v>0.37850394100000001</c:v>
                </c:pt>
                <c:pt idx="94">
                  <c:v>0.37764537500000001</c:v>
                </c:pt>
                <c:pt idx="95">
                  <c:v>0.36868838700000001</c:v>
                </c:pt>
                <c:pt idx="96">
                  <c:v>0.36733592900000001</c:v>
                </c:pt>
                <c:pt idx="97">
                  <c:v>0.36702229800000002</c:v>
                </c:pt>
                <c:pt idx="98">
                  <c:v>0.36425970800000002</c:v>
                </c:pt>
                <c:pt idx="99">
                  <c:v>0.36151967699999998</c:v>
                </c:pt>
                <c:pt idx="100">
                  <c:v>0.360576234</c:v>
                </c:pt>
                <c:pt idx="101">
                  <c:v>0.35898487699999998</c:v>
                </c:pt>
                <c:pt idx="102">
                  <c:v>0.35667789500000002</c:v>
                </c:pt>
                <c:pt idx="103">
                  <c:v>0.35605704199999999</c:v>
                </c:pt>
                <c:pt idx="104">
                  <c:v>0.34427533799999999</c:v>
                </c:pt>
                <c:pt idx="105">
                  <c:v>0.34026008000000002</c:v>
                </c:pt>
                <c:pt idx="106">
                  <c:v>0.33932266300000002</c:v>
                </c:pt>
                <c:pt idx="107">
                  <c:v>0.33801897600000003</c:v>
                </c:pt>
                <c:pt idx="108">
                  <c:v>0.32900984</c:v>
                </c:pt>
                <c:pt idx="109">
                  <c:v>0.32731933899999999</c:v>
                </c:pt>
                <c:pt idx="110">
                  <c:v>0.32594350100000002</c:v>
                </c:pt>
                <c:pt idx="111">
                  <c:v>0.32180504399999998</c:v>
                </c:pt>
                <c:pt idx="112">
                  <c:v>0.31486710800000001</c:v>
                </c:pt>
                <c:pt idx="113">
                  <c:v>0.31439820400000001</c:v>
                </c:pt>
                <c:pt idx="114">
                  <c:v>0.31164372400000001</c:v>
                </c:pt>
                <c:pt idx="115">
                  <c:v>0.30984051699999998</c:v>
                </c:pt>
                <c:pt idx="116">
                  <c:v>0.30892226</c:v>
                </c:pt>
                <c:pt idx="117">
                  <c:v>0.28665256700000002</c:v>
                </c:pt>
                <c:pt idx="118">
                  <c:v>0.28032026300000001</c:v>
                </c:pt>
                <c:pt idx="119">
                  <c:v>0.27928071599999998</c:v>
                </c:pt>
                <c:pt idx="120">
                  <c:v>0.27914650800000002</c:v>
                </c:pt>
                <c:pt idx="121">
                  <c:v>0.278274572</c:v>
                </c:pt>
                <c:pt idx="122">
                  <c:v>0.26596719600000002</c:v>
                </c:pt>
                <c:pt idx="123">
                  <c:v>0.26457915900000001</c:v>
                </c:pt>
                <c:pt idx="124">
                  <c:v>0.26452703900000002</c:v>
                </c:pt>
                <c:pt idx="125">
                  <c:v>0.26277341399999998</c:v>
                </c:pt>
                <c:pt idx="126">
                  <c:v>0.258950183</c:v>
                </c:pt>
                <c:pt idx="127">
                  <c:v>0.256443435</c:v>
                </c:pt>
                <c:pt idx="128">
                  <c:v>0.25570690000000001</c:v>
                </c:pt>
                <c:pt idx="129">
                  <c:v>0.25346732799999999</c:v>
                </c:pt>
                <c:pt idx="130">
                  <c:v>0.245650589</c:v>
                </c:pt>
                <c:pt idx="131">
                  <c:v>0.24433861900000001</c:v>
                </c:pt>
                <c:pt idx="132">
                  <c:v>0.23693046500000001</c:v>
                </c:pt>
                <c:pt idx="133">
                  <c:v>0.23152318099999999</c:v>
                </c:pt>
                <c:pt idx="134">
                  <c:v>0.20393884200000001</c:v>
                </c:pt>
                <c:pt idx="135">
                  <c:v>0.19965756500000001</c:v>
                </c:pt>
                <c:pt idx="136">
                  <c:v>0.19013108200000001</c:v>
                </c:pt>
                <c:pt idx="137">
                  <c:v>0.188911308</c:v>
                </c:pt>
                <c:pt idx="138">
                  <c:v>0.18757943199999999</c:v>
                </c:pt>
                <c:pt idx="139">
                  <c:v>0.17745027599999999</c:v>
                </c:pt>
                <c:pt idx="140">
                  <c:v>0.17089875299999999</c:v>
                </c:pt>
                <c:pt idx="141">
                  <c:v>0.16467811600000001</c:v>
                </c:pt>
                <c:pt idx="142">
                  <c:v>0.163947023</c:v>
                </c:pt>
                <c:pt idx="143">
                  <c:v>0.16138944399999999</c:v>
                </c:pt>
                <c:pt idx="144">
                  <c:v>0.16039577499999999</c:v>
                </c:pt>
                <c:pt idx="145">
                  <c:v>0.15415731299999999</c:v>
                </c:pt>
                <c:pt idx="146">
                  <c:v>0.103774984</c:v>
                </c:pt>
                <c:pt idx="147">
                  <c:v>9.9278111000000002E-2</c:v>
                </c:pt>
                <c:pt idx="148">
                  <c:v>7.8479853000000002E-2</c:v>
                </c:pt>
                <c:pt idx="149">
                  <c:v>7.5378101000000003E-2</c:v>
                </c:pt>
              </c:numCache>
            </c:numRef>
          </c:val>
          <c:extLst>
            <c:ext xmlns:c16="http://schemas.microsoft.com/office/drawing/2014/chart" uri="{C3380CC4-5D6E-409C-BE32-E72D297353CC}">
              <c16:uniqueId val="{00000001-A755-4475-B599-5082F014BB76}"/>
            </c:ext>
          </c:extLst>
        </c:ser>
        <c:dLbls>
          <c:showLegendKey val="0"/>
          <c:showVal val="0"/>
          <c:showCatName val="0"/>
          <c:showSerName val="0"/>
          <c:showPercent val="0"/>
          <c:showBubbleSize val="0"/>
        </c:dLbls>
        <c:gapWidth val="150"/>
        <c:overlap val="100"/>
        <c:axId val="1449748640"/>
        <c:axId val="1449759456"/>
      </c:barChart>
      <c:catAx>
        <c:axId val="1449748640"/>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759456"/>
        <c:crosses val="autoZero"/>
        <c:auto val="1"/>
        <c:lblAlgn val="ctr"/>
        <c:lblOffset val="100"/>
        <c:noMultiLvlLbl val="0"/>
      </c:catAx>
      <c:valAx>
        <c:axId val="14497594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748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Share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v>P2P</c:v>
          </c:tx>
          <c:spPr>
            <a:solidFill>
              <a:schemeClr val="accent1"/>
            </a:solidFill>
            <a:ln>
              <a:noFill/>
            </a:ln>
            <a:effectLst/>
          </c:spPr>
          <c:invertIfNegative val="0"/>
          <c:val>
            <c:numRef>
              <c:f>'pred X, share NF'!$Q$49:$Q$54</c:f>
              <c:numCache>
                <c:formatCode>General</c:formatCode>
                <c:ptCount val="6"/>
                <c:pt idx="0">
                  <c:v>0.3369326113333333</c:v>
                </c:pt>
                <c:pt idx="1">
                  <c:v>0.33930294892000001</c:v>
                </c:pt>
                <c:pt idx="2">
                  <c:v>0.36212998779487199</c:v>
                </c:pt>
                <c:pt idx="3">
                  <c:v>0.46929497141666665</c:v>
                </c:pt>
                <c:pt idx="4">
                  <c:v>0.58746554948571439</c:v>
                </c:pt>
                <c:pt idx="5">
                  <c:v>0.84032297811111112</c:v>
                </c:pt>
              </c:numCache>
            </c:numRef>
          </c:val>
          <c:extLst>
            <c:ext xmlns:c16="http://schemas.microsoft.com/office/drawing/2014/chart" uri="{C3380CC4-5D6E-409C-BE32-E72D297353CC}">
              <c16:uniqueId val="{00000000-0024-4218-8DB1-77941704A680}"/>
            </c:ext>
          </c:extLst>
        </c:ser>
        <c:ser>
          <c:idx val="1"/>
          <c:order val="1"/>
          <c:tx>
            <c:v>M2L</c:v>
          </c:tx>
          <c:spPr>
            <a:solidFill>
              <a:schemeClr val="accent2"/>
            </a:solidFill>
            <a:ln>
              <a:noFill/>
            </a:ln>
            <a:effectLst/>
          </c:spPr>
          <c:invertIfNegative val="0"/>
          <c:val>
            <c:numRef>
              <c:f>'pred X, share NF'!$R$49:$R$54</c:f>
              <c:numCache>
                <c:formatCode>General</c:formatCode>
                <c:ptCount val="6"/>
                <c:pt idx="0">
                  <c:v>0.25357328566666665</c:v>
                </c:pt>
                <c:pt idx="1">
                  <c:v>0.31453665408000003</c:v>
                </c:pt>
                <c:pt idx="2">
                  <c:v>0.35894392474358966</c:v>
                </c:pt>
                <c:pt idx="3">
                  <c:v>0.41862181211111105</c:v>
                </c:pt>
                <c:pt idx="4">
                  <c:v>0.38201661874285714</c:v>
                </c:pt>
                <c:pt idx="5">
                  <c:v>0.14530098411111111</c:v>
                </c:pt>
              </c:numCache>
            </c:numRef>
          </c:val>
          <c:extLst>
            <c:ext xmlns:c16="http://schemas.microsoft.com/office/drawing/2014/chart" uri="{C3380CC4-5D6E-409C-BE32-E72D297353CC}">
              <c16:uniqueId val="{00000001-0024-4218-8DB1-77941704A680}"/>
            </c:ext>
          </c:extLst>
        </c:ser>
        <c:dLbls>
          <c:showLegendKey val="0"/>
          <c:showVal val="0"/>
          <c:showCatName val="0"/>
          <c:showSerName val="0"/>
          <c:showPercent val="0"/>
          <c:showBubbleSize val="0"/>
        </c:dLbls>
        <c:gapWidth val="150"/>
        <c:overlap val="100"/>
        <c:axId val="1446785632"/>
        <c:axId val="1446781888"/>
      </c:barChart>
      <c:catAx>
        <c:axId val="144678563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781888"/>
        <c:crosses val="autoZero"/>
        <c:auto val="1"/>
        <c:lblAlgn val="ctr"/>
        <c:lblOffset val="100"/>
        <c:noMultiLvlLbl val="0"/>
      </c:catAx>
      <c:valAx>
        <c:axId val="1446781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785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M2L  size-&gt;transfer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Volume!$G$2:$G$31</c:f>
              <c:numCache>
                <c:formatCode>General</c:formatCode>
                <c:ptCount val="30"/>
                <c:pt idx="0">
                  <c:v>217190</c:v>
                </c:pt>
                <c:pt idx="1">
                  <c:v>89414</c:v>
                </c:pt>
                <c:pt idx="2">
                  <c:v>35116</c:v>
                </c:pt>
                <c:pt idx="3">
                  <c:v>15140</c:v>
                </c:pt>
                <c:pt idx="4">
                  <c:v>9260</c:v>
                </c:pt>
                <c:pt idx="5">
                  <c:v>3216</c:v>
                </c:pt>
                <c:pt idx="6">
                  <c:v>648256</c:v>
                </c:pt>
                <c:pt idx="7">
                  <c:v>187598</c:v>
                </c:pt>
                <c:pt idx="8">
                  <c:v>86330</c:v>
                </c:pt>
                <c:pt idx="9">
                  <c:v>31220</c:v>
                </c:pt>
                <c:pt idx="10">
                  <c:v>17126</c:v>
                </c:pt>
                <c:pt idx="11">
                  <c:v>5380</c:v>
                </c:pt>
                <c:pt idx="12" formatCode="0.00E+00">
                  <c:v>2080000</c:v>
                </c:pt>
                <c:pt idx="13">
                  <c:v>522078</c:v>
                </c:pt>
                <c:pt idx="14">
                  <c:v>196628</c:v>
                </c:pt>
                <c:pt idx="15">
                  <c:v>79344</c:v>
                </c:pt>
                <c:pt idx="16">
                  <c:v>42272</c:v>
                </c:pt>
                <c:pt idx="17">
                  <c:v>25904</c:v>
                </c:pt>
                <c:pt idx="18" formatCode="0.00E+00">
                  <c:v>3630000</c:v>
                </c:pt>
                <c:pt idx="19">
                  <c:v>977840</c:v>
                </c:pt>
                <c:pt idx="20">
                  <c:v>369092</c:v>
                </c:pt>
                <c:pt idx="21">
                  <c:v>135380</c:v>
                </c:pt>
                <c:pt idx="22">
                  <c:v>75244</c:v>
                </c:pt>
                <c:pt idx="23">
                  <c:v>25924</c:v>
                </c:pt>
                <c:pt idx="24" formatCode="0.00E+00">
                  <c:v>3640000</c:v>
                </c:pt>
                <c:pt idx="25">
                  <c:v>977804</c:v>
                </c:pt>
                <c:pt idx="26">
                  <c:v>368812</c:v>
                </c:pt>
                <c:pt idx="27">
                  <c:v>136664</c:v>
                </c:pt>
                <c:pt idx="28">
                  <c:v>76158</c:v>
                </c:pt>
                <c:pt idx="29">
                  <c:v>25872</c:v>
                </c:pt>
              </c:numCache>
            </c:numRef>
          </c:xVal>
          <c:yVal>
            <c:numRef>
              <c:f>Volume!$I$2:$I$151</c:f>
              <c:numCache>
                <c:formatCode>General</c:formatCode>
                <c:ptCount val="150"/>
                <c:pt idx="0">
                  <c:v>5852962200</c:v>
                </c:pt>
                <c:pt idx="1">
                  <c:v>1065085533.3333334</c:v>
                </c:pt>
                <c:pt idx="2">
                  <c:v>2961740966.6666665</c:v>
                </c:pt>
                <c:pt idx="3">
                  <c:v>1035054766.6666666</c:v>
                </c:pt>
                <c:pt idx="4">
                  <c:v>2944663533.3333335</c:v>
                </c:pt>
                <c:pt idx="5">
                  <c:v>5843744033.333333</c:v>
                </c:pt>
                <c:pt idx="6">
                  <c:v>1034230033.3333334</c:v>
                </c:pt>
                <c:pt idx="7">
                  <c:v>2902449300</c:v>
                </c:pt>
                <c:pt idx="8">
                  <c:v>13941057533.333334</c:v>
                </c:pt>
                <c:pt idx="9">
                  <c:v>5826554266.666667</c:v>
                </c:pt>
                <c:pt idx="10">
                  <c:v>16693384766.666666</c:v>
                </c:pt>
                <c:pt idx="11">
                  <c:v>13908287500</c:v>
                </c:pt>
                <c:pt idx="12">
                  <c:v>638713225</c:v>
                </c:pt>
                <c:pt idx="13">
                  <c:v>2815900400</c:v>
                </c:pt>
                <c:pt idx="14">
                  <c:v>16649216200</c:v>
                </c:pt>
                <c:pt idx="15">
                  <c:v>13890168266.666666</c:v>
                </c:pt>
                <c:pt idx="16">
                  <c:v>5800124450</c:v>
                </c:pt>
                <c:pt idx="17">
                  <c:v>678992100</c:v>
                </c:pt>
                <c:pt idx="18">
                  <c:v>2590027933.3333335</c:v>
                </c:pt>
                <c:pt idx="19">
                  <c:v>16574051666.666666</c:v>
                </c:pt>
                <c:pt idx="20">
                  <c:v>13856924350</c:v>
                </c:pt>
                <c:pt idx="21">
                  <c:v>5678315966.666667</c:v>
                </c:pt>
                <c:pt idx="22">
                  <c:v>16602629250</c:v>
                </c:pt>
                <c:pt idx="23">
                  <c:v>13809938833.333334</c:v>
                </c:pt>
                <c:pt idx="24">
                  <c:v>30628566.666666668</c:v>
                </c:pt>
                <c:pt idx="25">
                  <c:v>860025933.33333337</c:v>
                </c:pt>
                <c:pt idx="26">
                  <c:v>16533514566.666666</c:v>
                </c:pt>
                <c:pt idx="27">
                  <c:v>5035459600</c:v>
                </c:pt>
                <c:pt idx="28">
                  <c:v>13547292966.666666</c:v>
                </c:pt>
                <c:pt idx="29">
                  <c:v>16558188933.333334</c:v>
                </c:pt>
              </c:numCache>
            </c:numRef>
          </c:yVal>
          <c:smooth val="0"/>
          <c:extLst>
            <c:ext xmlns:c16="http://schemas.microsoft.com/office/drawing/2014/chart" uri="{C3380CC4-5D6E-409C-BE32-E72D297353CC}">
              <c16:uniqueId val="{00000000-521C-42E5-9261-0EB2DC67682D}"/>
            </c:ext>
          </c:extLst>
        </c:ser>
        <c:dLbls>
          <c:showLegendKey val="0"/>
          <c:showVal val="0"/>
          <c:showCatName val="0"/>
          <c:showSerName val="0"/>
          <c:showPercent val="0"/>
          <c:showBubbleSize val="0"/>
        </c:dLbls>
        <c:axId val="1254008256"/>
        <c:axId val="1362802000"/>
      </c:scatterChart>
      <c:valAx>
        <c:axId val="1254008256"/>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802000"/>
        <c:crosses val="autoZero"/>
        <c:crossBetween val="midCat"/>
      </c:valAx>
      <c:valAx>
        <c:axId val="1362802000"/>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0082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GB</a:t>
            </a:r>
            <a:r>
              <a:rPr lang="en-US" baseline="0"/>
              <a:t> M2L-&gt;P2P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Volume!$H$2:$H$31</c:f>
              <c:numCache>
                <c:formatCode>General</c:formatCode>
                <c:ptCount val="30"/>
                <c:pt idx="0">
                  <c:v>1.6181920000000001E-3</c:v>
                </c:pt>
                <c:pt idx="1">
                  <c:v>6.6618600000000004E-4</c:v>
                </c:pt>
                <c:pt idx="2">
                  <c:v>2.6163500000000003E-4</c:v>
                </c:pt>
                <c:pt idx="3">
                  <c:v>1.12802E-4</c:v>
                </c:pt>
                <c:pt idx="4" formatCode="0.00E+00">
                  <c:v>6.8992399999999994E-5</c:v>
                </c:pt>
                <c:pt idx="5" formatCode="0.00E+00">
                  <c:v>2.39611E-5</c:v>
                </c:pt>
                <c:pt idx="6">
                  <c:v>4.8298839999999996E-3</c:v>
                </c:pt>
                <c:pt idx="7">
                  <c:v>1.397714E-3</c:v>
                </c:pt>
                <c:pt idx="8">
                  <c:v>6.4320899999999995E-4</c:v>
                </c:pt>
                <c:pt idx="9">
                  <c:v>2.3260699999999999E-4</c:v>
                </c:pt>
                <c:pt idx="10">
                  <c:v>1.27599E-4</c:v>
                </c:pt>
                <c:pt idx="11" formatCode="0.00E+00">
                  <c:v>4.0084099999999998E-5</c:v>
                </c:pt>
                <c:pt idx="12">
                  <c:v>1.5525578999999999E-2</c:v>
                </c:pt>
                <c:pt idx="13">
                  <c:v>3.8897839999999999E-3</c:v>
                </c:pt>
                <c:pt idx="14">
                  <c:v>1.4649929999999999E-3</c:v>
                </c:pt>
                <c:pt idx="15">
                  <c:v>5.9115899999999996E-4</c:v>
                </c:pt>
                <c:pt idx="16">
                  <c:v>3.14951E-4</c:v>
                </c:pt>
                <c:pt idx="17">
                  <c:v>1.93E-4</c:v>
                </c:pt>
                <c:pt idx="18">
                  <c:v>2.7061597E-2</c:v>
                </c:pt>
                <c:pt idx="19">
                  <c:v>7.2854759999999999E-3</c:v>
                </c:pt>
                <c:pt idx="20">
                  <c:v>2.7499500000000001E-3</c:v>
                </c:pt>
                <c:pt idx="21">
                  <c:v>1.00866E-3</c:v>
                </c:pt>
                <c:pt idx="22">
                  <c:v>5.6061100000000003E-4</c:v>
                </c:pt>
                <c:pt idx="23">
                  <c:v>1.9314899999999999E-4</c:v>
                </c:pt>
                <c:pt idx="24">
                  <c:v>2.7143389E-2</c:v>
                </c:pt>
                <c:pt idx="25">
                  <c:v>7.2852079999999996E-3</c:v>
                </c:pt>
                <c:pt idx="26">
                  <c:v>2.747864E-3</c:v>
                </c:pt>
                <c:pt idx="27">
                  <c:v>1.0182259999999999E-3</c:v>
                </c:pt>
                <c:pt idx="28">
                  <c:v>5.6742100000000003E-4</c:v>
                </c:pt>
                <c:pt idx="29">
                  <c:v>1.9276100000000001E-4</c:v>
                </c:pt>
              </c:numCache>
            </c:numRef>
          </c:xVal>
          <c:yVal>
            <c:numRef>
              <c:f>Volume!$K$2:$K$31</c:f>
              <c:numCache>
                <c:formatCode>General</c:formatCode>
                <c:ptCount val="30"/>
                <c:pt idx="0">
                  <c:v>7.1415899999999997E-3</c:v>
                </c:pt>
                <c:pt idx="1">
                  <c:v>1.6141529999999999E-3</c:v>
                </c:pt>
                <c:pt idx="2">
                  <c:v>6.7266799999999996E-4</c:v>
                </c:pt>
                <c:pt idx="3">
                  <c:v>2.37495E-4</c:v>
                </c:pt>
                <c:pt idx="4">
                  <c:v>1.16259E-4</c:v>
                </c:pt>
                <c:pt idx="5" formatCode="0.00E+00">
                  <c:v>6.1035200000000001E-5</c:v>
                </c:pt>
                <c:pt idx="6">
                  <c:v>1.6992599000000001E-2</c:v>
                </c:pt>
                <c:pt idx="7">
                  <c:v>3.8008690000000001E-3</c:v>
                </c:pt>
                <c:pt idx="8">
                  <c:v>1.3469759999999999E-3</c:v>
                </c:pt>
                <c:pt idx="9">
                  <c:v>5.4588900000000003E-4</c:v>
                </c:pt>
                <c:pt idx="10">
                  <c:v>2.6330400000000001E-4</c:v>
                </c:pt>
                <c:pt idx="11">
                  <c:v>1.83105E-4</c:v>
                </c:pt>
                <c:pt idx="12">
                  <c:v>2.8124809000000001E-2</c:v>
                </c:pt>
                <c:pt idx="13">
                  <c:v>6.4434109999999996E-3</c:v>
                </c:pt>
                <c:pt idx="14">
                  <c:v>2.3151040000000001E-3</c:v>
                </c:pt>
                <c:pt idx="15">
                  <c:v>7.6830400000000004E-4</c:v>
                </c:pt>
                <c:pt idx="16">
                  <c:v>4.4771999999999998E-4</c:v>
                </c:pt>
                <c:pt idx="17">
                  <c:v>1.2207E-4</c:v>
                </c:pt>
                <c:pt idx="18">
                  <c:v>7.3117434999999995E-2</c:v>
                </c:pt>
                <c:pt idx="19">
                  <c:v>1.4359294999999999E-2</c:v>
                </c:pt>
                <c:pt idx="20">
                  <c:v>5.3664150000000002E-3</c:v>
                </c:pt>
                <c:pt idx="21">
                  <c:v>1.866192E-3</c:v>
                </c:pt>
                <c:pt idx="22">
                  <c:v>8.69304E-4</c:v>
                </c:pt>
                <c:pt idx="23">
                  <c:v>4.8828100000000002E-4</c:v>
                </c:pt>
                <c:pt idx="24">
                  <c:v>7.3102980999999997E-2</c:v>
                </c:pt>
                <c:pt idx="25">
                  <c:v>1.4366805999999999E-2</c:v>
                </c:pt>
                <c:pt idx="26">
                  <c:v>5.3779780000000003E-3</c:v>
                </c:pt>
                <c:pt idx="27">
                  <c:v>1.87251E-3</c:v>
                </c:pt>
                <c:pt idx="28">
                  <c:v>8.6915500000000004E-4</c:v>
                </c:pt>
                <c:pt idx="29">
                  <c:v>4.8828100000000002E-4</c:v>
                </c:pt>
              </c:numCache>
            </c:numRef>
          </c:yVal>
          <c:smooth val="0"/>
          <c:extLst>
            <c:ext xmlns:c16="http://schemas.microsoft.com/office/drawing/2014/chart" uri="{C3380CC4-5D6E-409C-BE32-E72D297353CC}">
              <c16:uniqueId val="{00000000-E286-40BA-802D-0DF42BA49215}"/>
            </c:ext>
          </c:extLst>
        </c:ser>
        <c:dLbls>
          <c:showLegendKey val="0"/>
          <c:showVal val="0"/>
          <c:showCatName val="0"/>
          <c:showSerName val="0"/>
          <c:showPercent val="0"/>
          <c:showBubbleSize val="0"/>
        </c:dLbls>
        <c:axId val="1254008256"/>
        <c:axId val="1362802000"/>
      </c:scatterChart>
      <c:valAx>
        <c:axId val="1254008256"/>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802000"/>
        <c:crosses val="autoZero"/>
        <c:crossBetween val="midCat"/>
      </c:valAx>
      <c:valAx>
        <c:axId val="1362802000"/>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0082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P2P  size-&gt;transfer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Volume!$J$2:$J$31</c:f>
              <c:numCache>
                <c:formatCode>General</c:formatCode>
                <c:ptCount val="30"/>
                <c:pt idx="0">
                  <c:v>958528</c:v>
                </c:pt>
                <c:pt idx="1">
                  <c:v>216648</c:v>
                </c:pt>
                <c:pt idx="2">
                  <c:v>90284</c:v>
                </c:pt>
                <c:pt idx="3">
                  <c:v>31876</c:v>
                </c:pt>
                <c:pt idx="4">
                  <c:v>15604</c:v>
                </c:pt>
                <c:pt idx="5">
                  <c:v>8192</c:v>
                </c:pt>
                <c:pt idx="6" formatCode="0.00E+00">
                  <c:v>2280000</c:v>
                </c:pt>
                <c:pt idx="7">
                  <c:v>510144</c:v>
                </c:pt>
                <c:pt idx="8">
                  <c:v>180788</c:v>
                </c:pt>
                <c:pt idx="9">
                  <c:v>73268</c:v>
                </c:pt>
                <c:pt idx="10">
                  <c:v>35340</c:v>
                </c:pt>
                <c:pt idx="11">
                  <c:v>24576</c:v>
                </c:pt>
                <c:pt idx="12" formatCode="0.00E+00">
                  <c:v>3770000</c:v>
                </c:pt>
                <c:pt idx="13">
                  <c:v>864820</c:v>
                </c:pt>
                <c:pt idx="14">
                  <c:v>310728</c:v>
                </c:pt>
                <c:pt idx="15">
                  <c:v>103120</c:v>
                </c:pt>
                <c:pt idx="16">
                  <c:v>60092</c:v>
                </c:pt>
                <c:pt idx="17">
                  <c:v>16384</c:v>
                </c:pt>
                <c:pt idx="18" formatCode="0.00E+00">
                  <c:v>9810000</c:v>
                </c:pt>
                <c:pt idx="19" formatCode="0.00E+00">
                  <c:v>1930000</c:v>
                </c:pt>
                <c:pt idx="20">
                  <c:v>720268</c:v>
                </c:pt>
                <c:pt idx="21">
                  <c:v>250476</c:v>
                </c:pt>
                <c:pt idx="22">
                  <c:v>116676</c:v>
                </c:pt>
                <c:pt idx="23">
                  <c:v>65536</c:v>
                </c:pt>
                <c:pt idx="24" formatCode="0.00E+00">
                  <c:v>9810000</c:v>
                </c:pt>
                <c:pt idx="25" formatCode="0.00E+00">
                  <c:v>1930000</c:v>
                </c:pt>
                <c:pt idx="26">
                  <c:v>721820</c:v>
                </c:pt>
                <c:pt idx="27">
                  <c:v>251324</c:v>
                </c:pt>
                <c:pt idx="28">
                  <c:v>116656</c:v>
                </c:pt>
                <c:pt idx="29">
                  <c:v>65536</c:v>
                </c:pt>
              </c:numCache>
            </c:numRef>
          </c:xVal>
          <c:yVal>
            <c:numRef>
              <c:f>Volume!$L$2:$L$151</c:f>
              <c:numCache>
                <c:formatCode>General</c:formatCode>
                <c:ptCount val="150"/>
                <c:pt idx="0">
                  <c:v>114866.66666666667</c:v>
                </c:pt>
                <c:pt idx="1">
                  <c:v>151933.33333333334</c:v>
                </c:pt>
                <c:pt idx="2">
                  <c:v>157266.66666666666</c:v>
                </c:pt>
                <c:pt idx="3">
                  <c:v>410833.33333333331</c:v>
                </c:pt>
                <c:pt idx="4">
                  <c:v>443133.33333333331</c:v>
                </c:pt>
                <c:pt idx="5">
                  <c:v>163000</c:v>
                </c:pt>
                <c:pt idx="6">
                  <c:v>753100</c:v>
                </c:pt>
                <c:pt idx="7">
                  <c:v>758933.33333333337</c:v>
                </c:pt>
                <c:pt idx="8">
                  <c:v>166366.66666666666</c:v>
                </c:pt>
                <c:pt idx="9">
                  <c:v>401833.33333333331</c:v>
                </c:pt>
                <c:pt idx="10">
                  <c:v>143700</c:v>
                </c:pt>
                <c:pt idx="11">
                  <c:v>189366.66666666666</c:v>
                </c:pt>
                <c:pt idx="12">
                  <c:v>2013575</c:v>
                </c:pt>
                <c:pt idx="13">
                  <c:v>2085300</c:v>
                </c:pt>
                <c:pt idx="14">
                  <c:v>156933.33333333334</c:v>
                </c:pt>
                <c:pt idx="15">
                  <c:v>252200</c:v>
                </c:pt>
                <c:pt idx="16">
                  <c:v>894150</c:v>
                </c:pt>
                <c:pt idx="17">
                  <c:v>4897500</c:v>
                </c:pt>
                <c:pt idx="18">
                  <c:v>5193266.666666667</c:v>
                </c:pt>
                <c:pt idx="19">
                  <c:v>193866.66666666666</c:v>
                </c:pt>
                <c:pt idx="20">
                  <c:v>596625</c:v>
                </c:pt>
                <c:pt idx="21">
                  <c:v>2386533.3333333335</c:v>
                </c:pt>
                <c:pt idx="22">
                  <c:v>273275</c:v>
                </c:pt>
                <c:pt idx="23">
                  <c:v>1550866.6666666667</c:v>
                </c:pt>
                <c:pt idx="24">
                  <c:v>28451566.666666668</c:v>
                </c:pt>
                <c:pt idx="25">
                  <c:v>29017333.333333332</c:v>
                </c:pt>
                <c:pt idx="26">
                  <c:v>639733.33333333337</c:v>
                </c:pt>
                <c:pt idx="27">
                  <c:v>9633533.333333334</c:v>
                </c:pt>
                <c:pt idx="28">
                  <c:v>5930200</c:v>
                </c:pt>
                <c:pt idx="29">
                  <c:v>2563533.3333333335</c:v>
                </c:pt>
              </c:numCache>
            </c:numRef>
          </c:yVal>
          <c:smooth val="0"/>
          <c:extLst>
            <c:ext xmlns:c16="http://schemas.microsoft.com/office/drawing/2014/chart" uri="{C3380CC4-5D6E-409C-BE32-E72D297353CC}">
              <c16:uniqueId val="{00000000-FEBB-46A7-A921-A287CEAAC723}"/>
            </c:ext>
          </c:extLst>
        </c:ser>
        <c:dLbls>
          <c:showLegendKey val="0"/>
          <c:showVal val="0"/>
          <c:showCatName val="0"/>
          <c:showSerName val="0"/>
          <c:showPercent val="0"/>
          <c:showBubbleSize val="0"/>
        </c:dLbls>
        <c:axId val="1254008256"/>
        <c:axId val="1362802000"/>
      </c:scatterChart>
      <c:valAx>
        <c:axId val="1254008256"/>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802000"/>
        <c:crosses val="autoZero"/>
        <c:crossBetween val="midCat"/>
      </c:valAx>
      <c:valAx>
        <c:axId val="1362802000"/>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0082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transfer time M2L-&gt;P2P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Volume!$I$2:$I$31</c:f>
              <c:numCache>
                <c:formatCode>General</c:formatCode>
                <c:ptCount val="30"/>
                <c:pt idx="0">
                  <c:v>5852962200</c:v>
                </c:pt>
                <c:pt idx="1">
                  <c:v>1065085533.3333334</c:v>
                </c:pt>
                <c:pt idx="2">
                  <c:v>2961740966.6666665</c:v>
                </c:pt>
                <c:pt idx="3">
                  <c:v>1035054766.6666666</c:v>
                </c:pt>
                <c:pt idx="4">
                  <c:v>2944663533.3333335</c:v>
                </c:pt>
                <c:pt idx="5">
                  <c:v>5843744033.333333</c:v>
                </c:pt>
                <c:pt idx="6">
                  <c:v>1034230033.3333334</c:v>
                </c:pt>
                <c:pt idx="7">
                  <c:v>2902449300</c:v>
                </c:pt>
                <c:pt idx="8">
                  <c:v>13941057533.333334</c:v>
                </c:pt>
                <c:pt idx="9">
                  <c:v>5826554266.666667</c:v>
                </c:pt>
                <c:pt idx="10">
                  <c:v>16693384766.666666</c:v>
                </c:pt>
                <c:pt idx="11">
                  <c:v>13908287500</c:v>
                </c:pt>
                <c:pt idx="12">
                  <c:v>638713225</c:v>
                </c:pt>
                <c:pt idx="13">
                  <c:v>2815900400</c:v>
                </c:pt>
                <c:pt idx="14">
                  <c:v>16649216200</c:v>
                </c:pt>
                <c:pt idx="15">
                  <c:v>13890168266.666666</c:v>
                </c:pt>
                <c:pt idx="16">
                  <c:v>5800124450</c:v>
                </c:pt>
                <c:pt idx="17">
                  <c:v>678992100</c:v>
                </c:pt>
                <c:pt idx="18">
                  <c:v>2590027933.3333335</c:v>
                </c:pt>
                <c:pt idx="19">
                  <c:v>16574051666.666666</c:v>
                </c:pt>
                <c:pt idx="20">
                  <c:v>13856924350</c:v>
                </c:pt>
                <c:pt idx="21">
                  <c:v>5678315966.666667</c:v>
                </c:pt>
                <c:pt idx="22">
                  <c:v>16602629250</c:v>
                </c:pt>
                <c:pt idx="23">
                  <c:v>13809938833.333334</c:v>
                </c:pt>
                <c:pt idx="24">
                  <c:v>30628566.666666668</c:v>
                </c:pt>
                <c:pt idx="25">
                  <c:v>860025933.33333337</c:v>
                </c:pt>
                <c:pt idx="26">
                  <c:v>16533514566.666666</c:v>
                </c:pt>
                <c:pt idx="27">
                  <c:v>5035459600</c:v>
                </c:pt>
                <c:pt idx="28">
                  <c:v>13547292966.666666</c:v>
                </c:pt>
                <c:pt idx="29">
                  <c:v>16558188933.333334</c:v>
                </c:pt>
              </c:numCache>
            </c:numRef>
          </c:xVal>
          <c:yVal>
            <c:numRef>
              <c:f>Volume!$L$2:$L$31</c:f>
              <c:numCache>
                <c:formatCode>General</c:formatCode>
                <c:ptCount val="30"/>
                <c:pt idx="0">
                  <c:v>114866.66666666667</c:v>
                </c:pt>
                <c:pt idx="1">
                  <c:v>151933.33333333334</c:v>
                </c:pt>
                <c:pt idx="2">
                  <c:v>157266.66666666666</c:v>
                </c:pt>
                <c:pt idx="3">
                  <c:v>410833.33333333331</c:v>
                </c:pt>
                <c:pt idx="4">
                  <c:v>443133.33333333331</c:v>
                </c:pt>
                <c:pt idx="5">
                  <c:v>163000</c:v>
                </c:pt>
                <c:pt idx="6">
                  <c:v>753100</c:v>
                </c:pt>
                <c:pt idx="7">
                  <c:v>758933.33333333337</c:v>
                </c:pt>
                <c:pt idx="8">
                  <c:v>166366.66666666666</c:v>
                </c:pt>
                <c:pt idx="9">
                  <c:v>401833.33333333331</c:v>
                </c:pt>
                <c:pt idx="10">
                  <c:v>143700</c:v>
                </c:pt>
                <c:pt idx="11">
                  <c:v>189366.66666666666</c:v>
                </c:pt>
                <c:pt idx="12">
                  <c:v>2013575</c:v>
                </c:pt>
                <c:pt idx="13">
                  <c:v>2085300</c:v>
                </c:pt>
                <c:pt idx="14">
                  <c:v>156933.33333333334</c:v>
                </c:pt>
                <c:pt idx="15">
                  <c:v>252200</c:v>
                </c:pt>
                <c:pt idx="16">
                  <c:v>894150</c:v>
                </c:pt>
                <c:pt idx="17">
                  <c:v>4897500</c:v>
                </c:pt>
                <c:pt idx="18">
                  <c:v>5193266.666666667</c:v>
                </c:pt>
                <c:pt idx="19">
                  <c:v>193866.66666666666</c:v>
                </c:pt>
                <c:pt idx="20">
                  <c:v>596625</c:v>
                </c:pt>
                <c:pt idx="21">
                  <c:v>2386533.3333333335</c:v>
                </c:pt>
                <c:pt idx="22">
                  <c:v>273275</c:v>
                </c:pt>
                <c:pt idx="23">
                  <c:v>1550866.6666666667</c:v>
                </c:pt>
                <c:pt idx="24">
                  <c:v>28451566.666666668</c:v>
                </c:pt>
                <c:pt idx="25">
                  <c:v>29017333.333333332</c:v>
                </c:pt>
                <c:pt idx="26">
                  <c:v>639733.33333333337</c:v>
                </c:pt>
                <c:pt idx="27">
                  <c:v>9633533.333333334</c:v>
                </c:pt>
                <c:pt idx="28">
                  <c:v>5930200</c:v>
                </c:pt>
                <c:pt idx="29">
                  <c:v>2563533.3333333335</c:v>
                </c:pt>
              </c:numCache>
            </c:numRef>
          </c:yVal>
          <c:smooth val="0"/>
          <c:extLst>
            <c:ext xmlns:c16="http://schemas.microsoft.com/office/drawing/2014/chart" uri="{C3380CC4-5D6E-409C-BE32-E72D297353CC}">
              <c16:uniqueId val="{00000000-FF7E-4E6F-9E38-412F34D7004D}"/>
            </c:ext>
          </c:extLst>
        </c:ser>
        <c:dLbls>
          <c:showLegendKey val="0"/>
          <c:showVal val="0"/>
          <c:showCatName val="0"/>
          <c:showSerName val="0"/>
          <c:showPercent val="0"/>
          <c:showBubbleSize val="0"/>
        </c:dLbls>
        <c:axId val="1254008256"/>
        <c:axId val="1362802000"/>
      </c:scatterChart>
      <c:valAx>
        <c:axId val="1254008256"/>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802000"/>
        <c:crosses val="autoZero"/>
        <c:crossBetween val="midCat"/>
      </c:valAx>
      <c:valAx>
        <c:axId val="1362802000"/>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0082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N-&gt;Size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M2L</c:v>
          </c:tx>
          <c:spPr>
            <a:ln w="19050" cap="rnd">
              <a:noFill/>
              <a:round/>
            </a:ln>
            <a:effectLst/>
          </c:spPr>
          <c:marker>
            <c:symbol val="circle"/>
            <c:size val="5"/>
            <c:spPr>
              <a:solidFill>
                <a:schemeClr val="accent1"/>
              </a:solidFill>
              <a:ln w="9525">
                <a:solidFill>
                  <a:schemeClr val="accent1"/>
                </a:solidFill>
              </a:ln>
              <a:effectLst/>
            </c:spPr>
          </c:marker>
          <c:xVal>
            <c:numRef>
              <c:f>Volume!$C$2:$C$31</c:f>
              <c:numCache>
                <c:formatCode>General</c:formatCode>
                <c:ptCount val="30"/>
                <c:pt idx="0">
                  <c:v>7</c:v>
                </c:pt>
                <c:pt idx="1">
                  <c:v>7</c:v>
                </c:pt>
                <c:pt idx="2">
                  <c:v>7</c:v>
                </c:pt>
                <c:pt idx="3">
                  <c:v>7</c:v>
                </c:pt>
                <c:pt idx="4">
                  <c:v>7</c:v>
                </c:pt>
                <c:pt idx="5">
                  <c:v>7</c:v>
                </c:pt>
                <c:pt idx="6">
                  <c:v>6</c:v>
                </c:pt>
                <c:pt idx="7">
                  <c:v>6</c:v>
                </c:pt>
                <c:pt idx="8">
                  <c:v>6</c:v>
                </c:pt>
                <c:pt idx="9">
                  <c:v>6</c:v>
                </c:pt>
                <c:pt idx="10">
                  <c:v>6</c:v>
                </c:pt>
                <c:pt idx="11">
                  <c:v>6</c:v>
                </c:pt>
                <c:pt idx="12">
                  <c:v>5</c:v>
                </c:pt>
                <c:pt idx="13">
                  <c:v>5</c:v>
                </c:pt>
                <c:pt idx="14">
                  <c:v>5</c:v>
                </c:pt>
                <c:pt idx="15">
                  <c:v>5</c:v>
                </c:pt>
                <c:pt idx="16">
                  <c:v>5</c:v>
                </c:pt>
                <c:pt idx="17">
                  <c:v>5</c:v>
                </c:pt>
                <c:pt idx="18">
                  <c:v>4</c:v>
                </c:pt>
                <c:pt idx="19">
                  <c:v>4</c:v>
                </c:pt>
                <c:pt idx="20">
                  <c:v>4</c:v>
                </c:pt>
                <c:pt idx="21">
                  <c:v>4</c:v>
                </c:pt>
                <c:pt idx="22">
                  <c:v>4</c:v>
                </c:pt>
                <c:pt idx="23">
                  <c:v>4</c:v>
                </c:pt>
                <c:pt idx="24">
                  <c:v>3</c:v>
                </c:pt>
                <c:pt idx="25">
                  <c:v>3</c:v>
                </c:pt>
                <c:pt idx="26">
                  <c:v>3</c:v>
                </c:pt>
                <c:pt idx="27">
                  <c:v>3</c:v>
                </c:pt>
                <c:pt idx="28">
                  <c:v>3</c:v>
                </c:pt>
                <c:pt idx="29">
                  <c:v>3</c:v>
                </c:pt>
              </c:numCache>
            </c:numRef>
          </c:xVal>
          <c:yVal>
            <c:numRef>
              <c:f>Volume!$G$2:$G$31</c:f>
              <c:numCache>
                <c:formatCode>General</c:formatCode>
                <c:ptCount val="30"/>
                <c:pt idx="0">
                  <c:v>217190</c:v>
                </c:pt>
                <c:pt idx="1">
                  <c:v>89414</c:v>
                </c:pt>
                <c:pt idx="2">
                  <c:v>35116</c:v>
                </c:pt>
                <c:pt idx="3">
                  <c:v>15140</c:v>
                </c:pt>
                <c:pt idx="4">
                  <c:v>9260</c:v>
                </c:pt>
                <c:pt idx="5">
                  <c:v>3216</c:v>
                </c:pt>
                <c:pt idx="6">
                  <c:v>648256</c:v>
                </c:pt>
                <c:pt idx="7">
                  <c:v>187598</c:v>
                </c:pt>
                <c:pt idx="8">
                  <c:v>86330</c:v>
                </c:pt>
                <c:pt idx="9">
                  <c:v>31220</c:v>
                </c:pt>
                <c:pt idx="10">
                  <c:v>17126</c:v>
                </c:pt>
                <c:pt idx="11">
                  <c:v>5380</c:v>
                </c:pt>
                <c:pt idx="12" formatCode="0.00E+00">
                  <c:v>2080000</c:v>
                </c:pt>
                <c:pt idx="13">
                  <c:v>522078</c:v>
                </c:pt>
                <c:pt idx="14">
                  <c:v>196628</c:v>
                </c:pt>
                <c:pt idx="15">
                  <c:v>79344</c:v>
                </c:pt>
                <c:pt idx="16">
                  <c:v>42272</c:v>
                </c:pt>
                <c:pt idx="17">
                  <c:v>25904</c:v>
                </c:pt>
                <c:pt idx="18" formatCode="0.00E+00">
                  <c:v>3630000</c:v>
                </c:pt>
                <c:pt idx="19">
                  <c:v>977840</c:v>
                </c:pt>
                <c:pt idx="20">
                  <c:v>369092</c:v>
                </c:pt>
                <c:pt idx="21">
                  <c:v>135380</c:v>
                </c:pt>
                <c:pt idx="22">
                  <c:v>75244</c:v>
                </c:pt>
                <c:pt idx="23">
                  <c:v>25924</c:v>
                </c:pt>
                <c:pt idx="24" formatCode="0.00E+00">
                  <c:v>3640000</c:v>
                </c:pt>
                <c:pt idx="25">
                  <c:v>977804</c:v>
                </c:pt>
                <c:pt idx="26">
                  <c:v>368812</c:v>
                </c:pt>
                <c:pt idx="27">
                  <c:v>136664</c:v>
                </c:pt>
                <c:pt idx="28">
                  <c:v>76158</c:v>
                </c:pt>
                <c:pt idx="29">
                  <c:v>25872</c:v>
                </c:pt>
              </c:numCache>
            </c:numRef>
          </c:yVal>
          <c:smooth val="0"/>
          <c:extLst>
            <c:ext xmlns:c16="http://schemas.microsoft.com/office/drawing/2014/chart" uri="{C3380CC4-5D6E-409C-BE32-E72D297353CC}">
              <c16:uniqueId val="{00000000-0447-43CF-9B72-BC2DD2214157}"/>
            </c:ext>
          </c:extLst>
        </c:ser>
        <c:ser>
          <c:idx val="1"/>
          <c:order val="1"/>
          <c:tx>
            <c:v>P2P</c:v>
          </c:tx>
          <c:spPr>
            <a:ln w="25400" cap="rnd">
              <a:noFill/>
              <a:round/>
            </a:ln>
            <a:effectLst/>
          </c:spPr>
          <c:marker>
            <c:symbol val="circle"/>
            <c:size val="5"/>
            <c:spPr>
              <a:solidFill>
                <a:schemeClr val="accent2"/>
              </a:solidFill>
              <a:ln w="9525">
                <a:solidFill>
                  <a:schemeClr val="accent2"/>
                </a:solidFill>
              </a:ln>
              <a:effectLst/>
            </c:spPr>
          </c:marker>
          <c:xVal>
            <c:numRef>
              <c:f>Volume!$C$2:$C$31</c:f>
              <c:numCache>
                <c:formatCode>General</c:formatCode>
                <c:ptCount val="30"/>
                <c:pt idx="0">
                  <c:v>7</c:v>
                </c:pt>
                <c:pt idx="1">
                  <c:v>7</c:v>
                </c:pt>
                <c:pt idx="2">
                  <c:v>7</c:v>
                </c:pt>
                <c:pt idx="3">
                  <c:v>7</c:v>
                </c:pt>
                <c:pt idx="4">
                  <c:v>7</c:v>
                </c:pt>
                <c:pt idx="5">
                  <c:v>7</c:v>
                </c:pt>
                <c:pt idx="6">
                  <c:v>6</c:v>
                </c:pt>
                <c:pt idx="7">
                  <c:v>6</c:v>
                </c:pt>
                <c:pt idx="8">
                  <c:v>6</c:v>
                </c:pt>
                <c:pt idx="9">
                  <c:v>6</c:v>
                </c:pt>
                <c:pt idx="10">
                  <c:v>6</c:v>
                </c:pt>
                <c:pt idx="11">
                  <c:v>6</c:v>
                </c:pt>
                <c:pt idx="12">
                  <c:v>5</c:v>
                </c:pt>
                <c:pt idx="13">
                  <c:v>5</c:v>
                </c:pt>
                <c:pt idx="14">
                  <c:v>5</c:v>
                </c:pt>
                <c:pt idx="15">
                  <c:v>5</c:v>
                </c:pt>
                <c:pt idx="16">
                  <c:v>5</c:v>
                </c:pt>
                <c:pt idx="17">
                  <c:v>5</c:v>
                </c:pt>
                <c:pt idx="18">
                  <c:v>4</c:v>
                </c:pt>
                <c:pt idx="19">
                  <c:v>4</c:v>
                </c:pt>
                <c:pt idx="20">
                  <c:v>4</c:v>
                </c:pt>
                <c:pt idx="21">
                  <c:v>4</c:v>
                </c:pt>
                <c:pt idx="22">
                  <c:v>4</c:v>
                </c:pt>
                <c:pt idx="23">
                  <c:v>4</c:v>
                </c:pt>
                <c:pt idx="24">
                  <c:v>3</c:v>
                </c:pt>
                <c:pt idx="25">
                  <c:v>3</c:v>
                </c:pt>
                <c:pt idx="26">
                  <c:v>3</c:v>
                </c:pt>
                <c:pt idx="27">
                  <c:v>3</c:v>
                </c:pt>
                <c:pt idx="28">
                  <c:v>3</c:v>
                </c:pt>
                <c:pt idx="29">
                  <c:v>3</c:v>
                </c:pt>
              </c:numCache>
            </c:numRef>
          </c:xVal>
          <c:yVal>
            <c:numRef>
              <c:f>Volume!$J$2:$J$31</c:f>
              <c:numCache>
                <c:formatCode>General</c:formatCode>
                <c:ptCount val="30"/>
                <c:pt idx="0">
                  <c:v>958528</c:v>
                </c:pt>
                <c:pt idx="1">
                  <c:v>216648</c:v>
                </c:pt>
                <c:pt idx="2">
                  <c:v>90284</c:v>
                </c:pt>
                <c:pt idx="3">
                  <c:v>31876</c:v>
                </c:pt>
                <c:pt idx="4">
                  <c:v>15604</c:v>
                </c:pt>
                <c:pt idx="5">
                  <c:v>8192</c:v>
                </c:pt>
                <c:pt idx="6" formatCode="0.00E+00">
                  <c:v>2280000</c:v>
                </c:pt>
                <c:pt idx="7">
                  <c:v>510144</c:v>
                </c:pt>
                <c:pt idx="8">
                  <c:v>180788</c:v>
                </c:pt>
                <c:pt idx="9">
                  <c:v>73268</c:v>
                </c:pt>
                <c:pt idx="10">
                  <c:v>35340</c:v>
                </c:pt>
                <c:pt idx="11">
                  <c:v>24576</c:v>
                </c:pt>
                <c:pt idx="12" formatCode="0.00E+00">
                  <c:v>3770000</c:v>
                </c:pt>
                <c:pt idx="13">
                  <c:v>864820</c:v>
                </c:pt>
                <c:pt idx="14">
                  <c:v>310728</c:v>
                </c:pt>
                <c:pt idx="15">
                  <c:v>103120</c:v>
                </c:pt>
                <c:pt idx="16">
                  <c:v>60092</c:v>
                </c:pt>
                <c:pt idx="17">
                  <c:v>16384</c:v>
                </c:pt>
                <c:pt idx="18" formatCode="0.00E+00">
                  <c:v>9810000</c:v>
                </c:pt>
                <c:pt idx="19" formatCode="0.00E+00">
                  <c:v>1930000</c:v>
                </c:pt>
                <c:pt idx="20">
                  <c:v>720268</c:v>
                </c:pt>
                <c:pt idx="21">
                  <c:v>250476</c:v>
                </c:pt>
                <c:pt idx="22">
                  <c:v>116676</c:v>
                </c:pt>
                <c:pt idx="23">
                  <c:v>65536</c:v>
                </c:pt>
                <c:pt idx="24" formatCode="0.00E+00">
                  <c:v>9810000</c:v>
                </c:pt>
                <c:pt idx="25" formatCode="0.00E+00">
                  <c:v>1930000</c:v>
                </c:pt>
                <c:pt idx="26">
                  <c:v>721820</c:v>
                </c:pt>
                <c:pt idx="27">
                  <c:v>251324</c:v>
                </c:pt>
                <c:pt idx="28">
                  <c:v>116656</c:v>
                </c:pt>
                <c:pt idx="29">
                  <c:v>65536</c:v>
                </c:pt>
              </c:numCache>
            </c:numRef>
          </c:yVal>
          <c:smooth val="0"/>
          <c:extLst>
            <c:ext xmlns:c16="http://schemas.microsoft.com/office/drawing/2014/chart" uri="{C3380CC4-5D6E-409C-BE32-E72D297353CC}">
              <c16:uniqueId val="{00000002-0447-43CF-9B72-BC2DD2214157}"/>
            </c:ext>
          </c:extLst>
        </c:ser>
        <c:dLbls>
          <c:showLegendKey val="0"/>
          <c:showVal val="0"/>
          <c:showCatName val="0"/>
          <c:showSerName val="0"/>
          <c:showPercent val="0"/>
          <c:showBubbleSize val="0"/>
        </c:dLbls>
        <c:axId val="1490856256"/>
        <c:axId val="1490858752"/>
      </c:scatterChart>
      <c:valAx>
        <c:axId val="1490856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858752"/>
        <c:crosses val="autoZero"/>
        <c:crossBetween val="midCat"/>
      </c:valAx>
      <c:valAx>
        <c:axId val="149085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856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eta -&gt;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M2L</c:v>
          </c:tx>
          <c:spPr>
            <a:ln w="19050" cap="rnd">
              <a:noFill/>
              <a:round/>
            </a:ln>
            <a:effectLst/>
          </c:spPr>
          <c:marker>
            <c:symbol val="circle"/>
            <c:size val="5"/>
            <c:spPr>
              <a:solidFill>
                <a:schemeClr val="accent1"/>
              </a:solidFill>
              <a:ln w="9525">
                <a:solidFill>
                  <a:schemeClr val="accent1"/>
                </a:solidFill>
              </a:ln>
              <a:effectLst/>
            </c:spPr>
          </c:marker>
          <c:xVal>
            <c:numRef>
              <c:f>Volume!$E$2:$E$31</c:f>
              <c:numCache>
                <c:formatCode>General</c:formatCode>
                <c:ptCount val="30"/>
                <c:pt idx="0">
                  <c:v>0.2</c:v>
                </c:pt>
                <c:pt idx="1">
                  <c:v>0.35</c:v>
                </c:pt>
                <c:pt idx="2">
                  <c:v>0.5</c:v>
                </c:pt>
                <c:pt idx="3">
                  <c:v>0.65</c:v>
                </c:pt>
                <c:pt idx="4">
                  <c:v>0.8</c:v>
                </c:pt>
                <c:pt idx="5">
                  <c:v>0.95</c:v>
                </c:pt>
                <c:pt idx="6">
                  <c:v>0.2</c:v>
                </c:pt>
                <c:pt idx="7">
                  <c:v>0.35</c:v>
                </c:pt>
                <c:pt idx="8">
                  <c:v>0.5</c:v>
                </c:pt>
                <c:pt idx="9">
                  <c:v>0.65</c:v>
                </c:pt>
                <c:pt idx="10">
                  <c:v>0.8</c:v>
                </c:pt>
                <c:pt idx="11">
                  <c:v>0.95</c:v>
                </c:pt>
                <c:pt idx="12">
                  <c:v>0.2</c:v>
                </c:pt>
                <c:pt idx="13">
                  <c:v>0.35</c:v>
                </c:pt>
                <c:pt idx="14">
                  <c:v>0.5</c:v>
                </c:pt>
                <c:pt idx="15">
                  <c:v>0.65</c:v>
                </c:pt>
                <c:pt idx="16">
                  <c:v>0.8</c:v>
                </c:pt>
                <c:pt idx="17">
                  <c:v>0.95</c:v>
                </c:pt>
                <c:pt idx="18">
                  <c:v>0.2</c:v>
                </c:pt>
                <c:pt idx="19">
                  <c:v>0.35</c:v>
                </c:pt>
                <c:pt idx="20">
                  <c:v>0.5</c:v>
                </c:pt>
                <c:pt idx="21">
                  <c:v>0.65</c:v>
                </c:pt>
                <c:pt idx="22">
                  <c:v>0.8</c:v>
                </c:pt>
                <c:pt idx="23">
                  <c:v>0.95</c:v>
                </c:pt>
                <c:pt idx="24">
                  <c:v>0.2</c:v>
                </c:pt>
                <c:pt idx="25">
                  <c:v>0.35</c:v>
                </c:pt>
                <c:pt idx="26">
                  <c:v>0.5</c:v>
                </c:pt>
                <c:pt idx="27">
                  <c:v>0.65</c:v>
                </c:pt>
                <c:pt idx="28">
                  <c:v>0.8</c:v>
                </c:pt>
                <c:pt idx="29">
                  <c:v>0.95</c:v>
                </c:pt>
              </c:numCache>
            </c:numRef>
          </c:xVal>
          <c:yVal>
            <c:numRef>
              <c:f>Volume!$G$2:$G$31</c:f>
              <c:numCache>
                <c:formatCode>General</c:formatCode>
                <c:ptCount val="30"/>
                <c:pt idx="0">
                  <c:v>217190</c:v>
                </c:pt>
                <c:pt idx="1">
                  <c:v>89414</c:v>
                </c:pt>
                <c:pt idx="2">
                  <c:v>35116</c:v>
                </c:pt>
                <c:pt idx="3">
                  <c:v>15140</c:v>
                </c:pt>
                <c:pt idx="4">
                  <c:v>9260</c:v>
                </c:pt>
                <c:pt idx="5">
                  <c:v>3216</c:v>
                </c:pt>
                <c:pt idx="6">
                  <c:v>648256</c:v>
                </c:pt>
                <c:pt idx="7">
                  <c:v>187598</c:v>
                </c:pt>
                <c:pt idx="8">
                  <c:v>86330</c:v>
                </c:pt>
                <c:pt idx="9">
                  <c:v>31220</c:v>
                </c:pt>
                <c:pt idx="10">
                  <c:v>17126</c:v>
                </c:pt>
                <c:pt idx="11">
                  <c:v>5380</c:v>
                </c:pt>
                <c:pt idx="12" formatCode="0.00E+00">
                  <c:v>2080000</c:v>
                </c:pt>
                <c:pt idx="13">
                  <c:v>522078</c:v>
                </c:pt>
                <c:pt idx="14">
                  <c:v>196628</c:v>
                </c:pt>
                <c:pt idx="15">
                  <c:v>79344</c:v>
                </c:pt>
                <c:pt idx="16">
                  <c:v>42272</c:v>
                </c:pt>
                <c:pt idx="17">
                  <c:v>25904</c:v>
                </c:pt>
                <c:pt idx="18" formatCode="0.00E+00">
                  <c:v>3630000</c:v>
                </c:pt>
                <c:pt idx="19">
                  <c:v>977840</c:v>
                </c:pt>
                <c:pt idx="20">
                  <c:v>369092</c:v>
                </c:pt>
                <c:pt idx="21">
                  <c:v>135380</c:v>
                </c:pt>
                <c:pt idx="22">
                  <c:v>75244</c:v>
                </c:pt>
                <c:pt idx="23">
                  <c:v>25924</c:v>
                </c:pt>
                <c:pt idx="24" formatCode="0.00E+00">
                  <c:v>3640000</c:v>
                </c:pt>
                <c:pt idx="25">
                  <c:v>977804</c:v>
                </c:pt>
                <c:pt idx="26">
                  <c:v>368812</c:v>
                </c:pt>
                <c:pt idx="27">
                  <c:v>136664</c:v>
                </c:pt>
                <c:pt idx="28">
                  <c:v>76158</c:v>
                </c:pt>
                <c:pt idx="29">
                  <c:v>25872</c:v>
                </c:pt>
              </c:numCache>
            </c:numRef>
          </c:yVal>
          <c:smooth val="0"/>
          <c:extLst>
            <c:ext xmlns:c16="http://schemas.microsoft.com/office/drawing/2014/chart" uri="{C3380CC4-5D6E-409C-BE32-E72D297353CC}">
              <c16:uniqueId val="{00000000-C49A-43ED-87DE-FDA42CE3EC0A}"/>
            </c:ext>
          </c:extLst>
        </c:ser>
        <c:ser>
          <c:idx val="1"/>
          <c:order val="1"/>
          <c:tx>
            <c:v>P2P</c:v>
          </c:tx>
          <c:spPr>
            <a:ln w="25400" cap="rnd">
              <a:noFill/>
              <a:round/>
            </a:ln>
            <a:effectLst/>
          </c:spPr>
          <c:marker>
            <c:symbol val="circle"/>
            <c:size val="5"/>
            <c:spPr>
              <a:solidFill>
                <a:schemeClr val="accent2"/>
              </a:solidFill>
              <a:ln w="9525">
                <a:solidFill>
                  <a:schemeClr val="accent2"/>
                </a:solidFill>
              </a:ln>
              <a:effectLst/>
            </c:spPr>
          </c:marker>
          <c:xVal>
            <c:numRef>
              <c:f>Volume!$E$2:$E$31</c:f>
              <c:numCache>
                <c:formatCode>General</c:formatCode>
                <c:ptCount val="30"/>
                <c:pt idx="0">
                  <c:v>0.2</c:v>
                </c:pt>
                <c:pt idx="1">
                  <c:v>0.35</c:v>
                </c:pt>
                <c:pt idx="2">
                  <c:v>0.5</c:v>
                </c:pt>
                <c:pt idx="3">
                  <c:v>0.65</c:v>
                </c:pt>
                <c:pt idx="4">
                  <c:v>0.8</c:v>
                </c:pt>
                <c:pt idx="5">
                  <c:v>0.95</c:v>
                </c:pt>
                <c:pt idx="6">
                  <c:v>0.2</c:v>
                </c:pt>
                <c:pt idx="7">
                  <c:v>0.35</c:v>
                </c:pt>
                <c:pt idx="8">
                  <c:v>0.5</c:v>
                </c:pt>
                <c:pt idx="9">
                  <c:v>0.65</c:v>
                </c:pt>
                <c:pt idx="10">
                  <c:v>0.8</c:v>
                </c:pt>
                <c:pt idx="11">
                  <c:v>0.95</c:v>
                </c:pt>
                <c:pt idx="12">
                  <c:v>0.2</c:v>
                </c:pt>
                <c:pt idx="13">
                  <c:v>0.35</c:v>
                </c:pt>
                <c:pt idx="14">
                  <c:v>0.5</c:v>
                </c:pt>
                <c:pt idx="15">
                  <c:v>0.65</c:v>
                </c:pt>
                <c:pt idx="16">
                  <c:v>0.8</c:v>
                </c:pt>
                <c:pt idx="17">
                  <c:v>0.95</c:v>
                </c:pt>
                <c:pt idx="18">
                  <c:v>0.2</c:v>
                </c:pt>
                <c:pt idx="19">
                  <c:v>0.35</c:v>
                </c:pt>
                <c:pt idx="20">
                  <c:v>0.5</c:v>
                </c:pt>
                <c:pt idx="21">
                  <c:v>0.65</c:v>
                </c:pt>
                <c:pt idx="22">
                  <c:v>0.8</c:v>
                </c:pt>
                <c:pt idx="23">
                  <c:v>0.95</c:v>
                </c:pt>
                <c:pt idx="24">
                  <c:v>0.2</c:v>
                </c:pt>
                <c:pt idx="25">
                  <c:v>0.35</c:v>
                </c:pt>
                <c:pt idx="26">
                  <c:v>0.5</c:v>
                </c:pt>
                <c:pt idx="27">
                  <c:v>0.65</c:v>
                </c:pt>
                <c:pt idx="28">
                  <c:v>0.8</c:v>
                </c:pt>
                <c:pt idx="29">
                  <c:v>0.95</c:v>
                </c:pt>
              </c:numCache>
            </c:numRef>
          </c:xVal>
          <c:yVal>
            <c:numRef>
              <c:f>Volume!$J$2:$J$31</c:f>
              <c:numCache>
                <c:formatCode>General</c:formatCode>
                <c:ptCount val="30"/>
                <c:pt idx="0">
                  <c:v>958528</c:v>
                </c:pt>
                <c:pt idx="1">
                  <c:v>216648</c:v>
                </c:pt>
                <c:pt idx="2">
                  <c:v>90284</c:v>
                </c:pt>
                <c:pt idx="3">
                  <c:v>31876</c:v>
                </c:pt>
                <c:pt idx="4">
                  <c:v>15604</c:v>
                </c:pt>
                <c:pt idx="5">
                  <c:v>8192</c:v>
                </c:pt>
                <c:pt idx="6" formatCode="0.00E+00">
                  <c:v>2280000</c:v>
                </c:pt>
                <c:pt idx="7">
                  <c:v>510144</c:v>
                </c:pt>
                <c:pt idx="8">
                  <c:v>180788</c:v>
                </c:pt>
                <c:pt idx="9">
                  <c:v>73268</c:v>
                </c:pt>
                <c:pt idx="10">
                  <c:v>35340</c:v>
                </c:pt>
                <c:pt idx="11">
                  <c:v>24576</c:v>
                </c:pt>
                <c:pt idx="12" formatCode="0.00E+00">
                  <c:v>3770000</c:v>
                </c:pt>
                <c:pt idx="13">
                  <c:v>864820</c:v>
                </c:pt>
                <c:pt idx="14">
                  <c:v>310728</c:v>
                </c:pt>
                <c:pt idx="15">
                  <c:v>103120</c:v>
                </c:pt>
                <c:pt idx="16">
                  <c:v>60092</c:v>
                </c:pt>
                <c:pt idx="17">
                  <c:v>16384</c:v>
                </c:pt>
                <c:pt idx="18" formatCode="0.00E+00">
                  <c:v>9810000</c:v>
                </c:pt>
                <c:pt idx="19" formatCode="0.00E+00">
                  <c:v>1930000</c:v>
                </c:pt>
                <c:pt idx="20">
                  <c:v>720268</c:v>
                </c:pt>
                <c:pt idx="21">
                  <c:v>250476</c:v>
                </c:pt>
                <c:pt idx="22">
                  <c:v>116676</c:v>
                </c:pt>
                <c:pt idx="23">
                  <c:v>65536</c:v>
                </c:pt>
                <c:pt idx="24" formatCode="0.00E+00">
                  <c:v>9810000</c:v>
                </c:pt>
                <c:pt idx="25" formatCode="0.00E+00">
                  <c:v>1930000</c:v>
                </c:pt>
                <c:pt idx="26">
                  <c:v>721820</c:v>
                </c:pt>
                <c:pt idx="27">
                  <c:v>251324</c:v>
                </c:pt>
                <c:pt idx="28">
                  <c:v>116656</c:v>
                </c:pt>
                <c:pt idx="29">
                  <c:v>65536</c:v>
                </c:pt>
              </c:numCache>
            </c:numRef>
          </c:yVal>
          <c:smooth val="0"/>
          <c:extLst>
            <c:ext xmlns:c16="http://schemas.microsoft.com/office/drawing/2014/chart" uri="{C3380CC4-5D6E-409C-BE32-E72D297353CC}">
              <c16:uniqueId val="{00000002-C49A-43ED-87DE-FDA42CE3EC0A}"/>
            </c:ext>
          </c:extLst>
        </c:ser>
        <c:dLbls>
          <c:showLegendKey val="0"/>
          <c:showVal val="0"/>
          <c:showCatName val="0"/>
          <c:showSerName val="0"/>
          <c:showPercent val="0"/>
          <c:showBubbleSize val="0"/>
        </c:dLbls>
        <c:axId val="1440235856"/>
        <c:axId val="1440237104"/>
      </c:scatterChart>
      <c:valAx>
        <c:axId val="1440235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237104"/>
        <c:crosses val="autoZero"/>
        <c:crossBetween val="midCat"/>
      </c:valAx>
      <c:valAx>
        <c:axId val="1440237104"/>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2358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18" Type="http://schemas.openxmlformats.org/officeDocument/2006/relationships/chart" Target="../charts/chart21.xml"/><Relationship Id="rId26" Type="http://schemas.openxmlformats.org/officeDocument/2006/relationships/chart" Target="../charts/chart29.xml"/><Relationship Id="rId3" Type="http://schemas.openxmlformats.org/officeDocument/2006/relationships/chart" Target="../charts/chart6.xml"/><Relationship Id="rId21" Type="http://schemas.openxmlformats.org/officeDocument/2006/relationships/chart" Target="../charts/chart24.xml"/><Relationship Id="rId7" Type="http://schemas.openxmlformats.org/officeDocument/2006/relationships/chart" Target="../charts/chart10.xml"/><Relationship Id="rId12" Type="http://schemas.openxmlformats.org/officeDocument/2006/relationships/chart" Target="../charts/chart15.xml"/><Relationship Id="rId17" Type="http://schemas.openxmlformats.org/officeDocument/2006/relationships/chart" Target="../charts/chart20.xml"/><Relationship Id="rId25" Type="http://schemas.openxmlformats.org/officeDocument/2006/relationships/chart" Target="../charts/chart28.xml"/><Relationship Id="rId2" Type="http://schemas.openxmlformats.org/officeDocument/2006/relationships/chart" Target="../charts/chart5.xml"/><Relationship Id="rId16" Type="http://schemas.openxmlformats.org/officeDocument/2006/relationships/chart" Target="../charts/chart19.xml"/><Relationship Id="rId20" Type="http://schemas.openxmlformats.org/officeDocument/2006/relationships/chart" Target="../charts/chart23.xml"/><Relationship Id="rId29" Type="http://schemas.openxmlformats.org/officeDocument/2006/relationships/chart" Target="../charts/chart32.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24" Type="http://schemas.openxmlformats.org/officeDocument/2006/relationships/chart" Target="../charts/chart27.xml"/><Relationship Id="rId5" Type="http://schemas.openxmlformats.org/officeDocument/2006/relationships/chart" Target="../charts/chart8.xml"/><Relationship Id="rId15" Type="http://schemas.openxmlformats.org/officeDocument/2006/relationships/chart" Target="../charts/chart18.xml"/><Relationship Id="rId23" Type="http://schemas.openxmlformats.org/officeDocument/2006/relationships/chart" Target="../charts/chart26.xml"/><Relationship Id="rId28" Type="http://schemas.openxmlformats.org/officeDocument/2006/relationships/chart" Target="../charts/chart31.xml"/><Relationship Id="rId10" Type="http://schemas.openxmlformats.org/officeDocument/2006/relationships/chart" Target="../charts/chart13.xml"/><Relationship Id="rId19" Type="http://schemas.openxmlformats.org/officeDocument/2006/relationships/chart" Target="../charts/chart22.xml"/><Relationship Id="rId31" Type="http://schemas.openxmlformats.org/officeDocument/2006/relationships/chart" Target="../charts/chart34.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 Id="rId22" Type="http://schemas.openxmlformats.org/officeDocument/2006/relationships/chart" Target="../charts/chart25.xml"/><Relationship Id="rId27" Type="http://schemas.openxmlformats.org/officeDocument/2006/relationships/chart" Target="../charts/chart30.xml"/><Relationship Id="rId30" Type="http://schemas.openxmlformats.org/officeDocument/2006/relationships/chart" Target="../charts/chart3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42.xml"/><Relationship Id="rId3" Type="http://schemas.openxmlformats.org/officeDocument/2006/relationships/chart" Target="../charts/chart37.xml"/><Relationship Id="rId7" Type="http://schemas.openxmlformats.org/officeDocument/2006/relationships/chart" Target="../charts/chart41.xml"/><Relationship Id="rId2" Type="http://schemas.openxmlformats.org/officeDocument/2006/relationships/chart" Target="../charts/chart36.xml"/><Relationship Id="rId1" Type="http://schemas.openxmlformats.org/officeDocument/2006/relationships/chart" Target="../charts/chart35.xml"/><Relationship Id="rId6" Type="http://schemas.openxmlformats.org/officeDocument/2006/relationships/chart" Target="../charts/chart40.xml"/><Relationship Id="rId5" Type="http://schemas.openxmlformats.org/officeDocument/2006/relationships/chart" Target="../charts/chart39.xml"/><Relationship Id="rId4" Type="http://schemas.openxmlformats.org/officeDocument/2006/relationships/chart" Target="../charts/chart3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46.xml"/><Relationship Id="rId2" Type="http://schemas.openxmlformats.org/officeDocument/2006/relationships/chart" Target="../charts/chart45.xml"/><Relationship Id="rId1" Type="http://schemas.openxmlformats.org/officeDocument/2006/relationships/chart" Target="../charts/chart44.xml"/><Relationship Id="rId6" Type="http://schemas.openxmlformats.org/officeDocument/2006/relationships/chart" Target="../charts/chart49.xml"/><Relationship Id="rId5" Type="http://schemas.openxmlformats.org/officeDocument/2006/relationships/chart" Target="../charts/chart48.xml"/><Relationship Id="rId4" Type="http://schemas.openxmlformats.org/officeDocument/2006/relationships/chart" Target="../charts/chart4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52.xml"/><Relationship Id="rId2" Type="http://schemas.openxmlformats.org/officeDocument/2006/relationships/chart" Target="../charts/chart51.xml"/><Relationship Id="rId1" Type="http://schemas.openxmlformats.org/officeDocument/2006/relationships/chart" Target="../charts/chart50.xml"/><Relationship Id="rId6" Type="http://schemas.openxmlformats.org/officeDocument/2006/relationships/chart" Target="../charts/chart55.xml"/><Relationship Id="rId5" Type="http://schemas.openxmlformats.org/officeDocument/2006/relationships/chart" Target="../charts/chart54.xml"/><Relationship Id="rId4" Type="http://schemas.openxmlformats.org/officeDocument/2006/relationships/chart" Target="../charts/chart53.xml"/></Relationships>
</file>

<file path=xl/drawings/drawing1.xml><?xml version="1.0" encoding="utf-8"?>
<xdr:wsDr xmlns:xdr="http://schemas.openxmlformats.org/drawingml/2006/spreadsheetDrawing" xmlns:a="http://schemas.openxmlformats.org/drawingml/2006/main">
  <xdr:twoCellAnchor>
    <xdr:from>
      <xdr:col>1</xdr:col>
      <xdr:colOff>259080</xdr:colOff>
      <xdr:row>5</xdr:row>
      <xdr:rowOff>163830</xdr:rowOff>
    </xdr:from>
    <xdr:to>
      <xdr:col>9</xdr:col>
      <xdr:colOff>198120</xdr:colOff>
      <xdr:row>20</xdr:row>
      <xdr:rowOff>163830</xdr:rowOff>
    </xdr:to>
    <xdr:graphicFrame macro="">
      <xdr:nvGraphicFramePr>
        <xdr:cNvPr id="2" name="Chart 1">
          <a:extLst>
            <a:ext uri="{FF2B5EF4-FFF2-40B4-BE49-F238E27FC236}">
              <a16:creationId xmlns:a16="http://schemas.microsoft.com/office/drawing/2014/main" id="{DF6EEA2F-B3ED-42F8-B44A-FEE9952B13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304800</xdr:colOff>
      <xdr:row>6</xdr:row>
      <xdr:rowOff>179070</xdr:rowOff>
    </xdr:from>
    <xdr:to>
      <xdr:col>15</xdr:col>
      <xdr:colOff>228600</xdr:colOff>
      <xdr:row>21</xdr:row>
      <xdr:rowOff>179070</xdr:rowOff>
    </xdr:to>
    <xdr:graphicFrame macro="">
      <xdr:nvGraphicFramePr>
        <xdr:cNvPr id="5" name="Chart 4">
          <a:extLst>
            <a:ext uri="{FF2B5EF4-FFF2-40B4-BE49-F238E27FC236}">
              <a16:creationId xmlns:a16="http://schemas.microsoft.com/office/drawing/2014/main" id="{10BD9ED9-8219-410B-AD3E-7F862E14F9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426720</xdr:colOff>
      <xdr:row>7</xdr:row>
      <xdr:rowOff>7620</xdr:rowOff>
    </xdr:from>
    <xdr:to>
      <xdr:col>21</xdr:col>
      <xdr:colOff>533400</xdr:colOff>
      <xdr:row>22</xdr:row>
      <xdr:rowOff>7620</xdr:rowOff>
    </xdr:to>
    <xdr:graphicFrame macro="">
      <xdr:nvGraphicFramePr>
        <xdr:cNvPr id="6" name="Chart 5">
          <a:extLst>
            <a:ext uri="{FF2B5EF4-FFF2-40B4-BE49-F238E27FC236}">
              <a16:creationId xmlns:a16="http://schemas.microsoft.com/office/drawing/2014/main" id="{04B65C08-7465-4D49-AE86-F5C24DEA3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99060</xdr:colOff>
      <xdr:row>0</xdr:row>
      <xdr:rowOff>60960</xdr:rowOff>
    </xdr:from>
    <xdr:to>
      <xdr:col>6</xdr:col>
      <xdr:colOff>403860</xdr:colOff>
      <xdr:row>15</xdr:row>
      <xdr:rowOff>60960</xdr:rowOff>
    </xdr:to>
    <xdr:graphicFrame macro="">
      <xdr:nvGraphicFramePr>
        <xdr:cNvPr id="2" name="Chart 1">
          <a:extLst>
            <a:ext uri="{FF2B5EF4-FFF2-40B4-BE49-F238E27FC236}">
              <a16:creationId xmlns:a16="http://schemas.microsoft.com/office/drawing/2014/main" id="{E0F7867D-ED39-450F-95A5-C5F5CD724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464820</xdr:colOff>
      <xdr:row>0</xdr:row>
      <xdr:rowOff>45720</xdr:rowOff>
    </xdr:from>
    <xdr:to>
      <xdr:col>14</xdr:col>
      <xdr:colOff>160020</xdr:colOff>
      <xdr:row>15</xdr:row>
      <xdr:rowOff>45720</xdr:rowOff>
    </xdr:to>
    <xdr:graphicFrame macro="">
      <xdr:nvGraphicFramePr>
        <xdr:cNvPr id="3" name="Chart 2">
          <a:extLst>
            <a:ext uri="{FF2B5EF4-FFF2-40B4-BE49-F238E27FC236}">
              <a16:creationId xmlns:a16="http://schemas.microsoft.com/office/drawing/2014/main" id="{198E121E-94E3-401D-A500-1CB8D147F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335280</xdr:colOff>
      <xdr:row>105</xdr:row>
      <xdr:rowOff>60960</xdr:rowOff>
    </xdr:from>
    <xdr:to>
      <xdr:col>6</xdr:col>
      <xdr:colOff>289560</xdr:colOff>
      <xdr:row>120</xdr:row>
      <xdr:rowOff>60960</xdr:rowOff>
    </xdr:to>
    <xdr:graphicFrame macro="">
      <xdr:nvGraphicFramePr>
        <xdr:cNvPr id="5" name="Chart 4">
          <a:extLst>
            <a:ext uri="{FF2B5EF4-FFF2-40B4-BE49-F238E27FC236}">
              <a16:creationId xmlns:a16="http://schemas.microsoft.com/office/drawing/2014/main" id="{AC66B84E-0A08-45D8-BCCA-3CAB44BBD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563880</xdr:colOff>
      <xdr:row>49</xdr:row>
      <xdr:rowOff>30480</xdr:rowOff>
    </xdr:from>
    <xdr:to>
      <xdr:col>13</xdr:col>
      <xdr:colOff>106680</xdr:colOff>
      <xdr:row>58</xdr:row>
      <xdr:rowOff>160020</xdr:rowOff>
    </xdr:to>
    <xdr:graphicFrame macro="">
      <xdr:nvGraphicFramePr>
        <xdr:cNvPr id="6" name="Chart 5">
          <a:extLst>
            <a:ext uri="{FF2B5EF4-FFF2-40B4-BE49-F238E27FC236}">
              <a16:creationId xmlns:a16="http://schemas.microsoft.com/office/drawing/2014/main" id="{2CF54C63-741F-4246-8AFE-7A4A99BD9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365760</xdr:colOff>
      <xdr:row>48</xdr:row>
      <xdr:rowOff>121920</xdr:rowOff>
    </xdr:from>
    <xdr:to>
      <xdr:col>6</xdr:col>
      <xdr:colOff>586740</xdr:colOff>
      <xdr:row>58</xdr:row>
      <xdr:rowOff>30480</xdr:rowOff>
    </xdr:to>
    <xdr:graphicFrame macro="">
      <xdr:nvGraphicFramePr>
        <xdr:cNvPr id="7" name="Chart 6">
          <a:extLst>
            <a:ext uri="{FF2B5EF4-FFF2-40B4-BE49-F238E27FC236}">
              <a16:creationId xmlns:a16="http://schemas.microsoft.com/office/drawing/2014/main" id="{4212D9C4-BBCB-4E1B-8922-3DD164665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563880</xdr:colOff>
      <xdr:row>39</xdr:row>
      <xdr:rowOff>160020</xdr:rowOff>
    </xdr:from>
    <xdr:to>
      <xdr:col>13</xdr:col>
      <xdr:colOff>91440</xdr:colOff>
      <xdr:row>49</xdr:row>
      <xdr:rowOff>0</xdr:rowOff>
    </xdr:to>
    <xdr:graphicFrame macro="">
      <xdr:nvGraphicFramePr>
        <xdr:cNvPr id="10" name="Chart 9">
          <a:extLst>
            <a:ext uri="{FF2B5EF4-FFF2-40B4-BE49-F238E27FC236}">
              <a16:creationId xmlns:a16="http://schemas.microsoft.com/office/drawing/2014/main" id="{44CCEB68-1F2E-4B2B-90C6-942405786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365760</xdr:colOff>
      <xdr:row>39</xdr:row>
      <xdr:rowOff>15240</xdr:rowOff>
    </xdr:from>
    <xdr:to>
      <xdr:col>6</xdr:col>
      <xdr:colOff>586740</xdr:colOff>
      <xdr:row>48</xdr:row>
      <xdr:rowOff>68580</xdr:rowOff>
    </xdr:to>
    <xdr:graphicFrame macro="">
      <xdr:nvGraphicFramePr>
        <xdr:cNvPr id="11" name="Chart 10">
          <a:extLst>
            <a:ext uri="{FF2B5EF4-FFF2-40B4-BE49-F238E27FC236}">
              <a16:creationId xmlns:a16="http://schemas.microsoft.com/office/drawing/2014/main" id="{3927C145-736F-43F9-A00A-7D9275A25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68580</xdr:colOff>
      <xdr:row>65</xdr:row>
      <xdr:rowOff>49530</xdr:rowOff>
    </xdr:from>
    <xdr:to>
      <xdr:col>3</xdr:col>
      <xdr:colOff>91440</xdr:colOff>
      <xdr:row>75</xdr:row>
      <xdr:rowOff>53340</xdr:rowOff>
    </xdr:to>
    <xdr:graphicFrame macro="">
      <xdr:nvGraphicFramePr>
        <xdr:cNvPr id="12" name="Chart 11">
          <a:extLst>
            <a:ext uri="{FF2B5EF4-FFF2-40B4-BE49-F238E27FC236}">
              <a16:creationId xmlns:a16="http://schemas.microsoft.com/office/drawing/2014/main" id="{DA5336C9-BFDE-40DC-9D53-D5D684DFF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220980</xdr:colOff>
      <xdr:row>65</xdr:row>
      <xdr:rowOff>45720</xdr:rowOff>
    </xdr:from>
    <xdr:to>
      <xdr:col>9</xdr:col>
      <xdr:colOff>320040</xdr:colOff>
      <xdr:row>75</xdr:row>
      <xdr:rowOff>38100</xdr:rowOff>
    </xdr:to>
    <xdr:graphicFrame macro="">
      <xdr:nvGraphicFramePr>
        <xdr:cNvPr id="13" name="Chart 12">
          <a:extLst>
            <a:ext uri="{FF2B5EF4-FFF2-40B4-BE49-F238E27FC236}">
              <a16:creationId xmlns:a16="http://schemas.microsoft.com/office/drawing/2014/main" id="{D1012060-5CCF-46D4-9EAC-C8712C6D6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144780</xdr:colOff>
      <xdr:row>65</xdr:row>
      <xdr:rowOff>34290</xdr:rowOff>
    </xdr:from>
    <xdr:to>
      <xdr:col>6</xdr:col>
      <xdr:colOff>160020</xdr:colOff>
      <xdr:row>75</xdr:row>
      <xdr:rowOff>45720</xdr:rowOff>
    </xdr:to>
    <xdr:graphicFrame macro="">
      <xdr:nvGraphicFramePr>
        <xdr:cNvPr id="14" name="Chart 13">
          <a:extLst>
            <a:ext uri="{FF2B5EF4-FFF2-40B4-BE49-F238E27FC236}">
              <a16:creationId xmlns:a16="http://schemas.microsoft.com/office/drawing/2014/main" id="{FF250BEB-C683-4703-992F-CD89326D1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45720</xdr:colOff>
      <xdr:row>87</xdr:row>
      <xdr:rowOff>0</xdr:rowOff>
    </xdr:from>
    <xdr:to>
      <xdr:col>5</xdr:col>
      <xdr:colOff>121920</xdr:colOff>
      <xdr:row>99</xdr:row>
      <xdr:rowOff>45720</xdr:rowOff>
    </xdr:to>
    <xdr:graphicFrame macro="">
      <xdr:nvGraphicFramePr>
        <xdr:cNvPr id="15" name="Chart 14">
          <a:extLst>
            <a:ext uri="{FF2B5EF4-FFF2-40B4-BE49-F238E27FC236}">
              <a16:creationId xmlns:a16="http://schemas.microsoft.com/office/drawing/2014/main" id="{9E7CEB28-0D59-4F79-9E7A-346272490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266700</xdr:colOff>
      <xdr:row>87</xdr:row>
      <xdr:rowOff>22860</xdr:rowOff>
    </xdr:from>
    <xdr:to>
      <xdr:col>9</xdr:col>
      <xdr:colOff>152400</xdr:colOff>
      <xdr:row>99</xdr:row>
      <xdr:rowOff>30480</xdr:rowOff>
    </xdr:to>
    <xdr:graphicFrame macro="">
      <xdr:nvGraphicFramePr>
        <xdr:cNvPr id="18" name="Chart 17">
          <a:extLst>
            <a:ext uri="{FF2B5EF4-FFF2-40B4-BE49-F238E27FC236}">
              <a16:creationId xmlns:a16="http://schemas.microsoft.com/office/drawing/2014/main" id="{B4700B36-1017-492C-A058-24B37AEBD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213360</xdr:colOff>
      <xdr:row>87</xdr:row>
      <xdr:rowOff>38100</xdr:rowOff>
    </xdr:from>
    <xdr:to>
      <xdr:col>13</xdr:col>
      <xdr:colOff>38100</xdr:colOff>
      <xdr:row>99</xdr:row>
      <xdr:rowOff>22860</xdr:rowOff>
    </xdr:to>
    <xdr:graphicFrame macro="">
      <xdr:nvGraphicFramePr>
        <xdr:cNvPr id="20" name="Chart 19">
          <a:extLst>
            <a:ext uri="{FF2B5EF4-FFF2-40B4-BE49-F238E27FC236}">
              <a16:creationId xmlns:a16="http://schemas.microsoft.com/office/drawing/2014/main" id="{D03CC8C7-CBE8-49E2-B94C-96D748434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60960</xdr:colOff>
      <xdr:row>87</xdr:row>
      <xdr:rowOff>64770</xdr:rowOff>
    </xdr:from>
    <xdr:to>
      <xdr:col>16</xdr:col>
      <xdr:colOff>495300</xdr:colOff>
      <xdr:row>99</xdr:row>
      <xdr:rowOff>15240</xdr:rowOff>
    </xdr:to>
    <xdr:graphicFrame macro="">
      <xdr:nvGraphicFramePr>
        <xdr:cNvPr id="21" name="Chart 20">
          <a:extLst>
            <a:ext uri="{FF2B5EF4-FFF2-40B4-BE49-F238E27FC236}">
              <a16:creationId xmlns:a16="http://schemas.microsoft.com/office/drawing/2014/main" id="{991BF930-C86B-4B7E-9535-A7F93745B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274320</xdr:colOff>
      <xdr:row>0</xdr:row>
      <xdr:rowOff>53340</xdr:rowOff>
    </xdr:from>
    <xdr:to>
      <xdr:col>21</xdr:col>
      <xdr:colOff>579120</xdr:colOff>
      <xdr:row>17</xdr:row>
      <xdr:rowOff>99060</xdr:rowOff>
    </xdr:to>
    <xdr:graphicFrame macro="">
      <xdr:nvGraphicFramePr>
        <xdr:cNvPr id="22" name="Chart 21">
          <a:extLst>
            <a:ext uri="{FF2B5EF4-FFF2-40B4-BE49-F238E27FC236}">
              <a16:creationId xmlns:a16="http://schemas.microsoft.com/office/drawing/2014/main" id="{9D38225A-460C-459E-83EA-98A997E4B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175260</xdr:colOff>
      <xdr:row>153</xdr:row>
      <xdr:rowOff>91440</xdr:rowOff>
    </xdr:from>
    <xdr:to>
      <xdr:col>7</xdr:col>
      <xdr:colOff>480060</xdr:colOff>
      <xdr:row>170</xdr:row>
      <xdr:rowOff>11430</xdr:rowOff>
    </xdr:to>
    <xdr:graphicFrame macro="">
      <xdr:nvGraphicFramePr>
        <xdr:cNvPr id="23" name="Chart 22">
          <a:extLst>
            <a:ext uri="{FF2B5EF4-FFF2-40B4-BE49-F238E27FC236}">
              <a16:creationId xmlns:a16="http://schemas.microsoft.com/office/drawing/2014/main" id="{58341C31-D480-4471-A303-876C44EEA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106680</xdr:colOff>
      <xdr:row>21</xdr:row>
      <xdr:rowOff>0</xdr:rowOff>
    </xdr:from>
    <xdr:to>
      <xdr:col>6</xdr:col>
      <xdr:colOff>411480</xdr:colOff>
      <xdr:row>35</xdr:row>
      <xdr:rowOff>106680</xdr:rowOff>
    </xdr:to>
    <xdr:graphicFrame macro="">
      <xdr:nvGraphicFramePr>
        <xdr:cNvPr id="24" name="Chart 23">
          <a:extLst>
            <a:ext uri="{FF2B5EF4-FFF2-40B4-BE49-F238E27FC236}">
              <a16:creationId xmlns:a16="http://schemas.microsoft.com/office/drawing/2014/main" id="{6EA1648A-2CE9-4FF4-A5EF-E3220FD57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304800</xdr:colOff>
      <xdr:row>39</xdr:row>
      <xdr:rowOff>144780</xdr:rowOff>
    </xdr:from>
    <xdr:to>
      <xdr:col>16</xdr:col>
      <xdr:colOff>510540</xdr:colOff>
      <xdr:row>48</xdr:row>
      <xdr:rowOff>175260</xdr:rowOff>
    </xdr:to>
    <xdr:graphicFrame macro="">
      <xdr:nvGraphicFramePr>
        <xdr:cNvPr id="25" name="Chart 24">
          <a:extLst>
            <a:ext uri="{FF2B5EF4-FFF2-40B4-BE49-F238E27FC236}">
              <a16:creationId xmlns:a16="http://schemas.microsoft.com/office/drawing/2014/main" id="{11400416-974C-4A10-9645-353E0E243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320040</xdr:colOff>
      <xdr:row>49</xdr:row>
      <xdr:rowOff>0</xdr:rowOff>
    </xdr:from>
    <xdr:to>
      <xdr:col>16</xdr:col>
      <xdr:colOff>502920</xdr:colOff>
      <xdr:row>58</xdr:row>
      <xdr:rowOff>30480</xdr:rowOff>
    </xdr:to>
    <xdr:graphicFrame macro="">
      <xdr:nvGraphicFramePr>
        <xdr:cNvPr id="26" name="Chart 25">
          <a:extLst>
            <a:ext uri="{FF2B5EF4-FFF2-40B4-BE49-F238E27FC236}">
              <a16:creationId xmlns:a16="http://schemas.microsoft.com/office/drawing/2014/main" id="{8C1E9FF1-D85B-4236-8BCD-AFE9E39BC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53340</xdr:colOff>
      <xdr:row>48</xdr:row>
      <xdr:rowOff>99060</xdr:rowOff>
    </xdr:from>
    <xdr:to>
      <xdr:col>3</xdr:col>
      <xdr:colOff>274320</xdr:colOff>
      <xdr:row>58</xdr:row>
      <xdr:rowOff>7620</xdr:rowOff>
    </xdr:to>
    <xdr:graphicFrame macro="">
      <xdr:nvGraphicFramePr>
        <xdr:cNvPr id="27" name="Chart 26">
          <a:extLst>
            <a:ext uri="{FF2B5EF4-FFF2-40B4-BE49-F238E27FC236}">
              <a16:creationId xmlns:a16="http://schemas.microsoft.com/office/drawing/2014/main" id="{291B844D-9751-494A-906A-5D679C708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30480</xdr:colOff>
      <xdr:row>39</xdr:row>
      <xdr:rowOff>38100</xdr:rowOff>
    </xdr:from>
    <xdr:to>
      <xdr:col>3</xdr:col>
      <xdr:colOff>251460</xdr:colOff>
      <xdr:row>48</xdr:row>
      <xdr:rowOff>91440</xdr:rowOff>
    </xdr:to>
    <xdr:graphicFrame macro="">
      <xdr:nvGraphicFramePr>
        <xdr:cNvPr id="28" name="Chart 27">
          <a:extLst>
            <a:ext uri="{FF2B5EF4-FFF2-40B4-BE49-F238E27FC236}">
              <a16:creationId xmlns:a16="http://schemas.microsoft.com/office/drawing/2014/main" id="{8F772A36-B978-4B1B-B138-B4084AB35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16</xdr:col>
      <xdr:colOff>601980</xdr:colOff>
      <xdr:row>42</xdr:row>
      <xdr:rowOff>137160</xdr:rowOff>
    </xdr:from>
    <xdr:to>
      <xdr:col>20</xdr:col>
      <xdr:colOff>228600</xdr:colOff>
      <xdr:row>54</xdr:row>
      <xdr:rowOff>15240</xdr:rowOff>
    </xdr:to>
    <xdr:graphicFrame macro="">
      <xdr:nvGraphicFramePr>
        <xdr:cNvPr id="29" name="Chart 28">
          <a:extLst>
            <a:ext uri="{FF2B5EF4-FFF2-40B4-BE49-F238E27FC236}">
              <a16:creationId xmlns:a16="http://schemas.microsoft.com/office/drawing/2014/main" id="{1440C91D-58C8-465D-96F9-E8552EC20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601980</xdr:colOff>
      <xdr:row>43</xdr:row>
      <xdr:rowOff>91440</xdr:rowOff>
    </xdr:from>
    <xdr:to>
      <xdr:col>9</xdr:col>
      <xdr:colOff>289560</xdr:colOff>
      <xdr:row>51</xdr:row>
      <xdr:rowOff>144780</xdr:rowOff>
    </xdr:to>
    <xdr:graphicFrame macro="">
      <xdr:nvGraphicFramePr>
        <xdr:cNvPr id="30" name="Chart 29">
          <a:extLst>
            <a:ext uri="{FF2B5EF4-FFF2-40B4-BE49-F238E27FC236}">
              <a16:creationId xmlns:a16="http://schemas.microsoft.com/office/drawing/2014/main" id="{85C40715-E991-4BAD-9305-E20A8F8C1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6</xdr:col>
      <xdr:colOff>243840</xdr:colOff>
      <xdr:row>75</xdr:row>
      <xdr:rowOff>106680</xdr:rowOff>
    </xdr:from>
    <xdr:to>
      <xdr:col>9</xdr:col>
      <xdr:colOff>259080</xdr:colOff>
      <xdr:row>85</xdr:row>
      <xdr:rowOff>118110</xdr:rowOff>
    </xdr:to>
    <xdr:graphicFrame macro="">
      <xdr:nvGraphicFramePr>
        <xdr:cNvPr id="31" name="Chart 30">
          <a:extLst>
            <a:ext uri="{FF2B5EF4-FFF2-40B4-BE49-F238E27FC236}">
              <a16:creationId xmlns:a16="http://schemas.microsoft.com/office/drawing/2014/main" id="{7FA6EDDA-8461-42B7-B50D-CE8A40127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xdr:col>
      <xdr:colOff>121920</xdr:colOff>
      <xdr:row>75</xdr:row>
      <xdr:rowOff>114300</xdr:rowOff>
    </xdr:from>
    <xdr:to>
      <xdr:col>6</xdr:col>
      <xdr:colOff>137160</xdr:colOff>
      <xdr:row>85</xdr:row>
      <xdr:rowOff>125730</xdr:rowOff>
    </xdr:to>
    <xdr:graphicFrame macro="">
      <xdr:nvGraphicFramePr>
        <xdr:cNvPr id="32" name="Chart 31">
          <a:extLst>
            <a:ext uri="{FF2B5EF4-FFF2-40B4-BE49-F238E27FC236}">
              <a16:creationId xmlns:a16="http://schemas.microsoft.com/office/drawing/2014/main" id="{D464E2EC-E61A-47CF-ADFF-A293D0D13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11</xdr:col>
      <xdr:colOff>480060</xdr:colOff>
      <xdr:row>20</xdr:row>
      <xdr:rowOff>144780</xdr:rowOff>
    </xdr:from>
    <xdr:to>
      <xdr:col>16</xdr:col>
      <xdr:colOff>304800</xdr:colOff>
      <xdr:row>35</xdr:row>
      <xdr:rowOff>53340</xdr:rowOff>
    </xdr:to>
    <xdr:graphicFrame macro="">
      <xdr:nvGraphicFramePr>
        <xdr:cNvPr id="33" name="Chart 32">
          <a:extLst>
            <a:ext uri="{FF2B5EF4-FFF2-40B4-BE49-F238E27FC236}">
              <a16:creationId xmlns:a16="http://schemas.microsoft.com/office/drawing/2014/main" id="{A18DB7DB-7F4C-4A5A-9633-5ED629F52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xdr:col>
      <xdr:colOff>220980</xdr:colOff>
      <xdr:row>125</xdr:row>
      <xdr:rowOff>45720</xdr:rowOff>
    </xdr:from>
    <xdr:to>
      <xdr:col>6</xdr:col>
      <xdr:colOff>198120</xdr:colOff>
      <xdr:row>136</xdr:row>
      <xdr:rowOff>0</xdr:rowOff>
    </xdr:to>
    <xdr:graphicFrame macro="">
      <xdr:nvGraphicFramePr>
        <xdr:cNvPr id="34" name="Chart 33">
          <a:extLst>
            <a:ext uri="{FF2B5EF4-FFF2-40B4-BE49-F238E27FC236}">
              <a16:creationId xmlns:a16="http://schemas.microsoft.com/office/drawing/2014/main" id="{03746546-DA8E-4D00-A636-F1E3BB2E4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3</xdr:col>
      <xdr:colOff>213360</xdr:colOff>
      <xdr:row>136</xdr:row>
      <xdr:rowOff>19050</xdr:rowOff>
    </xdr:from>
    <xdr:to>
      <xdr:col>6</xdr:col>
      <xdr:colOff>190500</xdr:colOff>
      <xdr:row>145</xdr:row>
      <xdr:rowOff>121920</xdr:rowOff>
    </xdr:to>
    <xdr:graphicFrame macro="">
      <xdr:nvGraphicFramePr>
        <xdr:cNvPr id="35" name="Chart 34">
          <a:extLst>
            <a:ext uri="{FF2B5EF4-FFF2-40B4-BE49-F238E27FC236}">
              <a16:creationId xmlns:a16="http://schemas.microsoft.com/office/drawing/2014/main" id="{DB08EAF1-96B0-4636-BA70-150E23DA9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0</xdr:col>
      <xdr:colOff>0</xdr:colOff>
      <xdr:row>125</xdr:row>
      <xdr:rowOff>34290</xdr:rowOff>
    </xdr:from>
    <xdr:to>
      <xdr:col>3</xdr:col>
      <xdr:colOff>144780</xdr:colOff>
      <xdr:row>135</xdr:row>
      <xdr:rowOff>167640</xdr:rowOff>
    </xdr:to>
    <xdr:graphicFrame macro="">
      <xdr:nvGraphicFramePr>
        <xdr:cNvPr id="36" name="Chart 35">
          <a:extLst>
            <a:ext uri="{FF2B5EF4-FFF2-40B4-BE49-F238E27FC236}">
              <a16:creationId xmlns:a16="http://schemas.microsoft.com/office/drawing/2014/main" id="{89036037-4D98-4E0B-8310-AE387253D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0</xdr:col>
      <xdr:colOff>7620</xdr:colOff>
      <xdr:row>136</xdr:row>
      <xdr:rowOff>19050</xdr:rowOff>
    </xdr:from>
    <xdr:to>
      <xdr:col>3</xdr:col>
      <xdr:colOff>175260</xdr:colOff>
      <xdr:row>145</xdr:row>
      <xdr:rowOff>106680</xdr:rowOff>
    </xdr:to>
    <xdr:graphicFrame macro="">
      <xdr:nvGraphicFramePr>
        <xdr:cNvPr id="37" name="Chart 36">
          <a:extLst>
            <a:ext uri="{FF2B5EF4-FFF2-40B4-BE49-F238E27FC236}">
              <a16:creationId xmlns:a16="http://schemas.microsoft.com/office/drawing/2014/main" id="{7FF28EBF-302E-4B57-8CF8-6BB09827E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6</xdr:col>
      <xdr:colOff>312420</xdr:colOff>
      <xdr:row>127</xdr:row>
      <xdr:rowOff>121920</xdr:rowOff>
    </xdr:from>
    <xdr:to>
      <xdr:col>10</xdr:col>
      <xdr:colOff>213360</xdr:colOff>
      <xdr:row>142</xdr:row>
      <xdr:rowOff>121920</xdr:rowOff>
    </xdr:to>
    <xdr:graphicFrame macro="">
      <xdr:nvGraphicFramePr>
        <xdr:cNvPr id="38" name="Chart 37">
          <a:extLst>
            <a:ext uri="{FF2B5EF4-FFF2-40B4-BE49-F238E27FC236}">
              <a16:creationId xmlns:a16="http://schemas.microsoft.com/office/drawing/2014/main" id="{AE329B0F-54BA-44E3-89A6-242D21D42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502920</xdr:colOff>
      <xdr:row>4</xdr:row>
      <xdr:rowOff>179070</xdr:rowOff>
    </xdr:from>
    <xdr:to>
      <xdr:col>7</xdr:col>
      <xdr:colOff>76200</xdr:colOff>
      <xdr:row>16</xdr:row>
      <xdr:rowOff>76200</xdr:rowOff>
    </xdr:to>
    <xdr:graphicFrame macro="">
      <xdr:nvGraphicFramePr>
        <xdr:cNvPr id="5" name="Chart 4">
          <a:extLst>
            <a:ext uri="{FF2B5EF4-FFF2-40B4-BE49-F238E27FC236}">
              <a16:creationId xmlns:a16="http://schemas.microsoft.com/office/drawing/2014/main" id="{76F9C017-51D5-4106-9AE7-04A289C93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495300</xdr:colOff>
      <xdr:row>17</xdr:row>
      <xdr:rowOff>7620</xdr:rowOff>
    </xdr:from>
    <xdr:to>
      <xdr:col>7</xdr:col>
      <xdr:colOff>68580</xdr:colOff>
      <xdr:row>28</xdr:row>
      <xdr:rowOff>87630</xdr:rowOff>
    </xdr:to>
    <xdr:graphicFrame macro="">
      <xdr:nvGraphicFramePr>
        <xdr:cNvPr id="6" name="Chart 5">
          <a:extLst>
            <a:ext uri="{FF2B5EF4-FFF2-40B4-BE49-F238E27FC236}">
              <a16:creationId xmlns:a16="http://schemas.microsoft.com/office/drawing/2014/main" id="{BB4B7573-A03F-4CB8-967F-56C5903D8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213360</xdr:colOff>
      <xdr:row>4</xdr:row>
      <xdr:rowOff>76200</xdr:rowOff>
    </xdr:from>
    <xdr:to>
      <xdr:col>16</xdr:col>
      <xdr:colOff>396240</xdr:colOff>
      <xdr:row>15</xdr:row>
      <xdr:rowOff>156210</xdr:rowOff>
    </xdr:to>
    <xdr:graphicFrame macro="">
      <xdr:nvGraphicFramePr>
        <xdr:cNvPr id="7" name="Chart 6">
          <a:extLst>
            <a:ext uri="{FF2B5EF4-FFF2-40B4-BE49-F238E27FC236}">
              <a16:creationId xmlns:a16="http://schemas.microsoft.com/office/drawing/2014/main" id="{656693D2-BA4C-40F7-BFFA-3918FB855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220980</xdr:colOff>
      <xdr:row>16</xdr:row>
      <xdr:rowOff>53340</xdr:rowOff>
    </xdr:from>
    <xdr:to>
      <xdr:col>16</xdr:col>
      <xdr:colOff>403860</xdr:colOff>
      <xdr:row>27</xdr:row>
      <xdr:rowOff>133350</xdr:rowOff>
    </xdr:to>
    <xdr:graphicFrame macro="">
      <xdr:nvGraphicFramePr>
        <xdr:cNvPr id="8" name="Chart 7">
          <a:extLst>
            <a:ext uri="{FF2B5EF4-FFF2-40B4-BE49-F238E27FC236}">
              <a16:creationId xmlns:a16="http://schemas.microsoft.com/office/drawing/2014/main" id="{B8A835EE-EE85-45B7-91B8-1DF7D3B83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594360</xdr:colOff>
      <xdr:row>34</xdr:row>
      <xdr:rowOff>118110</xdr:rowOff>
    </xdr:from>
    <xdr:to>
      <xdr:col>15</xdr:col>
      <xdr:colOff>129540</xdr:colOff>
      <xdr:row>47</xdr:row>
      <xdr:rowOff>175260</xdr:rowOff>
    </xdr:to>
    <xdr:graphicFrame macro="">
      <xdr:nvGraphicFramePr>
        <xdr:cNvPr id="9" name="Chart 8">
          <a:extLst>
            <a:ext uri="{FF2B5EF4-FFF2-40B4-BE49-F238E27FC236}">
              <a16:creationId xmlns:a16="http://schemas.microsoft.com/office/drawing/2014/main" id="{B125B85F-05A5-460C-BDFB-B04B58300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160020</xdr:colOff>
      <xdr:row>4</xdr:row>
      <xdr:rowOff>175260</xdr:rowOff>
    </xdr:from>
    <xdr:to>
      <xdr:col>11</xdr:col>
      <xdr:colOff>342900</xdr:colOff>
      <xdr:row>16</xdr:row>
      <xdr:rowOff>72390</xdr:rowOff>
    </xdr:to>
    <xdr:graphicFrame macro="">
      <xdr:nvGraphicFramePr>
        <xdr:cNvPr id="10" name="Chart 9">
          <a:extLst>
            <a:ext uri="{FF2B5EF4-FFF2-40B4-BE49-F238E27FC236}">
              <a16:creationId xmlns:a16="http://schemas.microsoft.com/office/drawing/2014/main" id="{64F7B739-51D5-4197-9341-4E3363989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541020</xdr:colOff>
      <xdr:row>16</xdr:row>
      <xdr:rowOff>30480</xdr:rowOff>
    </xdr:from>
    <xdr:to>
      <xdr:col>21</xdr:col>
      <xdr:colOff>114300</xdr:colOff>
      <xdr:row>27</xdr:row>
      <xdr:rowOff>110490</xdr:rowOff>
    </xdr:to>
    <xdr:graphicFrame macro="">
      <xdr:nvGraphicFramePr>
        <xdr:cNvPr id="11" name="Chart 10">
          <a:extLst>
            <a:ext uri="{FF2B5EF4-FFF2-40B4-BE49-F238E27FC236}">
              <a16:creationId xmlns:a16="http://schemas.microsoft.com/office/drawing/2014/main" id="{B01A22CC-5219-429B-9DA9-8AAFAAE50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190500</xdr:colOff>
      <xdr:row>16</xdr:row>
      <xdr:rowOff>38100</xdr:rowOff>
    </xdr:from>
    <xdr:to>
      <xdr:col>25</xdr:col>
      <xdr:colOff>373380</xdr:colOff>
      <xdr:row>27</xdr:row>
      <xdr:rowOff>118110</xdr:rowOff>
    </xdr:to>
    <xdr:graphicFrame macro="">
      <xdr:nvGraphicFramePr>
        <xdr:cNvPr id="12" name="Chart 11">
          <a:extLst>
            <a:ext uri="{FF2B5EF4-FFF2-40B4-BE49-F238E27FC236}">
              <a16:creationId xmlns:a16="http://schemas.microsoft.com/office/drawing/2014/main" id="{E60F3002-7B25-4F19-8E64-BD6AAA963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533400</xdr:colOff>
      <xdr:row>4</xdr:row>
      <xdr:rowOff>72390</xdr:rowOff>
    </xdr:from>
    <xdr:to>
      <xdr:col>16</xdr:col>
      <xdr:colOff>228600</xdr:colOff>
      <xdr:row>19</xdr:row>
      <xdr:rowOff>72390</xdr:rowOff>
    </xdr:to>
    <xdr:graphicFrame macro="">
      <xdr:nvGraphicFramePr>
        <xdr:cNvPr id="3" name="Chart 2">
          <a:extLst>
            <a:ext uri="{FF2B5EF4-FFF2-40B4-BE49-F238E27FC236}">
              <a16:creationId xmlns:a16="http://schemas.microsoft.com/office/drawing/2014/main" id="{971191B7-AACC-4C1C-B463-1AB653243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228600</xdr:colOff>
      <xdr:row>0</xdr:row>
      <xdr:rowOff>91440</xdr:rowOff>
    </xdr:from>
    <xdr:to>
      <xdr:col>13</xdr:col>
      <xdr:colOff>266700</xdr:colOff>
      <xdr:row>11</xdr:row>
      <xdr:rowOff>3810</xdr:rowOff>
    </xdr:to>
    <xdr:graphicFrame macro="">
      <xdr:nvGraphicFramePr>
        <xdr:cNvPr id="10" name="Chart 9">
          <a:extLst>
            <a:ext uri="{FF2B5EF4-FFF2-40B4-BE49-F238E27FC236}">
              <a16:creationId xmlns:a16="http://schemas.microsoft.com/office/drawing/2014/main" id="{FC917A7D-8255-4C66-931B-7B6BA1921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7620</xdr:colOff>
      <xdr:row>0</xdr:row>
      <xdr:rowOff>175260</xdr:rowOff>
    </xdr:from>
    <xdr:to>
      <xdr:col>20</xdr:col>
      <xdr:colOff>243840</xdr:colOff>
      <xdr:row>14</xdr:row>
      <xdr:rowOff>137160</xdr:rowOff>
    </xdr:to>
    <xdr:graphicFrame macro="">
      <xdr:nvGraphicFramePr>
        <xdr:cNvPr id="11" name="Chart 10">
          <a:extLst>
            <a:ext uri="{FF2B5EF4-FFF2-40B4-BE49-F238E27FC236}">
              <a16:creationId xmlns:a16="http://schemas.microsoft.com/office/drawing/2014/main" id="{82EA376D-8FDA-484A-AA2B-1824DEBA5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228600</xdr:colOff>
      <xdr:row>11</xdr:row>
      <xdr:rowOff>125730</xdr:rowOff>
    </xdr:from>
    <xdr:to>
      <xdr:col>13</xdr:col>
      <xdr:colOff>259080</xdr:colOff>
      <xdr:row>25</xdr:row>
      <xdr:rowOff>110490</xdr:rowOff>
    </xdr:to>
    <xdr:graphicFrame macro="">
      <xdr:nvGraphicFramePr>
        <xdr:cNvPr id="12" name="Chart 11">
          <a:extLst>
            <a:ext uri="{FF2B5EF4-FFF2-40B4-BE49-F238E27FC236}">
              <a16:creationId xmlns:a16="http://schemas.microsoft.com/office/drawing/2014/main" id="{8307FA65-1625-4562-9652-6313767F4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327660</xdr:colOff>
      <xdr:row>0</xdr:row>
      <xdr:rowOff>167640</xdr:rowOff>
    </xdr:from>
    <xdr:to>
      <xdr:col>27</xdr:col>
      <xdr:colOff>22860</xdr:colOff>
      <xdr:row>14</xdr:row>
      <xdr:rowOff>91440</xdr:rowOff>
    </xdr:to>
    <xdr:graphicFrame macro="">
      <xdr:nvGraphicFramePr>
        <xdr:cNvPr id="16" name="Chart 15">
          <a:extLst>
            <a:ext uri="{FF2B5EF4-FFF2-40B4-BE49-F238E27FC236}">
              <a16:creationId xmlns:a16="http://schemas.microsoft.com/office/drawing/2014/main" id="{EACA378E-F6F7-4D2C-95B5-5357C820DF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289560</xdr:colOff>
      <xdr:row>24</xdr:row>
      <xdr:rowOff>41910</xdr:rowOff>
    </xdr:from>
    <xdr:to>
      <xdr:col>27</xdr:col>
      <xdr:colOff>7620</xdr:colOff>
      <xdr:row>36</xdr:row>
      <xdr:rowOff>91440</xdr:rowOff>
    </xdr:to>
    <xdr:graphicFrame macro="">
      <xdr:nvGraphicFramePr>
        <xdr:cNvPr id="17" name="Chart 16">
          <a:extLst>
            <a:ext uri="{FF2B5EF4-FFF2-40B4-BE49-F238E27FC236}">
              <a16:creationId xmlns:a16="http://schemas.microsoft.com/office/drawing/2014/main" id="{7DE1FE82-F0D3-4535-802E-9A3AEFB54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563880</xdr:colOff>
      <xdr:row>45</xdr:row>
      <xdr:rowOff>175260</xdr:rowOff>
    </xdr:from>
    <xdr:to>
      <xdr:col>21</xdr:col>
      <xdr:colOff>510540</xdr:colOff>
      <xdr:row>57</xdr:row>
      <xdr:rowOff>72390</xdr:rowOff>
    </xdr:to>
    <xdr:graphicFrame macro="">
      <xdr:nvGraphicFramePr>
        <xdr:cNvPr id="18" name="Chart 17">
          <a:extLst>
            <a:ext uri="{FF2B5EF4-FFF2-40B4-BE49-F238E27FC236}">
              <a16:creationId xmlns:a16="http://schemas.microsoft.com/office/drawing/2014/main" id="{8E5D141D-FDAE-4AA7-8668-FA7CE699A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381000</xdr:colOff>
      <xdr:row>2</xdr:row>
      <xdr:rowOff>49530</xdr:rowOff>
    </xdr:from>
    <xdr:to>
      <xdr:col>17</xdr:col>
      <xdr:colOff>45720</xdr:colOff>
      <xdr:row>17</xdr:row>
      <xdr:rowOff>49530</xdr:rowOff>
    </xdr:to>
    <xdr:graphicFrame macro="">
      <xdr:nvGraphicFramePr>
        <xdr:cNvPr id="5" name="Chart 4">
          <a:extLst>
            <a:ext uri="{FF2B5EF4-FFF2-40B4-BE49-F238E27FC236}">
              <a16:creationId xmlns:a16="http://schemas.microsoft.com/office/drawing/2014/main" id="{E96B62E5-425D-4B56-BC2B-86B3F1C11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373380</xdr:colOff>
      <xdr:row>17</xdr:row>
      <xdr:rowOff>129540</xdr:rowOff>
    </xdr:from>
    <xdr:to>
      <xdr:col>17</xdr:col>
      <xdr:colOff>38100</xdr:colOff>
      <xdr:row>32</xdr:row>
      <xdr:rowOff>129540</xdr:rowOff>
    </xdr:to>
    <xdr:graphicFrame macro="">
      <xdr:nvGraphicFramePr>
        <xdr:cNvPr id="7" name="Chart 6">
          <a:extLst>
            <a:ext uri="{FF2B5EF4-FFF2-40B4-BE49-F238E27FC236}">
              <a16:creationId xmlns:a16="http://schemas.microsoft.com/office/drawing/2014/main" id="{01F8430F-9B53-4F48-BB62-4B8A6A43A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129540</xdr:colOff>
      <xdr:row>2</xdr:row>
      <xdr:rowOff>83820</xdr:rowOff>
    </xdr:from>
    <xdr:to>
      <xdr:col>21</xdr:col>
      <xdr:colOff>403860</xdr:colOff>
      <xdr:row>17</xdr:row>
      <xdr:rowOff>83820</xdr:rowOff>
    </xdr:to>
    <xdr:graphicFrame macro="">
      <xdr:nvGraphicFramePr>
        <xdr:cNvPr id="9" name="Chart 8">
          <a:extLst>
            <a:ext uri="{FF2B5EF4-FFF2-40B4-BE49-F238E27FC236}">
              <a16:creationId xmlns:a16="http://schemas.microsoft.com/office/drawing/2014/main" id="{0D23BC35-83D8-4E10-9D05-238A43A1B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121920</xdr:colOff>
      <xdr:row>17</xdr:row>
      <xdr:rowOff>167640</xdr:rowOff>
    </xdr:from>
    <xdr:to>
      <xdr:col>21</xdr:col>
      <xdr:colOff>396240</xdr:colOff>
      <xdr:row>32</xdr:row>
      <xdr:rowOff>167640</xdr:rowOff>
    </xdr:to>
    <xdr:graphicFrame macro="">
      <xdr:nvGraphicFramePr>
        <xdr:cNvPr id="10" name="Chart 9">
          <a:extLst>
            <a:ext uri="{FF2B5EF4-FFF2-40B4-BE49-F238E27FC236}">
              <a16:creationId xmlns:a16="http://schemas.microsoft.com/office/drawing/2014/main" id="{04576A66-CF9D-4A89-9BA2-43CF2A700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312420</xdr:colOff>
      <xdr:row>33</xdr:row>
      <xdr:rowOff>102870</xdr:rowOff>
    </xdr:from>
    <xdr:to>
      <xdr:col>17</xdr:col>
      <xdr:colOff>114300</xdr:colOff>
      <xdr:row>48</xdr:row>
      <xdr:rowOff>102870</xdr:rowOff>
    </xdr:to>
    <xdr:graphicFrame macro="">
      <xdr:nvGraphicFramePr>
        <xdr:cNvPr id="11" name="Chart 10">
          <a:extLst>
            <a:ext uri="{FF2B5EF4-FFF2-40B4-BE49-F238E27FC236}">
              <a16:creationId xmlns:a16="http://schemas.microsoft.com/office/drawing/2014/main" id="{C6426B2E-5B28-43BB-B036-2E961ADB8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152400</xdr:colOff>
      <xdr:row>33</xdr:row>
      <xdr:rowOff>118110</xdr:rowOff>
    </xdr:from>
    <xdr:to>
      <xdr:col>21</xdr:col>
      <xdr:colOff>381000</xdr:colOff>
      <xdr:row>48</xdr:row>
      <xdr:rowOff>118110</xdr:rowOff>
    </xdr:to>
    <xdr:graphicFrame macro="">
      <xdr:nvGraphicFramePr>
        <xdr:cNvPr id="12" name="Chart 11">
          <a:extLst>
            <a:ext uri="{FF2B5EF4-FFF2-40B4-BE49-F238E27FC236}">
              <a16:creationId xmlns:a16="http://schemas.microsoft.com/office/drawing/2014/main" id="{C43B993D-D64D-44AB-AEB3-B44798A231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ojects/MPLM/6-%20parallelization/6%20-%20application%20of%20redundancy/codes%20and%20papers/JULIA%20_%20intepolation%20based/results/obs1%20-%20transfer/fmm_experiment_results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ojects/MPLM/6-%20parallelization/6%20-%20application%20of%20redundancy/codes%20and%20papers/JULIA%20_%20intepolation%20based/results/fmm_experiment_results_volume.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
      <sheetName val="clean"/>
      <sheetName val="avg"/>
      <sheetName val="numbers only"/>
    </sheetNames>
    <sheetDataSet>
      <sheetData sheetId="0" refreshError="1"/>
      <sheetData sheetId="1">
        <row r="1">
          <cell r="Q1" t="str">
            <v>P2P_data_transfer</v>
          </cell>
        </row>
      </sheetData>
      <sheetData sheetId="2">
        <row r="1">
          <cell r="J1" t="str">
            <v>speedup</v>
          </cell>
        </row>
      </sheetData>
      <sheetData sheetId="3">
        <row r="1">
          <cell r="F1" t="str">
            <v>Boxes</v>
          </cell>
          <cell r="H1" t="str">
            <v>gpu_time</v>
          </cell>
          <cell r="J1" t="str">
            <v>speedup</v>
          </cell>
        </row>
        <row r="2">
          <cell r="A2">
            <v>65536</v>
          </cell>
          <cell r="B2">
            <v>7</v>
          </cell>
          <cell r="D2">
            <v>0.2</v>
          </cell>
          <cell r="F2">
            <v>255</v>
          </cell>
          <cell r="G2">
            <v>15804</v>
          </cell>
          <cell r="I2">
            <v>72.912000000000006</v>
          </cell>
          <cell r="J2">
            <v>6.2587137212000004</v>
          </cell>
        </row>
        <row r="3">
          <cell r="A3">
            <v>65536</v>
          </cell>
          <cell r="B3">
            <v>6</v>
          </cell>
          <cell r="D3">
            <v>0.2</v>
          </cell>
          <cell r="F3">
            <v>511</v>
          </cell>
          <cell r="G3">
            <v>56071.199999999997</v>
          </cell>
          <cell r="I3">
            <v>62.174800000000005</v>
          </cell>
          <cell r="J3">
            <v>5.7542944484000005</v>
          </cell>
        </row>
        <row r="4">
          <cell r="A4">
            <v>65536</v>
          </cell>
          <cell r="B4">
            <v>5</v>
          </cell>
          <cell r="D4">
            <v>0.2</v>
          </cell>
          <cell r="F4">
            <v>1023</v>
          </cell>
          <cell r="G4">
            <v>161722.4</v>
          </cell>
          <cell r="I4">
            <v>53.468600000000002</v>
          </cell>
          <cell r="J4">
            <v>5.1249647973999997</v>
          </cell>
        </row>
        <row r="5">
          <cell r="A5">
            <v>65536</v>
          </cell>
          <cell r="B5">
            <v>3</v>
          </cell>
          <cell r="D5">
            <v>0.2</v>
          </cell>
          <cell r="F5">
            <v>2047</v>
          </cell>
          <cell r="G5">
            <v>322307.20000000001</v>
          </cell>
          <cell r="I5">
            <v>26.000599999999999</v>
          </cell>
          <cell r="J5">
            <v>5.4032655565999992</v>
          </cell>
        </row>
        <row r="6">
          <cell r="A6">
            <v>65536</v>
          </cell>
          <cell r="B6">
            <v>4</v>
          </cell>
          <cell r="D6">
            <v>0.2</v>
          </cell>
          <cell r="F6">
            <v>2047</v>
          </cell>
          <cell r="G6">
            <v>322642.40000000002</v>
          </cell>
          <cell r="I6">
            <v>45.298199999999994</v>
          </cell>
          <cell r="J6">
            <v>5.0031287409999994</v>
          </cell>
        </row>
        <row r="7">
          <cell r="A7">
            <v>131072</v>
          </cell>
          <cell r="B7">
            <v>7</v>
          </cell>
          <cell r="D7">
            <v>0.2</v>
          </cell>
          <cell r="F7">
            <v>511</v>
          </cell>
          <cell r="G7">
            <v>56377.333333333336</v>
          </cell>
          <cell r="I7">
            <v>251.00033333333332</v>
          </cell>
          <cell r="J7">
            <v>7.2387769804760866</v>
          </cell>
        </row>
        <row r="8">
          <cell r="A8">
            <v>131072</v>
          </cell>
          <cell r="B8">
            <v>6</v>
          </cell>
          <cell r="D8">
            <v>0.2</v>
          </cell>
          <cell r="F8">
            <v>1023</v>
          </cell>
          <cell r="G8">
            <v>164132</v>
          </cell>
          <cell r="I8">
            <v>204.96633333333332</v>
          </cell>
          <cell r="J8">
            <v>6.5333931633951563</v>
          </cell>
        </row>
        <row r="9">
          <cell r="A9">
            <v>131072</v>
          </cell>
          <cell r="B9">
            <v>5</v>
          </cell>
          <cell r="D9">
            <v>0.2</v>
          </cell>
          <cell r="F9">
            <v>2047</v>
          </cell>
          <cell r="G9">
            <v>330976</v>
          </cell>
          <cell r="I9">
            <v>155.23499999999999</v>
          </cell>
          <cell r="J9">
            <v>5.5952053180251333</v>
          </cell>
        </row>
        <row r="10">
          <cell r="A10">
            <v>131072</v>
          </cell>
          <cell r="B10">
            <v>3</v>
          </cell>
          <cell r="D10">
            <v>0.2</v>
          </cell>
          <cell r="F10">
            <v>4095</v>
          </cell>
          <cell r="G10">
            <v>913526.66666666663</v>
          </cell>
          <cell r="I10">
            <v>68.608666666666679</v>
          </cell>
          <cell r="J10">
            <v>6.0711285635969672</v>
          </cell>
        </row>
        <row r="11">
          <cell r="A11">
            <v>131072</v>
          </cell>
          <cell r="B11">
            <v>4</v>
          </cell>
          <cell r="D11">
            <v>0.2</v>
          </cell>
          <cell r="F11">
            <v>4095</v>
          </cell>
          <cell r="G11">
            <v>913249.33333333337</v>
          </cell>
          <cell r="I11">
            <v>108.09733333333332</v>
          </cell>
          <cell r="J11">
            <v>6.0216455450876367</v>
          </cell>
        </row>
        <row r="12">
          <cell r="A12">
            <v>262144</v>
          </cell>
          <cell r="B12">
            <v>7</v>
          </cell>
          <cell r="D12">
            <v>0.2</v>
          </cell>
          <cell r="F12">
            <v>1023</v>
          </cell>
          <cell r="G12">
            <v>164782.66666666666</v>
          </cell>
          <cell r="I12">
            <v>783.50766666666675</v>
          </cell>
          <cell r="J12">
            <v>7.2939882339182063</v>
          </cell>
        </row>
        <row r="13">
          <cell r="A13">
            <v>262144</v>
          </cell>
          <cell r="B13">
            <v>6</v>
          </cell>
          <cell r="D13">
            <v>0.2</v>
          </cell>
          <cell r="F13">
            <v>2047</v>
          </cell>
          <cell r="G13">
            <v>335220</v>
          </cell>
          <cell r="I13">
            <v>529.90233333333333</v>
          </cell>
          <cell r="J13">
            <v>6.0974587984073025</v>
          </cell>
        </row>
        <row r="14">
          <cell r="A14">
            <v>262144</v>
          </cell>
          <cell r="B14">
            <v>5</v>
          </cell>
          <cell r="D14">
            <v>0.2</v>
          </cell>
          <cell r="F14">
            <v>4095</v>
          </cell>
          <cell r="G14">
            <v>937716</v>
          </cell>
          <cell r="I14">
            <v>382.39600000000002</v>
          </cell>
          <cell r="J14">
            <v>5.8672958767778409</v>
          </cell>
        </row>
        <row r="15">
          <cell r="A15">
            <v>262144</v>
          </cell>
          <cell r="B15">
            <v>3</v>
          </cell>
          <cell r="D15">
            <v>0.2</v>
          </cell>
          <cell r="F15">
            <v>8191</v>
          </cell>
          <cell r="G15">
            <v>2186546</v>
          </cell>
          <cell r="I15">
            <v>173.33949999999999</v>
          </cell>
          <cell r="J15">
            <v>6.4079233669746145</v>
          </cell>
        </row>
        <row r="16">
          <cell r="A16">
            <v>262144</v>
          </cell>
          <cell r="B16">
            <v>4</v>
          </cell>
          <cell r="D16">
            <v>0.2</v>
          </cell>
          <cell r="F16">
            <v>8191</v>
          </cell>
          <cell r="G16">
            <v>2184618.6666666665</v>
          </cell>
          <cell r="I16">
            <v>284.47333333333336</v>
          </cell>
          <cell r="J16">
            <v>6.1122091517554393</v>
          </cell>
        </row>
        <row r="17">
          <cell r="A17">
            <v>524288</v>
          </cell>
          <cell r="B17">
            <v>7</v>
          </cell>
          <cell r="D17">
            <v>0.2</v>
          </cell>
          <cell r="F17">
            <v>2047</v>
          </cell>
          <cell r="G17">
            <v>338188</v>
          </cell>
          <cell r="I17">
            <v>1923.6566666666665</v>
          </cell>
          <cell r="J17">
            <v>7.225272637035947</v>
          </cell>
        </row>
        <row r="18">
          <cell r="A18">
            <v>524288</v>
          </cell>
          <cell r="B18">
            <v>6</v>
          </cell>
          <cell r="D18">
            <v>0.2</v>
          </cell>
          <cell r="F18">
            <v>4095</v>
          </cell>
          <cell r="G18">
            <v>950792</v>
          </cell>
          <cell r="I18">
            <v>1367.712</v>
          </cell>
          <cell r="J18">
            <v>6.3795856344914554</v>
          </cell>
        </row>
        <row r="19">
          <cell r="A19">
            <v>524288</v>
          </cell>
          <cell r="B19">
            <v>5</v>
          </cell>
          <cell r="D19">
            <v>0.2</v>
          </cell>
          <cell r="F19">
            <v>8191</v>
          </cell>
          <cell r="G19">
            <v>2242322.6666666665</v>
          </cell>
          <cell r="I19">
            <v>998.65466666666669</v>
          </cell>
          <cell r="J19">
            <v>5.7944132740288969</v>
          </cell>
        </row>
        <row r="20">
          <cell r="A20">
            <v>524288</v>
          </cell>
          <cell r="B20">
            <v>3</v>
          </cell>
          <cell r="D20">
            <v>0.2</v>
          </cell>
          <cell r="F20">
            <v>16383</v>
          </cell>
          <cell r="G20">
            <v>3669428</v>
          </cell>
          <cell r="I20">
            <v>351.04599999999999</v>
          </cell>
          <cell r="J20">
            <v>6.0864480900081643</v>
          </cell>
        </row>
        <row r="21">
          <cell r="A21">
            <v>524288</v>
          </cell>
          <cell r="B21">
            <v>4</v>
          </cell>
          <cell r="D21">
            <v>0.2</v>
          </cell>
          <cell r="F21">
            <v>16383</v>
          </cell>
          <cell r="G21">
            <v>3667766.6666666665</v>
          </cell>
          <cell r="I21">
            <v>704.6493333333334</v>
          </cell>
          <cell r="J21">
            <v>6.0041859929649943</v>
          </cell>
        </row>
        <row r="22">
          <cell r="A22">
            <v>1048576</v>
          </cell>
          <cell r="B22">
            <v>7</v>
          </cell>
          <cell r="D22">
            <v>0.2</v>
          </cell>
          <cell r="F22">
            <v>4095</v>
          </cell>
          <cell r="G22">
            <v>958505.33333333337</v>
          </cell>
          <cell r="I22">
            <v>5142.3949999999995</v>
          </cell>
          <cell r="J22">
            <v>5.2085622098787603</v>
          </cell>
        </row>
        <row r="23">
          <cell r="A23">
            <v>1048576</v>
          </cell>
          <cell r="B23">
            <v>6</v>
          </cell>
          <cell r="D23">
            <v>0.2</v>
          </cell>
          <cell r="F23">
            <v>8191</v>
          </cell>
          <cell r="G23">
            <v>2277813.3333333335</v>
          </cell>
          <cell r="I23">
            <v>3561.06</v>
          </cell>
          <cell r="J23">
            <v>6.4162023863661766</v>
          </cell>
        </row>
        <row r="24">
          <cell r="A24">
            <v>1048576</v>
          </cell>
          <cell r="B24">
            <v>5</v>
          </cell>
          <cell r="D24">
            <v>0.2</v>
          </cell>
          <cell r="F24">
            <v>16383</v>
          </cell>
          <cell r="G24">
            <v>3779058.6666666665</v>
          </cell>
          <cell r="I24">
            <v>2368.932666666667</v>
          </cell>
          <cell r="J24">
            <v>5.4851277849218967</v>
          </cell>
        </row>
        <row r="25">
          <cell r="A25">
            <v>1048576</v>
          </cell>
          <cell r="B25">
            <v>3</v>
          </cell>
          <cell r="D25">
            <v>0.2</v>
          </cell>
          <cell r="F25">
            <v>32767</v>
          </cell>
          <cell r="G25">
            <v>9799316</v>
          </cell>
          <cell r="I25">
            <v>814.88666666666666</v>
          </cell>
          <cell r="J25">
            <v>6.2671208954772597</v>
          </cell>
        </row>
        <row r="26">
          <cell r="A26">
            <v>1048576</v>
          </cell>
          <cell r="B26">
            <v>4</v>
          </cell>
          <cell r="D26">
            <v>0.2</v>
          </cell>
          <cell r="F26">
            <v>32767</v>
          </cell>
          <cell r="G26">
            <v>9804456</v>
          </cell>
          <cell r="I26">
            <v>1427.2233333333334</v>
          </cell>
          <cell r="J26">
            <v>6.0946900118937641</v>
          </cell>
        </row>
        <row r="27">
          <cell r="A27">
            <v>65536</v>
          </cell>
          <cell r="B27">
            <v>7</v>
          </cell>
          <cell r="D27">
            <v>0.35</v>
          </cell>
          <cell r="F27">
            <v>255</v>
          </cell>
          <cell r="G27">
            <v>7628</v>
          </cell>
          <cell r="I27">
            <v>41.997</v>
          </cell>
          <cell r="J27">
            <v>5.7696112099999999</v>
          </cell>
        </row>
        <row r="28">
          <cell r="A28">
            <v>65536</v>
          </cell>
          <cell r="B28">
            <v>6</v>
          </cell>
          <cell r="D28">
            <v>0.35</v>
          </cell>
          <cell r="F28">
            <v>511</v>
          </cell>
          <cell r="G28">
            <v>19320</v>
          </cell>
          <cell r="I28">
            <v>30.308</v>
          </cell>
          <cell r="J28">
            <v>5.0112433860000003</v>
          </cell>
        </row>
        <row r="29">
          <cell r="A29">
            <v>65536</v>
          </cell>
          <cell r="B29">
            <v>5</v>
          </cell>
          <cell r="D29">
            <v>0.35</v>
          </cell>
          <cell r="F29">
            <v>1023</v>
          </cell>
          <cell r="G29">
            <v>48888</v>
          </cell>
          <cell r="I29">
            <v>22.318999999999999</v>
          </cell>
          <cell r="J29">
            <v>4.940017707</v>
          </cell>
        </row>
        <row r="30">
          <cell r="A30">
            <v>65536</v>
          </cell>
          <cell r="B30">
            <v>3</v>
          </cell>
          <cell r="D30">
            <v>0.35</v>
          </cell>
          <cell r="F30">
            <v>2047</v>
          </cell>
          <cell r="G30">
            <v>86760</v>
          </cell>
          <cell r="I30">
            <v>8.3369999999999997</v>
          </cell>
          <cell r="J30">
            <v>4.2298325720000003</v>
          </cell>
        </row>
        <row r="31">
          <cell r="A31">
            <v>65536</v>
          </cell>
          <cell r="B31">
            <v>4</v>
          </cell>
          <cell r="D31">
            <v>0.35</v>
          </cell>
          <cell r="F31">
            <v>2047</v>
          </cell>
          <cell r="G31">
            <v>87188</v>
          </cell>
          <cell r="I31">
            <v>16.414000000000001</v>
          </cell>
          <cell r="J31">
            <v>4.8938580800000002</v>
          </cell>
        </row>
        <row r="32">
          <cell r="A32">
            <v>131072</v>
          </cell>
          <cell r="B32">
            <v>7</v>
          </cell>
          <cell r="D32">
            <v>0.35</v>
          </cell>
          <cell r="F32">
            <v>511</v>
          </cell>
          <cell r="G32">
            <v>19542</v>
          </cell>
          <cell r="I32">
            <v>110.08500000000001</v>
          </cell>
          <cell r="J32">
            <v>6.5681508865507245</v>
          </cell>
        </row>
        <row r="33">
          <cell r="A33">
            <v>131072</v>
          </cell>
          <cell r="B33">
            <v>6</v>
          </cell>
          <cell r="D33">
            <v>0.35</v>
          </cell>
          <cell r="F33">
            <v>1023</v>
          </cell>
          <cell r="G33">
            <v>49485</v>
          </cell>
          <cell r="I33">
            <v>77.922750000000008</v>
          </cell>
          <cell r="J33">
            <v>5.7794364601557735</v>
          </cell>
        </row>
        <row r="34">
          <cell r="A34">
            <v>131072</v>
          </cell>
          <cell r="B34">
            <v>5</v>
          </cell>
          <cell r="D34">
            <v>0.35</v>
          </cell>
          <cell r="F34">
            <v>2047</v>
          </cell>
          <cell r="G34">
            <v>89903</v>
          </cell>
          <cell r="I34">
            <v>53.305999999999997</v>
          </cell>
          <cell r="J34">
            <v>5.1441149901640602</v>
          </cell>
        </row>
        <row r="35">
          <cell r="A35">
            <v>131072</v>
          </cell>
          <cell r="B35">
            <v>3</v>
          </cell>
          <cell r="D35">
            <v>0.35</v>
          </cell>
          <cell r="F35">
            <v>4095</v>
          </cell>
          <cell r="G35">
            <v>208407</v>
          </cell>
          <cell r="I35">
            <v>18.478250000000003</v>
          </cell>
          <cell r="J35">
            <v>5.0594081188879301</v>
          </cell>
        </row>
        <row r="36">
          <cell r="A36">
            <v>131072</v>
          </cell>
          <cell r="B36">
            <v>4</v>
          </cell>
          <cell r="D36">
            <v>0.35</v>
          </cell>
          <cell r="F36">
            <v>4095</v>
          </cell>
          <cell r="G36">
            <v>208069</v>
          </cell>
          <cell r="I36">
            <v>34.15925</v>
          </cell>
          <cell r="J36">
            <v>5.6698701975793977</v>
          </cell>
        </row>
        <row r="37">
          <cell r="A37">
            <v>262144</v>
          </cell>
          <cell r="B37">
            <v>7</v>
          </cell>
          <cell r="D37">
            <v>0.35</v>
          </cell>
          <cell r="F37">
            <v>1023</v>
          </cell>
          <cell r="G37">
            <v>49463</v>
          </cell>
          <cell r="I37">
            <v>265.78424999999999</v>
          </cell>
          <cell r="J37">
            <v>6.4849823135227371</v>
          </cell>
        </row>
        <row r="38">
          <cell r="A38">
            <v>262144</v>
          </cell>
          <cell r="B38">
            <v>6</v>
          </cell>
          <cell r="D38">
            <v>0.35</v>
          </cell>
          <cell r="F38">
            <v>2047</v>
          </cell>
          <cell r="G38">
            <v>91983</v>
          </cell>
          <cell r="I38">
            <v>172.59649999999999</v>
          </cell>
          <cell r="J38">
            <v>5.3844459384861381</v>
          </cell>
        </row>
        <row r="39">
          <cell r="A39">
            <v>262144</v>
          </cell>
          <cell r="B39">
            <v>5</v>
          </cell>
          <cell r="D39">
            <v>0.35</v>
          </cell>
          <cell r="F39">
            <v>4095</v>
          </cell>
          <cell r="G39">
            <v>213802</v>
          </cell>
          <cell r="I39">
            <v>115.59575</v>
          </cell>
          <cell r="J39">
            <v>5.3047279935876599</v>
          </cell>
        </row>
        <row r="40">
          <cell r="A40">
            <v>262144</v>
          </cell>
          <cell r="B40">
            <v>3</v>
          </cell>
          <cell r="D40">
            <v>0.35</v>
          </cell>
          <cell r="F40">
            <v>8191</v>
          </cell>
          <cell r="G40">
            <v>489296</v>
          </cell>
          <cell r="I40">
            <v>44.494999999999997</v>
          </cell>
          <cell r="J40">
            <v>6.328945596742015</v>
          </cell>
        </row>
        <row r="41">
          <cell r="A41">
            <v>262144</v>
          </cell>
          <cell r="B41">
            <v>4</v>
          </cell>
          <cell r="D41">
            <v>0.35</v>
          </cell>
          <cell r="F41">
            <v>8191</v>
          </cell>
          <cell r="G41">
            <v>488860</v>
          </cell>
          <cell r="I41">
            <v>76.501000000000005</v>
          </cell>
          <cell r="J41">
            <v>5.8265267958035976</v>
          </cell>
        </row>
        <row r="42">
          <cell r="A42">
            <v>524288</v>
          </cell>
          <cell r="B42">
            <v>7</v>
          </cell>
          <cell r="D42">
            <v>0.35</v>
          </cell>
          <cell r="F42">
            <v>2047</v>
          </cell>
          <cell r="G42">
            <v>93346</v>
          </cell>
          <cell r="I42">
            <v>580.92574999999999</v>
          </cell>
          <cell r="J42">
            <v>6.43953795893741</v>
          </cell>
        </row>
        <row r="43">
          <cell r="A43">
            <v>524288</v>
          </cell>
          <cell r="B43">
            <v>6</v>
          </cell>
          <cell r="D43">
            <v>0.35</v>
          </cell>
          <cell r="F43">
            <v>4095</v>
          </cell>
          <cell r="G43">
            <v>216468</v>
          </cell>
          <cell r="I43">
            <v>384.27925000000005</v>
          </cell>
          <cell r="J43">
            <v>5.5802295183773998</v>
          </cell>
        </row>
        <row r="44">
          <cell r="A44">
            <v>524288</v>
          </cell>
          <cell r="B44">
            <v>5</v>
          </cell>
          <cell r="D44">
            <v>0.35</v>
          </cell>
          <cell r="F44">
            <v>8191</v>
          </cell>
          <cell r="G44">
            <v>504888</v>
          </cell>
          <cell r="I44">
            <v>258.91866666666664</v>
          </cell>
          <cell r="J44">
            <v>5.4197109654858933</v>
          </cell>
        </row>
        <row r="45">
          <cell r="A45">
            <v>524288</v>
          </cell>
          <cell r="B45">
            <v>3</v>
          </cell>
          <cell r="D45">
            <v>0.35</v>
          </cell>
          <cell r="F45">
            <v>16383</v>
          </cell>
          <cell r="G45">
            <v>829315</v>
          </cell>
          <cell r="I45">
            <v>85.02825</v>
          </cell>
          <cell r="J45">
            <v>5.7271776279167224</v>
          </cell>
        </row>
        <row r="46">
          <cell r="A46">
            <v>524288</v>
          </cell>
          <cell r="B46">
            <v>4</v>
          </cell>
          <cell r="D46">
            <v>0.35</v>
          </cell>
          <cell r="F46">
            <v>16383</v>
          </cell>
          <cell r="G46">
            <v>828464</v>
          </cell>
          <cell r="I46">
            <v>176.88024999999999</v>
          </cell>
          <cell r="J46">
            <v>5.8323162447602925</v>
          </cell>
        </row>
        <row r="47">
          <cell r="A47">
            <v>1048576</v>
          </cell>
          <cell r="B47">
            <v>7</v>
          </cell>
          <cell r="D47">
            <v>0.35</v>
          </cell>
          <cell r="F47">
            <v>4095</v>
          </cell>
          <cell r="G47">
            <v>216084</v>
          </cell>
          <cell r="I47">
            <v>1311.7460000000001</v>
          </cell>
          <cell r="J47">
            <v>6.6283364445000004</v>
          </cell>
        </row>
        <row r="48">
          <cell r="A48">
            <v>1048576</v>
          </cell>
          <cell r="B48">
            <v>6</v>
          </cell>
          <cell r="D48">
            <v>0.35</v>
          </cell>
          <cell r="F48">
            <v>8191</v>
          </cell>
          <cell r="G48">
            <v>509802</v>
          </cell>
          <cell r="I48">
            <v>870.67100000000005</v>
          </cell>
          <cell r="J48">
            <v>5.7435740109999998</v>
          </cell>
        </row>
        <row r="49">
          <cell r="A49">
            <v>1048576</v>
          </cell>
          <cell r="B49">
            <v>5</v>
          </cell>
          <cell r="D49">
            <v>0.35</v>
          </cell>
          <cell r="F49">
            <v>16383</v>
          </cell>
          <cell r="G49">
            <v>864688</v>
          </cell>
          <cell r="I49">
            <v>583.87900000000002</v>
          </cell>
          <cell r="J49">
            <v>5.2739715785000003</v>
          </cell>
        </row>
        <row r="50">
          <cell r="A50">
            <v>1048576</v>
          </cell>
          <cell r="B50">
            <v>3</v>
          </cell>
          <cell r="D50">
            <v>0.35</v>
          </cell>
          <cell r="F50">
            <v>32767</v>
          </cell>
          <cell r="G50">
            <v>1929257</v>
          </cell>
          <cell r="I50">
            <v>180.60974999999999</v>
          </cell>
          <cell r="J50">
            <v>6.0264554992514947</v>
          </cell>
        </row>
        <row r="51">
          <cell r="A51">
            <v>1048576</v>
          </cell>
          <cell r="B51">
            <v>4</v>
          </cell>
          <cell r="D51">
            <v>0.35</v>
          </cell>
          <cell r="F51">
            <v>32767</v>
          </cell>
          <cell r="G51">
            <v>1929345</v>
          </cell>
          <cell r="I51">
            <v>350.52875</v>
          </cell>
          <cell r="J51">
            <v>5.8522745486479471</v>
          </cell>
        </row>
        <row r="52">
          <cell r="A52">
            <v>65536</v>
          </cell>
          <cell r="B52">
            <v>7</v>
          </cell>
          <cell r="D52">
            <v>0.5</v>
          </cell>
          <cell r="F52">
            <v>255</v>
          </cell>
          <cell r="G52">
            <v>3400</v>
          </cell>
          <cell r="I52">
            <v>21.047000000000001</v>
          </cell>
          <cell r="J52">
            <v>4.6095050369999999</v>
          </cell>
        </row>
        <row r="53">
          <cell r="A53">
            <v>65536</v>
          </cell>
          <cell r="B53">
            <v>6</v>
          </cell>
          <cell r="D53">
            <v>0.5</v>
          </cell>
          <cell r="F53">
            <v>511</v>
          </cell>
          <cell r="G53">
            <v>8900</v>
          </cell>
          <cell r="I53">
            <v>15.4</v>
          </cell>
          <cell r="J53">
            <v>4.0569020020000002</v>
          </cell>
        </row>
        <row r="54">
          <cell r="A54">
            <v>65536</v>
          </cell>
          <cell r="B54">
            <v>5</v>
          </cell>
          <cell r="D54">
            <v>0.5</v>
          </cell>
          <cell r="F54">
            <v>1023</v>
          </cell>
          <cell r="G54">
            <v>18968</v>
          </cell>
          <cell r="I54">
            <v>10.981</v>
          </cell>
          <cell r="J54">
            <v>4.0105916730000004</v>
          </cell>
        </row>
        <row r="55">
          <cell r="A55">
            <v>65536</v>
          </cell>
          <cell r="B55">
            <v>3</v>
          </cell>
          <cell r="D55">
            <v>0.5</v>
          </cell>
          <cell r="F55">
            <v>2047</v>
          </cell>
          <cell r="G55">
            <v>33648</v>
          </cell>
          <cell r="I55">
            <v>3.9809999999999999</v>
          </cell>
          <cell r="J55">
            <v>5.2312746389999996</v>
          </cell>
        </row>
        <row r="56">
          <cell r="A56">
            <v>65536</v>
          </cell>
          <cell r="B56">
            <v>4</v>
          </cell>
          <cell r="D56">
            <v>0.5</v>
          </cell>
          <cell r="F56">
            <v>2047</v>
          </cell>
          <cell r="G56">
            <v>33648</v>
          </cell>
          <cell r="I56">
            <v>7.2190000000000003</v>
          </cell>
          <cell r="J56">
            <v>3.858364511</v>
          </cell>
        </row>
        <row r="57">
          <cell r="A57">
            <v>131072</v>
          </cell>
          <cell r="B57">
            <v>7</v>
          </cell>
          <cell r="D57">
            <v>0.5</v>
          </cell>
          <cell r="F57">
            <v>511</v>
          </cell>
          <cell r="G57">
            <v>9214</v>
          </cell>
          <cell r="I57">
            <v>54.867750000000001</v>
          </cell>
          <cell r="J57">
            <v>5.6158914487265577</v>
          </cell>
        </row>
        <row r="58">
          <cell r="A58">
            <v>131072</v>
          </cell>
          <cell r="B58">
            <v>6</v>
          </cell>
          <cell r="D58">
            <v>0.5</v>
          </cell>
          <cell r="F58">
            <v>1023</v>
          </cell>
          <cell r="G58">
            <v>19257</v>
          </cell>
          <cell r="I58">
            <v>36.552</v>
          </cell>
          <cell r="J58">
            <v>4.6638462935854426</v>
          </cell>
        </row>
        <row r="59">
          <cell r="A59">
            <v>131072</v>
          </cell>
          <cell r="B59">
            <v>5</v>
          </cell>
          <cell r="D59">
            <v>0.5</v>
          </cell>
          <cell r="F59">
            <v>2047</v>
          </cell>
          <cell r="G59">
            <v>34621</v>
          </cell>
          <cell r="I59">
            <v>23.513500000000001</v>
          </cell>
          <cell r="J59">
            <v>4.419852946340538</v>
          </cell>
        </row>
        <row r="60">
          <cell r="A60">
            <v>131072</v>
          </cell>
          <cell r="B60">
            <v>3</v>
          </cell>
          <cell r="D60">
            <v>0.5</v>
          </cell>
          <cell r="F60">
            <v>4095</v>
          </cell>
          <cell r="G60">
            <v>81938</v>
          </cell>
          <cell r="I60">
            <v>7.9902499999999996</v>
          </cell>
          <cell r="J60">
            <v>4.1519002757440155</v>
          </cell>
        </row>
        <row r="61">
          <cell r="A61">
            <v>131072</v>
          </cell>
          <cell r="B61">
            <v>4</v>
          </cell>
          <cell r="D61">
            <v>0.5</v>
          </cell>
          <cell r="F61">
            <v>4095</v>
          </cell>
          <cell r="G61">
            <v>82159</v>
          </cell>
          <cell r="I61">
            <v>15.0655</v>
          </cell>
          <cell r="J61">
            <v>4.6389932389706274</v>
          </cell>
        </row>
        <row r="62">
          <cell r="A62">
            <v>262144</v>
          </cell>
          <cell r="B62">
            <v>7</v>
          </cell>
          <cell r="D62">
            <v>0.5</v>
          </cell>
          <cell r="F62">
            <v>1023</v>
          </cell>
          <cell r="G62">
            <v>19316</v>
          </cell>
          <cell r="I62">
            <v>117.54825</v>
          </cell>
          <cell r="J62">
            <v>5.6079932135454102</v>
          </cell>
        </row>
        <row r="63">
          <cell r="A63">
            <v>262144</v>
          </cell>
          <cell r="B63">
            <v>6</v>
          </cell>
          <cell r="D63">
            <v>0.5</v>
          </cell>
          <cell r="F63">
            <v>2047</v>
          </cell>
          <cell r="G63">
            <v>34849</v>
          </cell>
          <cell r="I63">
            <v>73.176749999999998</v>
          </cell>
          <cell r="J63">
            <v>4.6142408745874004</v>
          </cell>
        </row>
        <row r="64">
          <cell r="A64">
            <v>262144</v>
          </cell>
          <cell r="B64">
            <v>5</v>
          </cell>
          <cell r="D64">
            <v>0.5</v>
          </cell>
          <cell r="F64">
            <v>4095</v>
          </cell>
          <cell r="G64">
            <v>85484</v>
          </cell>
          <cell r="I64">
            <v>50.137250000000002</v>
          </cell>
          <cell r="J64">
            <v>4.8467588802792401</v>
          </cell>
        </row>
        <row r="65">
          <cell r="A65">
            <v>262144</v>
          </cell>
          <cell r="B65">
            <v>3</v>
          </cell>
          <cell r="D65">
            <v>0.5</v>
          </cell>
          <cell r="F65">
            <v>8191</v>
          </cell>
          <cell r="G65">
            <v>173269</v>
          </cell>
          <cell r="I65">
            <v>17.939500000000002</v>
          </cell>
          <cell r="J65">
            <v>5.1156193820109301</v>
          </cell>
        </row>
        <row r="66">
          <cell r="A66">
            <v>262144</v>
          </cell>
          <cell r="B66">
            <v>4</v>
          </cell>
          <cell r="D66">
            <v>0.5</v>
          </cell>
          <cell r="F66">
            <v>8191</v>
          </cell>
          <cell r="G66">
            <v>172577</v>
          </cell>
          <cell r="I66">
            <v>33.379750000000001</v>
          </cell>
          <cell r="J66">
            <v>5.1949393150890097</v>
          </cell>
        </row>
        <row r="67">
          <cell r="A67">
            <v>524288</v>
          </cell>
          <cell r="B67">
            <v>7</v>
          </cell>
          <cell r="D67">
            <v>0.5</v>
          </cell>
          <cell r="F67">
            <v>2047</v>
          </cell>
          <cell r="G67">
            <v>35001</v>
          </cell>
          <cell r="I67">
            <v>233.87824999999998</v>
          </cell>
          <cell r="J67">
            <v>5.6265727560500398</v>
          </cell>
        </row>
        <row r="68">
          <cell r="A68">
            <v>524288</v>
          </cell>
          <cell r="B68">
            <v>6</v>
          </cell>
          <cell r="D68">
            <v>0.5</v>
          </cell>
          <cell r="F68">
            <v>4095</v>
          </cell>
          <cell r="G68">
            <v>88379</v>
          </cell>
          <cell r="I68">
            <v>162.24824999999998</v>
          </cell>
          <cell r="J68">
            <v>4.9518244863399854</v>
          </cell>
        </row>
        <row r="69">
          <cell r="A69">
            <v>524288</v>
          </cell>
          <cell r="B69">
            <v>5</v>
          </cell>
          <cell r="D69">
            <v>0.5</v>
          </cell>
          <cell r="F69">
            <v>8191</v>
          </cell>
          <cell r="G69">
            <v>179246.66666666666</v>
          </cell>
          <cell r="I69">
            <v>110.09033333333333</v>
          </cell>
          <cell r="J69">
            <v>5.0146132854223326</v>
          </cell>
        </row>
        <row r="70">
          <cell r="A70">
            <v>524288</v>
          </cell>
          <cell r="B70">
            <v>3</v>
          </cell>
          <cell r="D70">
            <v>0.5</v>
          </cell>
          <cell r="F70">
            <v>16383</v>
          </cell>
          <cell r="G70">
            <v>301705</v>
          </cell>
          <cell r="I70">
            <v>33.247999999999998</v>
          </cell>
          <cell r="J70">
            <v>5.1753468341718394</v>
          </cell>
        </row>
        <row r="71">
          <cell r="A71">
            <v>524288</v>
          </cell>
          <cell r="B71">
            <v>4</v>
          </cell>
          <cell r="D71">
            <v>0.5</v>
          </cell>
          <cell r="F71">
            <v>16383</v>
          </cell>
          <cell r="G71">
            <v>302007</v>
          </cell>
          <cell r="I71">
            <v>70.6755</v>
          </cell>
          <cell r="J71">
            <v>5.5120584871558798</v>
          </cell>
        </row>
        <row r="72">
          <cell r="A72">
            <v>1048576</v>
          </cell>
          <cell r="B72">
            <v>7</v>
          </cell>
          <cell r="D72">
            <v>0.5</v>
          </cell>
          <cell r="F72">
            <v>4095</v>
          </cell>
          <cell r="G72">
            <v>90658</v>
          </cell>
          <cell r="I72">
            <v>554.91550000000007</v>
          </cell>
          <cell r="J72">
            <v>6.0595097740000003</v>
          </cell>
        </row>
        <row r="73">
          <cell r="A73">
            <v>1048576</v>
          </cell>
          <cell r="B73">
            <v>6</v>
          </cell>
          <cell r="D73">
            <v>0.5</v>
          </cell>
          <cell r="F73">
            <v>8191</v>
          </cell>
          <cell r="G73">
            <v>180236</v>
          </cell>
          <cell r="I73">
            <v>356.09399999999999</v>
          </cell>
          <cell r="J73">
            <v>5.0283964910000005</v>
          </cell>
        </row>
        <row r="74">
          <cell r="A74">
            <v>1048576</v>
          </cell>
          <cell r="B74">
            <v>5</v>
          </cell>
          <cell r="D74">
            <v>0.5</v>
          </cell>
          <cell r="F74">
            <v>16383</v>
          </cell>
          <cell r="G74">
            <v>310390</v>
          </cell>
          <cell r="I74">
            <v>227.23000000000002</v>
          </cell>
          <cell r="J74">
            <v>4.9878763085000006</v>
          </cell>
        </row>
        <row r="75">
          <cell r="A75">
            <v>1048576</v>
          </cell>
          <cell r="B75">
            <v>3</v>
          </cell>
          <cell r="D75">
            <v>0.5</v>
          </cell>
          <cell r="F75">
            <v>32767</v>
          </cell>
          <cell r="G75">
            <v>721022</v>
          </cell>
          <cell r="I75">
            <v>71.55749999999999</v>
          </cell>
          <cell r="J75">
            <v>5.7237354459478142</v>
          </cell>
        </row>
        <row r="76">
          <cell r="A76">
            <v>1048576</v>
          </cell>
          <cell r="B76">
            <v>4</v>
          </cell>
          <cell r="D76">
            <v>0.5</v>
          </cell>
          <cell r="F76">
            <v>32767</v>
          </cell>
          <cell r="G76">
            <v>721563</v>
          </cell>
          <cell r="I76">
            <v>139.93774999999999</v>
          </cell>
          <cell r="J76">
            <v>5.5800811559139252</v>
          </cell>
        </row>
        <row r="77">
          <cell r="A77">
            <v>65536</v>
          </cell>
          <cell r="B77">
            <v>7</v>
          </cell>
          <cell r="D77">
            <v>0.65</v>
          </cell>
          <cell r="F77">
            <v>255</v>
          </cell>
          <cell r="G77">
            <v>1408</v>
          </cell>
          <cell r="I77">
            <v>10.77</v>
          </cell>
          <cell r="J77">
            <v>3.3931947070000001</v>
          </cell>
        </row>
        <row r="78">
          <cell r="A78">
            <v>65536</v>
          </cell>
          <cell r="B78">
            <v>6</v>
          </cell>
          <cell r="D78">
            <v>0.65</v>
          </cell>
          <cell r="F78">
            <v>511</v>
          </cell>
          <cell r="G78">
            <v>3468</v>
          </cell>
          <cell r="I78">
            <v>7.992</v>
          </cell>
          <cell r="J78">
            <v>2.861439313</v>
          </cell>
        </row>
        <row r="79">
          <cell r="A79">
            <v>65536</v>
          </cell>
          <cell r="B79">
            <v>5</v>
          </cell>
          <cell r="D79">
            <v>0.65</v>
          </cell>
          <cell r="F79">
            <v>1023</v>
          </cell>
          <cell r="G79">
            <v>8264</v>
          </cell>
          <cell r="I79">
            <v>5.6550000000000002</v>
          </cell>
          <cell r="J79">
            <v>2.911946447</v>
          </cell>
        </row>
        <row r="80">
          <cell r="A80">
            <v>65536</v>
          </cell>
          <cell r="B80">
            <v>3</v>
          </cell>
          <cell r="D80">
            <v>0.65</v>
          </cell>
          <cell r="F80">
            <v>2047</v>
          </cell>
          <cell r="G80">
            <v>12056</v>
          </cell>
          <cell r="I80">
            <v>1.696</v>
          </cell>
          <cell r="J80">
            <v>3.2932038829999999</v>
          </cell>
        </row>
        <row r="81">
          <cell r="A81">
            <v>65536</v>
          </cell>
          <cell r="B81">
            <v>4</v>
          </cell>
          <cell r="D81">
            <v>0.65</v>
          </cell>
          <cell r="F81">
            <v>2047</v>
          </cell>
          <cell r="G81">
            <v>12192</v>
          </cell>
          <cell r="I81">
            <v>4.0579999999999998</v>
          </cell>
          <cell r="J81">
            <v>4.544232923</v>
          </cell>
        </row>
        <row r="82">
          <cell r="A82">
            <v>131072</v>
          </cell>
          <cell r="B82">
            <v>7</v>
          </cell>
          <cell r="D82">
            <v>0.65</v>
          </cell>
          <cell r="F82">
            <v>511</v>
          </cell>
          <cell r="G82">
            <v>3636</v>
          </cell>
          <cell r="I82">
            <v>24.8705</v>
          </cell>
          <cell r="J82">
            <v>4.1748546021008925</v>
          </cell>
        </row>
        <row r="83">
          <cell r="A83">
            <v>131072</v>
          </cell>
          <cell r="B83">
            <v>6</v>
          </cell>
          <cell r="D83">
            <v>0.65</v>
          </cell>
          <cell r="F83">
            <v>1023</v>
          </cell>
          <cell r="G83">
            <v>8506</v>
          </cell>
          <cell r="I83">
            <v>17.513249999999999</v>
          </cell>
          <cell r="J83">
            <v>3.6180531290773175</v>
          </cell>
        </row>
        <row r="84">
          <cell r="A84">
            <v>131072</v>
          </cell>
          <cell r="B84">
            <v>5</v>
          </cell>
          <cell r="D84">
            <v>0.65</v>
          </cell>
          <cell r="F84">
            <v>2047</v>
          </cell>
          <cell r="G84">
            <v>12386</v>
          </cell>
          <cell r="I84">
            <v>11.1425</v>
          </cell>
          <cell r="J84">
            <v>3.5581245360425848</v>
          </cell>
        </row>
        <row r="85">
          <cell r="A85">
            <v>131072</v>
          </cell>
          <cell r="B85">
            <v>3</v>
          </cell>
          <cell r="D85">
            <v>0.65</v>
          </cell>
          <cell r="F85">
            <v>4095</v>
          </cell>
          <cell r="G85">
            <v>30043</v>
          </cell>
          <cell r="I85">
            <v>3.4917499999999997</v>
          </cell>
          <cell r="J85">
            <v>4.2204692270060375</v>
          </cell>
        </row>
        <row r="86">
          <cell r="A86">
            <v>131072</v>
          </cell>
          <cell r="B86">
            <v>4</v>
          </cell>
          <cell r="D86">
            <v>0.65</v>
          </cell>
          <cell r="F86">
            <v>4095</v>
          </cell>
          <cell r="G86">
            <v>30110</v>
          </cell>
          <cell r="I86">
            <v>7.0209999999999999</v>
          </cell>
          <cell r="J86">
            <v>3.4205567076842098</v>
          </cell>
        </row>
        <row r="87">
          <cell r="A87">
            <v>262144</v>
          </cell>
          <cell r="B87">
            <v>7</v>
          </cell>
          <cell r="D87">
            <v>0.65</v>
          </cell>
          <cell r="F87">
            <v>1023</v>
          </cell>
          <cell r="G87">
            <v>8690</v>
          </cell>
          <cell r="I87">
            <v>55.355999999999995</v>
          </cell>
          <cell r="J87">
            <v>4.5918765726290571</v>
          </cell>
        </row>
        <row r="88">
          <cell r="A88">
            <v>262144</v>
          </cell>
          <cell r="B88">
            <v>6</v>
          </cell>
          <cell r="D88">
            <v>0.65</v>
          </cell>
          <cell r="F88">
            <v>2047</v>
          </cell>
          <cell r="G88">
            <v>12295</v>
          </cell>
          <cell r="I88">
            <v>33.099499999999999</v>
          </cell>
          <cell r="J88">
            <v>3.58431080472542</v>
          </cell>
        </row>
        <row r="89">
          <cell r="A89">
            <v>262144</v>
          </cell>
          <cell r="B89">
            <v>5</v>
          </cell>
          <cell r="D89">
            <v>0.65</v>
          </cell>
          <cell r="F89">
            <v>4095</v>
          </cell>
          <cell r="G89">
            <v>30688</v>
          </cell>
          <cell r="I89">
            <v>22.45975</v>
          </cell>
          <cell r="J89">
            <v>4.0777947930819076</v>
          </cell>
        </row>
        <row r="90">
          <cell r="A90">
            <v>262144</v>
          </cell>
          <cell r="B90">
            <v>3</v>
          </cell>
          <cell r="D90">
            <v>0.65</v>
          </cell>
          <cell r="F90">
            <v>8191</v>
          </cell>
          <cell r="G90">
            <v>68289</v>
          </cell>
          <cell r="I90">
            <v>7.6622500000000002</v>
          </cell>
          <cell r="J90">
            <v>4.035912802726985</v>
          </cell>
        </row>
        <row r="91">
          <cell r="A91">
            <v>262144</v>
          </cell>
          <cell r="B91">
            <v>4</v>
          </cell>
          <cell r="D91">
            <v>0.65</v>
          </cell>
          <cell r="F91">
            <v>8191</v>
          </cell>
          <cell r="G91">
            <v>68563</v>
          </cell>
          <cell r="I91">
            <v>14.655750000000001</v>
          </cell>
          <cell r="J91">
            <v>4.36185401347129</v>
          </cell>
        </row>
        <row r="92">
          <cell r="A92">
            <v>524288</v>
          </cell>
          <cell r="B92">
            <v>7</v>
          </cell>
          <cell r="D92">
            <v>0.65</v>
          </cell>
          <cell r="F92">
            <v>2047</v>
          </cell>
          <cell r="G92">
            <v>12420</v>
          </cell>
          <cell r="I92">
            <v>99.637249999999995</v>
          </cell>
          <cell r="J92">
            <v>4.4207560199709102</v>
          </cell>
        </row>
        <row r="93">
          <cell r="A93">
            <v>524288</v>
          </cell>
          <cell r="B93">
            <v>6</v>
          </cell>
          <cell r="D93">
            <v>0.65</v>
          </cell>
          <cell r="F93">
            <v>4095</v>
          </cell>
          <cell r="G93">
            <v>31257</v>
          </cell>
          <cell r="I93">
            <v>69.487250000000003</v>
          </cell>
          <cell r="J93">
            <v>3.90741244730871</v>
          </cell>
        </row>
        <row r="94">
          <cell r="A94">
            <v>524288</v>
          </cell>
          <cell r="B94">
            <v>5</v>
          </cell>
          <cell r="D94">
            <v>0.65</v>
          </cell>
          <cell r="F94">
            <v>8191</v>
          </cell>
          <cell r="G94">
            <v>71085</v>
          </cell>
          <cell r="I94">
            <v>47.266750000000002</v>
          </cell>
          <cell r="J94">
            <v>4.4730190864996455</v>
          </cell>
        </row>
        <row r="95">
          <cell r="A95">
            <v>524288</v>
          </cell>
          <cell r="B95">
            <v>3</v>
          </cell>
          <cell r="D95">
            <v>0.65</v>
          </cell>
          <cell r="F95">
            <v>16383</v>
          </cell>
          <cell r="G95">
            <v>101141</v>
          </cell>
          <cell r="I95">
            <v>14.129250000000001</v>
          </cell>
          <cell r="J95">
            <v>4.2539761046318141</v>
          </cell>
        </row>
        <row r="96">
          <cell r="A96">
            <v>524288</v>
          </cell>
          <cell r="B96">
            <v>4</v>
          </cell>
          <cell r="D96">
            <v>0.65</v>
          </cell>
          <cell r="F96">
            <v>16383</v>
          </cell>
          <cell r="G96">
            <v>100406</v>
          </cell>
          <cell r="I96">
            <v>31.177500000000002</v>
          </cell>
          <cell r="J96">
            <v>4.9129400761383621</v>
          </cell>
        </row>
        <row r="97">
          <cell r="A97">
            <v>1048576</v>
          </cell>
          <cell r="B97">
            <v>7</v>
          </cell>
          <cell r="D97">
            <v>0.65</v>
          </cell>
          <cell r="F97">
            <v>4095</v>
          </cell>
          <cell r="G97">
            <v>31706</v>
          </cell>
          <cell r="I97">
            <v>221.90199999999999</v>
          </cell>
          <cell r="J97">
            <v>4.8161494180000002</v>
          </cell>
        </row>
        <row r="98">
          <cell r="A98">
            <v>1048576</v>
          </cell>
          <cell r="B98">
            <v>6</v>
          </cell>
          <cell r="D98">
            <v>0.65</v>
          </cell>
          <cell r="F98">
            <v>8191</v>
          </cell>
          <cell r="G98">
            <v>73222</v>
          </cell>
          <cell r="I98">
            <v>151.685</v>
          </cell>
          <cell r="J98">
            <v>4.1074437600000007</v>
          </cell>
        </row>
        <row r="99">
          <cell r="A99">
            <v>1048576</v>
          </cell>
          <cell r="B99">
            <v>5</v>
          </cell>
          <cell r="D99">
            <v>0.65</v>
          </cell>
          <cell r="F99">
            <v>16383</v>
          </cell>
          <cell r="G99">
            <v>103414</v>
          </cell>
          <cell r="I99">
            <v>97.500499999999988</v>
          </cell>
          <cell r="J99">
            <v>4.3834399550000001</v>
          </cell>
        </row>
        <row r="100">
          <cell r="A100">
            <v>1048576</v>
          </cell>
          <cell r="B100">
            <v>3</v>
          </cell>
          <cell r="D100">
            <v>0.65</v>
          </cell>
          <cell r="F100">
            <v>32767</v>
          </cell>
          <cell r="G100">
            <v>250623</v>
          </cell>
          <cell r="I100">
            <v>29.8215</v>
          </cell>
          <cell r="J100">
            <v>5.1155671573188446</v>
          </cell>
        </row>
        <row r="101">
          <cell r="A101">
            <v>1048576</v>
          </cell>
          <cell r="B101">
            <v>4</v>
          </cell>
          <cell r="D101">
            <v>0.65</v>
          </cell>
          <cell r="F101">
            <v>32767</v>
          </cell>
          <cell r="G101">
            <v>250092</v>
          </cell>
          <cell r="I101">
            <v>59.082249999999995</v>
          </cell>
          <cell r="J101">
            <v>4.9982858791192699</v>
          </cell>
        </row>
        <row r="102">
          <cell r="A102">
            <v>65536</v>
          </cell>
          <cell r="B102">
            <v>7</v>
          </cell>
          <cell r="D102">
            <v>0.8</v>
          </cell>
          <cell r="F102">
            <v>255</v>
          </cell>
          <cell r="G102">
            <v>904</v>
          </cell>
          <cell r="I102">
            <v>7.8109999999999999</v>
          </cell>
          <cell r="J102">
            <v>2.6971685079999999</v>
          </cell>
        </row>
        <row r="103">
          <cell r="A103">
            <v>65536</v>
          </cell>
          <cell r="B103">
            <v>6</v>
          </cell>
          <cell r="D103">
            <v>0.8</v>
          </cell>
          <cell r="F103">
            <v>511</v>
          </cell>
          <cell r="G103">
            <v>1968</v>
          </cell>
          <cell r="I103">
            <v>5.3419999999999996</v>
          </cell>
          <cell r="J103">
            <v>2.9064200219999998</v>
          </cell>
        </row>
        <row r="104">
          <cell r="A104">
            <v>65536</v>
          </cell>
          <cell r="B104">
            <v>5</v>
          </cell>
          <cell r="D104">
            <v>0.8</v>
          </cell>
          <cell r="F104">
            <v>1023</v>
          </cell>
          <cell r="G104">
            <v>4176</v>
          </cell>
          <cell r="I104">
            <v>3.569</v>
          </cell>
          <cell r="J104">
            <v>3.2833486660000002</v>
          </cell>
        </row>
        <row r="105">
          <cell r="A105">
            <v>65536</v>
          </cell>
          <cell r="B105">
            <v>3</v>
          </cell>
          <cell r="D105">
            <v>0.8</v>
          </cell>
          <cell r="F105">
            <v>2047</v>
          </cell>
          <cell r="G105">
            <v>6888</v>
          </cell>
          <cell r="I105">
            <v>1.1100000000000001</v>
          </cell>
          <cell r="J105">
            <v>2.875647668</v>
          </cell>
        </row>
        <row r="106">
          <cell r="A106">
            <v>65536</v>
          </cell>
          <cell r="B106">
            <v>4</v>
          </cell>
          <cell r="D106">
            <v>0.8</v>
          </cell>
          <cell r="F106">
            <v>2047</v>
          </cell>
          <cell r="G106">
            <v>6740</v>
          </cell>
          <cell r="I106">
            <v>2.407</v>
          </cell>
          <cell r="J106">
            <v>3.292749658</v>
          </cell>
        </row>
        <row r="107">
          <cell r="A107">
            <v>131072</v>
          </cell>
          <cell r="B107">
            <v>7</v>
          </cell>
          <cell r="D107">
            <v>0.8</v>
          </cell>
          <cell r="F107">
            <v>511</v>
          </cell>
          <cell r="G107">
            <v>1901</v>
          </cell>
          <cell r="I107">
            <v>16.253</v>
          </cell>
          <cell r="J107">
            <v>3.4258531391642753</v>
          </cell>
        </row>
        <row r="108">
          <cell r="A108">
            <v>131072</v>
          </cell>
          <cell r="B108">
            <v>6</v>
          </cell>
          <cell r="D108">
            <v>0.8</v>
          </cell>
          <cell r="F108">
            <v>1023</v>
          </cell>
          <cell r="G108">
            <v>4458</v>
          </cell>
          <cell r="I108">
            <v>11.2255</v>
          </cell>
          <cell r="J108">
            <v>2.8890571250781649</v>
          </cell>
        </row>
        <row r="109">
          <cell r="A109">
            <v>131072</v>
          </cell>
          <cell r="B109">
            <v>5</v>
          </cell>
          <cell r="D109">
            <v>0.8</v>
          </cell>
          <cell r="F109">
            <v>2047</v>
          </cell>
          <cell r="G109">
            <v>7388</v>
          </cell>
          <cell r="I109">
            <v>7.5577500000000004</v>
          </cell>
          <cell r="J109">
            <v>2.9007684208652726</v>
          </cell>
        </row>
        <row r="110">
          <cell r="A110">
            <v>131072</v>
          </cell>
          <cell r="B110">
            <v>3</v>
          </cell>
          <cell r="D110">
            <v>0.8</v>
          </cell>
          <cell r="F110">
            <v>4095</v>
          </cell>
          <cell r="G110">
            <v>14438</v>
          </cell>
          <cell r="I110">
            <v>2.2702500000000003</v>
          </cell>
          <cell r="J110">
            <v>3.9085580928836423</v>
          </cell>
        </row>
        <row r="111">
          <cell r="A111">
            <v>131072</v>
          </cell>
          <cell r="B111">
            <v>4</v>
          </cell>
          <cell r="D111">
            <v>0.8</v>
          </cell>
          <cell r="F111">
            <v>4095</v>
          </cell>
          <cell r="G111">
            <v>14344</v>
          </cell>
          <cell r="I111">
            <v>4.6187500000000004</v>
          </cell>
          <cell r="J111">
            <v>4.2055160765223176</v>
          </cell>
        </row>
        <row r="112">
          <cell r="A112">
            <v>262144</v>
          </cell>
          <cell r="B112">
            <v>7</v>
          </cell>
          <cell r="D112">
            <v>0.8</v>
          </cell>
          <cell r="F112">
            <v>1023</v>
          </cell>
          <cell r="G112">
            <v>4740</v>
          </cell>
          <cell r="I112">
            <v>33.677</v>
          </cell>
          <cell r="J112">
            <v>3.7318294673888874</v>
          </cell>
        </row>
        <row r="113">
          <cell r="A113">
            <v>262144</v>
          </cell>
          <cell r="B113">
            <v>6</v>
          </cell>
          <cell r="D113">
            <v>0.8</v>
          </cell>
          <cell r="F113">
            <v>2047</v>
          </cell>
          <cell r="G113">
            <v>7585</v>
          </cell>
          <cell r="I113">
            <v>21.832000000000001</v>
          </cell>
          <cell r="J113">
            <v>2.9962663216364978</v>
          </cell>
        </row>
        <row r="114">
          <cell r="A114">
            <v>262144</v>
          </cell>
          <cell r="B114">
            <v>5</v>
          </cell>
          <cell r="D114">
            <v>0.8</v>
          </cell>
          <cell r="F114">
            <v>4095</v>
          </cell>
          <cell r="G114">
            <v>15102</v>
          </cell>
          <cell r="I114">
            <v>14.516</v>
          </cell>
          <cell r="J114">
            <v>3.5055677005042778</v>
          </cell>
        </row>
        <row r="115">
          <cell r="A115">
            <v>262144</v>
          </cell>
          <cell r="B115">
            <v>3</v>
          </cell>
          <cell r="D115">
            <v>0.8</v>
          </cell>
          <cell r="F115">
            <v>8191</v>
          </cell>
          <cell r="G115">
            <v>32382</v>
          </cell>
          <cell r="I115">
            <v>4.6647499999999997</v>
          </cell>
          <cell r="J115">
            <v>4.3833524639945072</v>
          </cell>
        </row>
        <row r="116">
          <cell r="A116">
            <v>262144</v>
          </cell>
          <cell r="B116">
            <v>4</v>
          </cell>
          <cell r="D116">
            <v>0.8</v>
          </cell>
          <cell r="F116">
            <v>8191</v>
          </cell>
          <cell r="G116">
            <v>32400</v>
          </cell>
          <cell r="I116">
            <v>9.4894999999999996</v>
          </cell>
          <cell r="J116">
            <v>3.5286164171119401</v>
          </cell>
        </row>
        <row r="117">
          <cell r="A117">
            <v>524288</v>
          </cell>
          <cell r="B117">
            <v>7</v>
          </cell>
          <cell r="D117">
            <v>0.8</v>
          </cell>
          <cell r="F117">
            <v>2047</v>
          </cell>
          <cell r="G117">
            <v>7654</v>
          </cell>
          <cell r="I117">
            <v>65.124750000000006</v>
          </cell>
          <cell r="J117">
            <v>3.7601618283490001</v>
          </cell>
        </row>
        <row r="118">
          <cell r="A118">
            <v>524288</v>
          </cell>
          <cell r="B118">
            <v>6</v>
          </cell>
          <cell r="D118">
            <v>0.8</v>
          </cell>
          <cell r="F118">
            <v>4095</v>
          </cell>
          <cell r="G118">
            <v>15365</v>
          </cell>
          <cell r="I118">
            <v>43.746500000000005</v>
          </cell>
          <cell r="J118">
            <v>3.2306273346094674</v>
          </cell>
        </row>
        <row r="119">
          <cell r="A119">
            <v>524288</v>
          </cell>
          <cell r="B119">
            <v>5</v>
          </cell>
          <cell r="D119">
            <v>0.8</v>
          </cell>
          <cell r="F119">
            <v>8191</v>
          </cell>
          <cell r="G119">
            <v>34038</v>
          </cell>
          <cell r="I119">
            <v>29.422750000000001</v>
          </cell>
          <cell r="J119">
            <v>3.8925815786196827</v>
          </cell>
        </row>
        <row r="120">
          <cell r="A120">
            <v>524288</v>
          </cell>
          <cell r="B120">
            <v>3</v>
          </cell>
          <cell r="D120">
            <v>0.8</v>
          </cell>
          <cell r="F120">
            <v>16383</v>
          </cell>
          <cell r="G120">
            <v>54582</v>
          </cell>
          <cell r="I120">
            <v>9.1110000000000007</v>
          </cell>
          <cell r="J120">
            <v>3.4089510223089103</v>
          </cell>
        </row>
        <row r="121">
          <cell r="A121">
            <v>524288</v>
          </cell>
          <cell r="B121">
            <v>4</v>
          </cell>
          <cell r="D121">
            <v>0.8</v>
          </cell>
          <cell r="F121">
            <v>16383</v>
          </cell>
          <cell r="G121">
            <v>54681</v>
          </cell>
          <cell r="I121">
            <v>20.131999999999998</v>
          </cell>
          <cell r="J121">
            <v>4.4566075165866881</v>
          </cell>
        </row>
        <row r="122">
          <cell r="A122">
            <v>1048576</v>
          </cell>
          <cell r="B122">
            <v>7</v>
          </cell>
          <cell r="D122">
            <v>0.8</v>
          </cell>
          <cell r="F122">
            <v>4095</v>
          </cell>
          <cell r="G122">
            <v>15648</v>
          </cell>
          <cell r="I122">
            <v>129.626</v>
          </cell>
          <cell r="J122">
            <v>3.8514733144999997</v>
          </cell>
        </row>
        <row r="123">
          <cell r="A123">
            <v>1048576</v>
          </cell>
          <cell r="B123">
            <v>6</v>
          </cell>
          <cell r="D123">
            <v>0.8</v>
          </cell>
          <cell r="F123">
            <v>8191</v>
          </cell>
          <cell r="G123">
            <v>35932</v>
          </cell>
          <cell r="I123">
            <v>88.528999999999996</v>
          </cell>
          <cell r="J123">
            <v>3.3067573970000002</v>
          </cell>
        </row>
        <row r="124">
          <cell r="A124">
            <v>1048576</v>
          </cell>
          <cell r="B124">
            <v>5</v>
          </cell>
          <cell r="D124">
            <v>0.8</v>
          </cell>
          <cell r="F124">
            <v>16383</v>
          </cell>
          <cell r="G124">
            <v>59830</v>
          </cell>
          <cell r="I124">
            <v>61.036500000000004</v>
          </cell>
          <cell r="J124">
            <v>3.9625282225000005</v>
          </cell>
        </row>
        <row r="125">
          <cell r="A125">
            <v>1048576</v>
          </cell>
          <cell r="B125">
            <v>3</v>
          </cell>
          <cell r="D125">
            <v>0.8</v>
          </cell>
          <cell r="F125">
            <v>32767</v>
          </cell>
          <cell r="G125">
            <v>116024</v>
          </cell>
          <cell r="I125">
            <v>18.088999999999999</v>
          </cell>
          <cell r="J125">
            <v>4.5606794301013771</v>
          </cell>
        </row>
        <row r="126">
          <cell r="A126">
            <v>1048576</v>
          </cell>
          <cell r="B126">
            <v>4</v>
          </cell>
          <cell r="D126">
            <v>0.8</v>
          </cell>
          <cell r="F126">
            <v>32767</v>
          </cell>
          <cell r="G126">
            <v>115638</v>
          </cell>
          <cell r="I126">
            <v>37.275500000000001</v>
          </cell>
          <cell r="J126">
            <v>4.4939239635930921</v>
          </cell>
        </row>
        <row r="127">
          <cell r="A127">
            <v>65536</v>
          </cell>
          <cell r="B127">
            <v>7</v>
          </cell>
          <cell r="D127">
            <v>0.95</v>
          </cell>
          <cell r="F127">
            <v>255</v>
          </cell>
          <cell r="G127">
            <v>256</v>
          </cell>
          <cell r="I127">
            <v>4.5540000000000003</v>
          </cell>
          <cell r="J127">
            <v>2.4197662059999998</v>
          </cell>
        </row>
        <row r="128">
          <cell r="A128">
            <v>65536</v>
          </cell>
          <cell r="B128">
            <v>6</v>
          </cell>
          <cell r="D128">
            <v>0.95</v>
          </cell>
          <cell r="F128">
            <v>511</v>
          </cell>
          <cell r="G128">
            <v>1024</v>
          </cell>
          <cell r="I128">
            <v>3.089</v>
          </cell>
          <cell r="J128">
            <v>2.1085324230000002</v>
          </cell>
        </row>
        <row r="129">
          <cell r="A129">
            <v>65536</v>
          </cell>
          <cell r="B129">
            <v>5</v>
          </cell>
          <cell r="D129">
            <v>0.95</v>
          </cell>
          <cell r="F129">
            <v>1023</v>
          </cell>
          <cell r="G129">
            <v>3072</v>
          </cell>
          <cell r="I129">
            <v>2.3719999999999999</v>
          </cell>
          <cell r="J129">
            <v>2.8071005919999998</v>
          </cell>
        </row>
        <row r="130">
          <cell r="A130">
            <v>65536</v>
          </cell>
          <cell r="B130">
            <v>3</v>
          </cell>
          <cell r="D130">
            <v>0.95</v>
          </cell>
          <cell r="F130">
            <v>2047</v>
          </cell>
          <cell r="G130">
            <v>2052</v>
          </cell>
          <cell r="I130">
            <v>0.69899999999999995</v>
          </cell>
          <cell r="J130">
            <v>2.299342105</v>
          </cell>
        </row>
        <row r="131">
          <cell r="A131">
            <v>65536</v>
          </cell>
          <cell r="B131">
            <v>4</v>
          </cell>
          <cell r="D131">
            <v>0.95</v>
          </cell>
          <cell r="F131">
            <v>2047</v>
          </cell>
          <cell r="G131">
            <v>2052</v>
          </cell>
          <cell r="I131">
            <v>1.6559999999999999</v>
          </cell>
          <cell r="J131">
            <v>2.6752827140000002</v>
          </cell>
        </row>
        <row r="132">
          <cell r="A132">
            <v>131072</v>
          </cell>
          <cell r="B132">
            <v>7</v>
          </cell>
          <cell r="D132">
            <v>0.95</v>
          </cell>
          <cell r="F132">
            <v>511</v>
          </cell>
          <cell r="G132">
            <v>1024</v>
          </cell>
          <cell r="I132">
            <v>9.3732500000000005</v>
          </cell>
          <cell r="J132">
            <v>2.4738511673436752</v>
          </cell>
        </row>
        <row r="133">
          <cell r="A133">
            <v>131072</v>
          </cell>
          <cell r="B133">
            <v>6</v>
          </cell>
          <cell r="D133">
            <v>0.95</v>
          </cell>
          <cell r="F133">
            <v>1023</v>
          </cell>
          <cell r="G133">
            <v>3072</v>
          </cell>
          <cell r="I133">
            <v>7.3694999999999995</v>
          </cell>
          <cell r="J133">
            <v>2.1712061161666649</v>
          </cell>
        </row>
        <row r="134">
          <cell r="A134">
            <v>131072</v>
          </cell>
          <cell r="B134">
            <v>5</v>
          </cell>
          <cell r="D134">
            <v>0.95</v>
          </cell>
          <cell r="F134">
            <v>2047</v>
          </cell>
          <cell r="G134">
            <v>2048</v>
          </cell>
          <cell r="I134">
            <v>4.8892499999999997</v>
          </cell>
          <cell r="J134">
            <v>3.0167728808522378</v>
          </cell>
        </row>
        <row r="135">
          <cell r="A135">
            <v>131072</v>
          </cell>
          <cell r="B135">
            <v>3</v>
          </cell>
          <cell r="D135">
            <v>0.95</v>
          </cell>
          <cell r="F135">
            <v>4095</v>
          </cell>
          <cell r="G135">
            <v>8192</v>
          </cell>
          <cell r="I135">
            <v>1.5485</v>
          </cell>
          <cell r="J135">
            <v>3.4198424527500002</v>
          </cell>
        </row>
        <row r="136">
          <cell r="A136">
            <v>131072</v>
          </cell>
          <cell r="B136">
            <v>4</v>
          </cell>
          <cell r="D136">
            <v>0.95</v>
          </cell>
          <cell r="F136">
            <v>4095</v>
          </cell>
          <cell r="G136">
            <v>8192</v>
          </cell>
          <cell r="I136">
            <v>2.9047499999999999</v>
          </cell>
          <cell r="J136">
            <v>3.2872301393841052</v>
          </cell>
        </row>
        <row r="137">
          <cell r="A137">
            <v>262144</v>
          </cell>
          <cell r="B137">
            <v>7</v>
          </cell>
          <cell r="D137">
            <v>0.95</v>
          </cell>
          <cell r="F137">
            <v>1023</v>
          </cell>
          <cell r="G137">
            <v>3072</v>
          </cell>
          <cell r="I137">
            <v>22.02525</v>
          </cell>
          <cell r="J137">
            <v>3.0112826656423524</v>
          </cell>
        </row>
        <row r="138">
          <cell r="A138">
            <v>262144</v>
          </cell>
          <cell r="B138">
            <v>6</v>
          </cell>
          <cell r="D138">
            <v>0.95</v>
          </cell>
          <cell r="F138">
            <v>2047</v>
          </cell>
          <cell r="G138">
            <v>2048</v>
          </cell>
          <cell r="I138">
            <v>13.206</v>
          </cell>
          <cell r="J138">
            <v>2.2418433381326173</v>
          </cell>
        </row>
        <row r="139">
          <cell r="A139">
            <v>262144</v>
          </cell>
          <cell r="B139">
            <v>5</v>
          </cell>
          <cell r="D139">
            <v>0.95</v>
          </cell>
          <cell r="F139">
            <v>4095</v>
          </cell>
          <cell r="G139">
            <v>8192</v>
          </cell>
          <cell r="I139">
            <v>8.8205000000000009</v>
          </cell>
          <cell r="J139">
            <v>2.7412951254484774</v>
          </cell>
        </row>
        <row r="140">
          <cell r="A140">
            <v>262144</v>
          </cell>
          <cell r="B140">
            <v>3</v>
          </cell>
          <cell r="D140">
            <v>0.95</v>
          </cell>
          <cell r="F140">
            <v>8191</v>
          </cell>
          <cell r="G140">
            <v>24491</v>
          </cell>
          <cell r="I140">
            <v>3.4892499999999997</v>
          </cell>
          <cell r="J140">
            <v>4.1864450618920781</v>
          </cell>
        </row>
        <row r="141">
          <cell r="A141">
            <v>262144</v>
          </cell>
          <cell r="B141">
            <v>4</v>
          </cell>
          <cell r="D141">
            <v>0.95</v>
          </cell>
          <cell r="F141">
            <v>8191</v>
          </cell>
          <cell r="G141">
            <v>24460</v>
          </cell>
          <cell r="I141">
            <v>6.1247500000000006</v>
          </cell>
          <cell r="J141">
            <v>3.9850463567252477</v>
          </cell>
        </row>
        <row r="142">
          <cell r="A142">
            <v>524288</v>
          </cell>
          <cell r="B142">
            <v>7</v>
          </cell>
          <cell r="D142">
            <v>0.95</v>
          </cell>
          <cell r="F142">
            <v>2047</v>
          </cell>
          <cell r="G142">
            <v>2048</v>
          </cell>
          <cell r="I142">
            <v>33.785499999999999</v>
          </cell>
          <cell r="J142">
            <v>2.6029924430033899</v>
          </cell>
        </row>
        <row r="143">
          <cell r="A143">
            <v>524288</v>
          </cell>
          <cell r="B143">
            <v>6</v>
          </cell>
          <cell r="D143">
            <v>0.95</v>
          </cell>
          <cell r="F143">
            <v>4095</v>
          </cell>
          <cell r="G143">
            <v>8192</v>
          </cell>
          <cell r="I143">
            <v>25.043500000000002</v>
          </cell>
          <cell r="J143">
            <v>2.3936068355738724</v>
          </cell>
        </row>
        <row r="144">
          <cell r="A144">
            <v>524288</v>
          </cell>
          <cell r="B144">
            <v>5</v>
          </cell>
          <cell r="D144">
            <v>0.95</v>
          </cell>
          <cell r="F144">
            <v>8191</v>
          </cell>
          <cell r="G144">
            <v>24574</v>
          </cell>
          <cell r="I144">
            <v>18.518999999999998</v>
          </cell>
          <cell r="J144">
            <v>3.34659044423679</v>
          </cell>
        </row>
        <row r="145">
          <cell r="A145">
            <v>524288</v>
          </cell>
          <cell r="B145">
            <v>3</v>
          </cell>
          <cell r="D145">
            <v>0.95</v>
          </cell>
          <cell r="F145">
            <v>16383</v>
          </cell>
          <cell r="G145">
            <v>16397</v>
          </cell>
          <cell r="I145">
            <v>5.8522499999999997</v>
          </cell>
          <cell r="J145">
            <v>4.1625053145053323</v>
          </cell>
        </row>
        <row r="146">
          <cell r="A146">
            <v>524288</v>
          </cell>
          <cell r="B146">
            <v>4</v>
          </cell>
          <cell r="D146">
            <v>0.95</v>
          </cell>
          <cell r="F146">
            <v>16383</v>
          </cell>
          <cell r="G146">
            <v>16402</v>
          </cell>
          <cell r="I146">
            <v>13.762499999999999</v>
          </cell>
          <cell r="J146">
            <v>3.9182410633546327</v>
          </cell>
        </row>
        <row r="147">
          <cell r="A147">
            <v>1048576</v>
          </cell>
          <cell r="B147">
            <v>7</v>
          </cell>
          <cell r="D147">
            <v>0.95</v>
          </cell>
          <cell r="F147">
            <v>4095</v>
          </cell>
          <cell r="G147">
            <v>8192</v>
          </cell>
          <cell r="I147">
            <v>74.652999999999992</v>
          </cell>
          <cell r="J147">
            <v>2.9457770874999998</v>
          </cell>
        </row>
        <row r="148">
          <cell r="A148">
            <v>1048576</v>
          </cell>
          <cell r="B148">
            <v>6</v>
          </cell>
          <cell r="D148">
            <v>0.95</v>
          </cell>
          <cell r="F148">
            <v>8191</v>
          </cell>
          <cell r="G148">
            <v>24576</v>
          </cell>
          <cell r="I148">
            <v>57.170999999999999</v>
          </cell>
          <cell r="J148">
            <v>2.703792543</v>
          </cell>
        </row>
        <row r="149">
          <cell r="A149">
            <v>1048576</v>
          </cell>
          <cell r="B149">
            <v>5</v>
          </cell>
          <cell r="D149">
            <v>0.95</v>
          </cell>
          <cell r="F149">
            <v>16383</v>
          </cell>
          <cell r="G149">
            <v>16384</v>
          </cell>
          <cell r="I149">
            <v>39.705500000000001</v>
          </cell>
          <cell r="J149">
            <v>3.3835867295000002</v>
          </cell>
        </row>
        <row r="150">
          <cell r="A150">
            <v>1048576</v>
          </cell>
          <cell r="B150">
            <v>3</v>
          </cell>
          <cell r="D150">
            <v>0.95</v>
          </cell>
          <cell r="F150">
            <v>32767</v>
          </cell>
          <cell r="G150">
            <v>65536</v>
          </cell>
          <cell r="I150">
            <v>11.994999999999999</v>
          </cell>
          <cell r="J150">
            <v>4.0730904546479572</v>
          </cell>
        </row>
        <row r="151">
          <cell r="A151">
            <v>1048576</v>
          </cell>
          <cell r="B151">
            <v>4</v>
          </cell>
          <cell r="D151">
            <v>0.95</v>
          </cell>
          <cell r="F151">
            <v>32767</v>
          </cell>
          <cell r="G151">
            <v>65536</v>
          </cell>
          <cell r="I151">
            <v>23.184749999999998</v>
          </cell>
          <cell r="J151">
            <v>3.8968587807699953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mm_experiment_results_volume"/>
    </sheetNames>
    <sheetDataSet>
      <sheetData sheetId="0">
        <row r="2">
          <cell r="G2">
            <v>217190</v>
          </cell>
          <cell r="H2">
            <v>958528</v>
          </cell>
        </row>
        <row r="3">
          <cell r="G3">
            <v>89414</v>
          </cell>
          <cell r="H3">
            <v>216648</v>
          </cell>
        </row>
        <row r="4">
          <cell r="G4">
            <v>35116</v>
          </cell>
          <cell r="H4">
            <v>90284</v>
          </cell>
        </row>
        <row r="5">
          <cell r="G5">
            <v>15140</v>
          </cell>
          <cell r="H5">
            <v>31876</v>
          </cell>
        </row>
        <row r="6">
          <cell r="G6">
            <v>9260</v>
          </cell>
          <cell r="H6">
            <v>15604</v>
          </cell>
        </row>
        <row r="7">
          <cell r="G7">
            <v>3216</v>
          </cell>
          <cell r="H7">
            <v>8192</v>
          </cell>
        </row>
        <row r="8">
          <cell r="G8">
            <v>648256</v>
          </cell>
          <cell r="H8">
            <v>2280000</v>
          </cell>
        </row>
        <row r="9">
          <cell r="G9">
            <v>187598</v>
          </cell>
          <cell r="H9">
            <v>510144</v>
          </cell>
        </row>
        <row r="10">
          <cell r="G10">
            <v>86330</v>
          </cell>
          <cell r="H10">
            <v>180788</v>
          </cell>
        </row>
        <row r="11">
          <cell r="G11">
            <v>31220</v>
          </cell>
          <cell r="H11">
            <v>73268</v>
          </cell>
        </row>
        <row r="12">
          <cell r="G12">
            <v>17126</v>
          </cell>
          <cell r="H12">
            <v>35340</v>
          </cell>
        </row>
        <row r="13">
          <cell r="G13">
            <v>5380</v>
          </cell>
          <cell r="H13">
            <v>24576</v>
          </cell>
        </row>
        <row r="14">
          <cell r="G14">
            <v>2080000</v>
          </cell>
          <cell r="H14">
            <v>3770000</v>
          </cell>
        </row>
        <row r="15">
          <cell r="G15">
            <v>522078</v>
          </cell>
          <cell r="H15">
            <v>864820</v>
          </cell>
        </row>
        <row r="16">
          <cell r="G16">
            <v>196628</v>
          </cell>
          <cell r="H16">
            <v>310728</v>
          </cell>
        </row>
        <row r="17">
          <cell r="G17">
            <v>79344</v>
          </cell>
          <cell r="H17">
            <v>103120</v>
          </cell>
        </row>
        <row r="18">
          <cell r="G18">
            <v>42272</v>
          </cell>
          <cell r="H18">
            <v>60092</v>
          </cell>
        </row>
        <row r="19">
          <cell r="G19">
            <v>25904</v>
          </cell>
          <cell r="H19">
            <v>16384</v>
          </cell>
        </row>
        <row r="20">
          <cell r="G20">
            <v>3630000</v>
          </cell>
          <cell r="H20">
            <v>9810000</v>
          </cell>
        </row>
        <row r="21">
          <cell r="G21">
            <v>977840</v>
          </cell>
          <cell r="H21">
            <v>1930000</v>
          </cell>
        </row>
        <row r="22">
          <cell r="G22">
            <v>369092</v>
          </cell>
          <cell r="H22">
            <v>720268</v>
          </cell>
        </row>
        <row r="23">
          <cell r="G23">
            <v>135380</v>
          </cell>
          <cell r="H23">
            <v>250476</v>
          </cell>
        </row>
        <row r="24">
          <cell r="G24">
            <v>75244</v>
          </cell>
          <cell r="H24">
            <v>116676</v>
          </cell>
        </row>
        <row r="25">
          <cell r="G25">
            <v>25924</v>
          </cell>
          <cell r="H25">
            <v>65536</v>
          </cell>
        </row>
        <row r="26">
          <cell r="G26">
            <v>3640000</v>
          </cell>
          <cell r="H26">
            <v>9810000</v>
          </cell>
        </row>
        <row r="27">
          <cell r="G27">
            <v>977804</v>
          </cell>
          <cell r="H27">
            <v>1930000</v>
          </cell>
        </row>
        <row r="28">
          <cell r="G28">
            <v>368812</v>
          </cell>
          <cell r="H28">
            <v>721820</v>
          </cell>
        </row>
        <row r="29">
          <cell r="G29">
            <v>136664</v>
          </cell>
          <cell r="H29">
            <v>251324</v>
          </cell>
        </row>
        <row r="30">
          <cell r="G30">
            <v>76158</v>
          </cell>
          <cell r="H30">
            <v>116656</v>
          </cell>
        </row>
        <row r="31">
          <cell r="G31">
            <v>25872</v>
          </cell>
          <cell r="H31">
            <v>65536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E6904-D238-40F5-96C6-C8C25507AE4F}">
  <dimension ref="A1:X479"/>
  <sheetViews>
    <sheetView topLeftCell="B450" workbookViewId="0">
      <selection activeCell="B464" sqref="B464"/>
    </sheetView>
  </sheetViews>
  <sheetFormatPr defaultRowHeight="14.4" x14ac:dyDescent="0.3"/>
  <sheetData>
    <row r="1" spans="1:24" x14ac:dyDescent="0.3">
      <c r="A1" t="s">
        <v>0</v>
      </c>
      <c r="B1" t="s">
        <v>1</v>
      </c>
      <c r="C1" t="s">
        <v>2</v>
      </c>
      <c r="D1" t="s">
        <v>3</v>
      </c>
      <c r="E1" t="s">
        <v>4</v>
      </c>
      <c r="F1" t="s">
        <v>5</v>
      </c>
      <c r="G1" t="s">
        <v>6</v>
      </c>
      <c r="H1" t="s">
        <v>7</v>
      </c>
      <c r="I1" t="s">
        <v>8</v>
      </c>
      <c r="J1" t="s">
        <v>9</v>
      </c>
      <c r="K1" t="s">
        <v>10</v>
      </c>
      <c r="L1" t="s">
        <v>11</v>
      </c>
      <c r="M1" t="s">
        <v>12</v>
      </c>
      <c r="N1" t="s">
        <v>14</v>
      </c>
      <c r="O1" t="s">
        <v>15</v>
      </c>
      <c r="P1" t="s">
        <v>16</v>
      </c>
      <c r="Q1" t="s">
        <v>17</v>
      </c>
      <c r="R1" t="s">
        <v>18</v>
      </c>
      <c r="S1" t="s">
        <v>19</v>
      </c>
    </row>
    <row r="2" spans="1:24" x14ac:dyDescent="0.3">
      <c r="A2">
        <v>1</v>
      </c>
      <c r="B2">
        <v>65536</v>
      </c>
      <c r="C2">
        <v>3</v>
      </c>
      <c r="D2">
        <v>64</v>
      </c>
      <c r="E2">
        <v>0.5</v>
      </c>
      <c r="F2">
        <v>10</v>
      </c>
      <c r="G2">
        <v>2047</v>
      </c>
      <c r="H2">
        <v>33724</v>
      </c>
      <c r="I2">
        <v>793177300</v>
      </c>
      <c r="J2">
        <v>3531683700</v>
      </c>
      <c r="K2">
        <v>4.4525778788676798</v>
      </c>
      <c r="L2">
        <v>7137700</v>
      </c>
      <c r="M2">
        <v>175556200</v>
      </c>
      <c r="N2">
        <v>281009400</v>
      </c>
      <c r="O2">
        <v>456565600</v>
      </c>
      <c r="P2">
        <v>116500</v>
      </c>
      <c r="Q2">
        <v>297800600</v>
      </c>
      <c r="R2">
        <v>297917100</v>
      </c>
      <c r="S2">
        <v>728000</v>
      </c>
      <c r="T2">
        <v>15081400</v>
      </c>
      <c r="U2">
        <v>1200971300</v>
      </c>
      <c r="V2">
        <v>1979845300</v>
      </c>
      <c r="W2">
        <v>143200</v>
      </c>
      <c r="X2">
        <v>793177300</v>
      </c>
    </row>
    <row r="3" spans="1:24" x14ac:dyDescent="0.3">
      <c r="A3">
        <v>2</v>
      </c>
      <c r="B3">
        <v>65536</v>
      </c>
      <c r="C3">
        <v>3</v>
      </c>
      <c r="D3">
        <v>64</v>
      </c>
      <c r="E3">
        <v>0.2</v>
      </c>
      <c r="F3">
        <v>10</v>
      </c>
      <c r="G3">
        <v>2047</v>
      </c>
      <c r="H3">
        <v>321980</v>
      </c>
      <c r="I3">
        <v>4422129100</v>
      </c>
      <c r="J3">
        <v>26061148100</v>
      </c>
      <c r="K3">
        <v>5.8933485456134598</v>
      </c>
      <c r="L3">
        <v>51612900</v>
      </c>
      <c r="M3">
        <v>212541400</v>
      </c>
      <c r="N3">
        <v>1396591600</v>
      </c>
      <c r="O3">
        <v>1609133000</v>
      </c>
      <c r="P3">
        <v>846200</v>
      </c>
      <c r="Q3">
        <v>2716616000</v>
      </c>
      <c r="R3">
        <v>2717462200</v>
      </c>
      <c r="S3">
        <v>670500</v>
      </c>
      <c r="T3">
        <v>21208100</v>
      </c>
      <c r="U3">
        <v>6752595000</v>
      </c>
      <c r="V3">
        <v>18934114500</v>
      </c>
      <c r="W3">
        <v>166900</v>
      </c>
      <c r="X3">
        <v>4422129100</v>
      </c>
    </row>
    <row r="4" spans="1:24" x14ac:dyDescent="0.3">
      <c r="A4">
        <v>3</v>
      </c>
      <c r="B4">
        <v>65536</v>
      </c>
      <c r="C4">
        <v>3</v>
      </c>
      <c r="D4">
        <v>64</v>
      </c>
      <c r="E4">
        <v>0.35</v>
      </c>
      <c r="F4">
        <v>10</v>
      </c>
      <c r="G4">
        <v>2047</v>
      </c>
      <c r="H4">
        <v>86324</v>
      </c>
      <c r="I4">
        <v>1798688400</v>
      </c>
      <c r="J4">
        <v>8175143900</v>
      </c>
      <c r="K4">
        <v>4.54505844369708</v>
      </c>
      <c r="L4">
        <v>17269900</v>
      </c>
      <c r="M4">
        <v>133638500</v>
      </c>
      <c r="N4">
        <v>601632700</v>
      </c>
      <c r="O4">
        <v>735271200</v>
      </c>
      <c r="P4">
        <v>186600</v>
      </c>
      <c r="Q4">
        <v>726745800</v>
      </c>
      <c r="R4">
        <v>726932400</v>
      </c>
      <c r="S4">
        <v>697500</v>
      </c>
      <c r="T4">
        <v>22467700</v>
      </c>
      <c r="U4">
        <v>2746611100</v>
      </c>
      <c r="V4">
        <v>5094834700</v>
      </c>
      <c r="W4">
        <v>142600</v>
      </c>
      <c r="X4">
        <v>1798688400</v>
      </c>
    </row>
    <row r="5" spans="1:24" x14ac:dyDescent="0.3">
      <c r="A5">
        <v>4</v>
      </c>
      <c r="B5">
        <v>65536</v>
      </c>
      <c r="C5">
        <v>3</v>
      </c>
      <c r="D5">
        <v>64</v>
      </c>
      <c r="E5">
        <v>0.5</v>
      </c>
      <c r="F5">
        <v>10</v>
      </c>
      <c r="G5">
        <v>2047</v>
      </c>
      <c r="H5">
        <v>33668</v>
      </c>
      <c r="I5">
        <v>759899900</v>
      </c>
      <c r="J5">
        <v>3535557400</v>
      </c>
      <c r="K5">
        <v>4.6526620150890903</v>
      </c>
      <c r="L5">
        <v>6268800</v>
      </c>
      <c r="M5">
        <v>147067700</v>
      </c>
      <c r="N5">
        <v>278200700</v>
      </c>
      <c r="O5">
        <v>425268400</v>
      </c>
      <c r="P5">
        <v>102000</v>
      </c>
      <c r="Q5">
        <v>296864000</v>
      </c>
      <c r="R5">
        <v>296966000</v>
      </c>
      <c r="S5">
        <v>687700</v>
      </c>
      <c r="T5">
        <v>15347800</v>
      </c>
      <c r="U5">
        <v>1163417000</v>
      </c>
      <c r="V5">
        <v>1974948500</v>
      </c>
      <c r="W5">
        <v>154000</v>
      </c>
      <c r="X5">
        <v>759899900</v>
      </c>
    </row>
    <row r="6" spans="1:24" x14ac:dyDescent="0.3">
      <c r="A6">
        <v>5</v>
      </c>
      <c r="B6">
        <v>65536</v>
      </c>
      <c r="C6">
        <v>3</v>
      </c>
      <c r="D6">
        <v>64</v>
      </c>
      <c r="E6">
        <v>0.65</v>
      </c>
      <c r="F6">
        <v>10</v>
      </c>
      <c r="G6">
        <v>2047</v>
      </c>
      <c r="H6">
        <v>11940</v>
      </c>
      <c r="I6">
        <v>456397100</v>
      </c>
      <c r="J6">
        <v>1905943200</v>
      </c>
      <c r="K6">
        <v>4.1760633448371998</v>
      </c>
      <c r="L6">
        <v>2539800</v>
      </c>
      <c r="M6">
        <v>163811600</v>
      </c>
      <c r="N6">
        <v>134556700</v>
      </c>
      <c r="O6">
        <v>298368300</v>
      </c>
      <c r="P6">
        <v>45900</v>
      </c>
      <c r="Q6">
        <v>120841500</v>
      </c>
      <c r="R6">
        <v>120887400</v>
      </c>
      <c r="S6">
        <v>711100</v>
      </c>
      <c r="T6">
        <v>14960600</v>
      </c>
      <c r="U6">
        <v>529496400</v>
      </c>
      <c r="V6">
        <v>706189400</v>
      </c>
      <c r="W6">
        <v>145100</v>
      </c>
      <c r="X6">
        <v>456397100</v>
      </c>
    </row>
    <row r="7" spans="1:24" x14ac:dyDescent="0.3">
      <c r="A7">
        <v>6</v>
      </c>
      <c r="B7">
        <v>65536</v>
      </c>
      <c r="C7">
        <v>3</v>
      </c>
      <c r="D7">
        <v>64</v>
      </c>
      <c r="E7">
        <v>0.8</v>
      </c>
      <c r="F7">
        <v>10</v>
      </c>
      <c r="G7">
        <v>2047</v>
      </c>
      <c r="H7">
        <v>6876</v>
      </c>
      <c r="I7">
        <v>330848700</v>
      </c>
      <c r="J7">
        <v>1064127800</v>
      </c>
      <c r="K7">
        <v>3.2163578094760501</v>
      </c>
      <c r="L7">
        <v>1802400</v>
      </c>
      <c r="M7">
        <v>142106700</v>
      </c>
      <c r="N7">
        <v>79042500</v>
      </c>
      <c r="O7">
        <v>221149200</v>
      </c>
      <c r="P7">
        <v>68100</v>
      </c>
      <c r="Q7">
        <v>74582300</v>
      </c>
      <c r="R7">
        <v>74650400</v>
      </c>
      <c r="S7">
        <v>689500</v>
      </c>
      <c r="T7">
        <v>22360800</v>
      </c>
      <c r="U7">
        <v>327323600</v>
      </c>
      <c r="V7">
        <v>404685800</v>
      </c>
      <c r="W7">
        <v>138600</v>
      </c>
      <c r="X7">
        <v>330848700</v>
      </c>
    </row>
    <row r="8" spans="1:24" x14ac:dyDescent="0.3">
      <c r="A8">
        <v>7</v>
      </c>
      <c r="B8">
        <v>65536</v>
      </c>
      <c r="C8">
        <v>3</v>
      </c>
      <c r="D8">
        <v>64</v>
      </c>
      <c r="E8">
        <v>0.95</v>
      </c>
      <c r="F8">
        <v>10</v>
      </c>
      <c r="G8">
        <v>2047</v>
      </c>
      <c r="H8">
        <v>2048</v>
      </c>
      <c r="I8">
        <v>305799000</v>
      </c>
      <c r="J8">
        <v>684244000</v>
      </c>
      <c r="K8">
        <v>2.2375612739086699</v>
      </c>
      <c r="L8">
        <v>738900</v>
      </c>
      <c r="M8">
        <v>196093100</v>
      </c>
      <c r="N8">
        <v>49894300</v>
      </c>
      <c r="O8">
        <v>245987400</v>
      </c>
      <c r="P8">
        <v>101100</v>
      </c>
      <c r="Q8">
        <v>24853000</v>
      </c>
      <c r="R8">
        <v>24954100</v>
      </c>
      <c r="S8">
        <v>711400</v>
      </c>
      <c r="T8">
        <v>14257700</v>
      </c>
      <c r="U8">
        <v>196374900</v>
      </c>
      <c r="V8">
        <v>121178600</v>
      </c>
      <c r="W8">
        <v>136000</v>
      </c>
      <c r="X8">
        <v>305799000</v>
      </c>
    </row>
    <row r="9" spans="1:24" x14ac:dyDescent="0.3">
      <c r="A9">
        <v>8</v>
      </c>
      <c r="B9">
        <v>65536</v>
      </c>
      <c r="C9">
        <v>4</v>
      </c>
      <c r="D9">
        <v>125</v>
      </c>
      <c r="E9">
        <v>0.5</v>
      </c>
      <c r="F9">
        <v>10</v>
      </c>
      <c r="G9">
        <v>2047</v>
      </c>
      <c r="H9">
        <v>33808</v>
      </c>
      <c r="I9">
        <v>1514948000</v>
      </c>
      <c r="J9">
        <v>7146013800</v>
      </c>
      <c r="K9">
        <v>4.7170026958021003</v>
      </c>
      <c r="L9">
        <v>5960000</v>
      </c>
      <c r="M9">
        <v>368276200</v>
      </c>
      <c r="N9">
        <v>789880400</v>
      </c>
      <c r="O9">
        <v>1158156600</v>
      </c>
      <c r="P9">
        <v>115500</v>
      </c>
      <c r="Q9">
        <v>295241300</v>
      </c>
      <c r="R9">
        <v>295356800</v>
      </c>
      <c r="S9">
        <v>711000</v>
      </c>
      <c r="T9">
        <v>23097300</v>
      </c>
      <c r="U9">
        <v>4337255100</v>
      </c>
      <c r="V9">
        <v>2005749100</v>
      </c>
      <c r="W9">
        <v>142800</v>
      </c>
      <c r="X9">
        <v>1514948000</v>
      </c>
    </row>
    <row r="10" spans="1:24" x14ac:dyDescent="0.3">
      <c r="A10">
        <v>9</v>
      </c>
      <c r="B10">
        <v>65536</v>
      </c>
      <c r="C10">
        <v>4</v>
      </c>
      <c r="D10">
        <v>125</v>
      </c>
      <c r="E10">
        <v>0.2</v>
      </c>
      <c r="F10">
        <v>10</v>
      </c>
      <c r="G10">
        <v>2047</v>
      </c>
      <c r="H10">
        <v>322648</v>
      </c>
      <c r="I10">
        <v>7611024400</v>
      </c>
      <c r="J10">
        <v>44952660600</v>
      </c>
      <c r="K10">
        <v>5.9062562721517402</v>
      </c>
      <c r="L10">
        <v>60093700</v>
      </c>
      <c r="M10">
        <v>347593600</v>
      </c>
      <c r="N10">
        <v>4339915500</v>
      </c>
      <c r="O10">
        <v>4687509100</v>
      </c>
      <c r="P10">
        <v>850500</v>
      </c>
      <c r="Q10">
        <v>2808231400</v>
      </c>
      <c r="R10">
        <v>2809081900</v>
      </c>
      <c r="S10">
        <v>676700</v>
      </c>
      <c r="T10">
        <v>21145100</v>
      </c>
      <c r="U10">
        <v>25175461200</v>
      </c>
      <c r="V10">
        <v>18958637100</v>
      </c>
      <c r="W10">
        <v>148800</v>
      </c>
      <c r="X10">
        <v>7611024400</v>
      </c>
    </row>
    <row r="11" spans="1:24" x14ac:dyDescent="0.3">
      <c r="A11">
        <v>10</v>
      </c>
      <c r="B11">
        <v>65536</v>
      </c>
      <c r="C11">
        <v>4</v>
      </c>
      <c r="D11">
        <v>125</v>
      </c>
      <c r="E11">
        <v>0.35</v>
      </c>
      <c r="F11">
        <v>10</v>
      </c>
      <c r="G11">
        <v>2047</v>
      </c>
      <c r="H11">
        <v>86212</v>
      </c>
      <c r="I11">
        <v>3195567700</v>
      </c>
      <c r="J11">
        <v>16074099900</v>
      </c>
      <c r="K11">
        <v>5.0301234112486402</v>
      </c>
      <c r="L11">
        <v>16309900</v>
      </c>
      <c r="M11">
        <v>287380900</v>
      </c>
      <c r="N11">
        <v>1798804100</v>
      </c>
      <c r="O11">
        <v>2086185000</v>
      </c>
      <c r="P11">
        <v>190100</v>
      </c>
      <c r="Q11">
        <v>750439600</v>
      </c>
      <c r="R11">
        <v>750629700</v>
      </c>
      <c r="S11">
        <v>713600</v>
      </c>
      <c r="T11">
        <v>20662000</v>
      </c>
      <c r="U11">
        <v>10208927500</v>
      </c>
      <c r="V11">
        <v>5065207800</v>
      </c>
      <c r="W11">
        <v>155900</v>
      </c>
      <c r="X11">
        <v>3195567700</v>
      </c>
    </row>
    <row r="12" spans="1:24" x14ac:dyDescent="0.3">
      <c r="A12">
        <v>11</v>
      </c>
      <c r="B12">
        <v>65536</v>
      </c>
      <c r="C12">
        <v>4</v>
      </c>
      <c r="D12">
        <v>125</v>
      </c>
      <c r="E12">
        <v>0.5</v>
      </c>
      <c r="F12">
        <v>10</v>
      </c>
      <c r="G12">
        <v>2047</v>
      </c>
      <c r="H12">
        <v>33752</v>
      </c>
      <c r="I12">
        <v>1721156600</v>
      </c>
      <c r="J12">
        <v>7106500100</v>
      </c>
      <c r="K12">
        <v>4.1289096529624301</v>
      </c>
      <c r="L12">
        <v>5984300</v>
      </c>
      <c r="M12">
        <v>292941500</v>
      </c>
      <c r="N12">
        <v>784970700</v>
      </c>
      <c r="O12">
        <v>1077912200</v>
      </c>
      <c r="P12">
        <v>116600</v>
      </c>
      <c r="Q12">
        <v>295011200</v>
      </c>
      <c r="R12">
        <v>295127800</v>
      </c>
      <c r="S12">
        <v>662900</v>
      </c>
      <c r="T12">
        <v>23354800</v>
      </c>
      <c r="U12">
        <v>4354691700</v>
      </c>
      <c r="V12">
        <v>1984990200</v>
      </c>
      <c r="W12">
        <v>144500</v>
      </c>
      <c r="X12">
        <v>1721156600</v>
      </c>
    </row>
    <row r="13" spans="1:24" x14ac:dyDescent="0.3">
      <c r="A13">
        <v>12</v>
      </c>
      <c r="B13">
        <v>65536</v>
      </c>
      <c r="C13">
        <v>4</v>
      </c>
      <c r="D13">
        <v>125</v>
      </c>
      <c r="E13">
        <v>0.65</v>
      </c>
      <c r="F13">
        <v>10</v>
      </c>
      <c r="G13">
        <v>2047</v>
      </c>
      <c r="H13">
        <v>12172</v>
      </c>
      <c r="I13">
        <v>830885600</v>
      </c>
      <c r="J13">
        <v>3890499200</v>
      </c>
      <c r="K13">
        <v>4.6823524201165601</v>
      </c>
      <c r="L13">
        <v>2949300</v>
      </c>
      <c r="M13">
        <v>284139600</v>
      </c>
      <c r="N13">
        <v>382183600</v>
      </c>
      <c r="O13">
        <v>666323200</v>
      </c>
      <c r="P13">
        <v>73100</v>
      </c>
      <c r="Q13">
        <v>107001000</v>
      </c>
      <c r="R13">
        <v>107074100</v>
      </c>
      <c r="S13">
        <v>733700</v>
      </c>
      <c r="T13">
        <v>25523100</v>
      </c>
      <c r="U13">
        <v>2044896300</v>
      </c>
      <c r="V13">
        <v>721313200</v>
      </c>
      <c r="W13">
        <v>147800</v>
      </c>
      <c r="X13">
        <v>830885600</v>
      </c>
    </row>
    <row r="14" spans="1:24" x14ac:dyDescent="0.3">
      <c r="A14">
        <v>13</v>
      </c>
      <c r="B14">
        <v>65536</v>
      </c>
      <c r="C14">
        <v>4</v>
      </c>
      <c r="D14">
        <v>125</v>
      </c>
      <c r="E14">
        <v>0.8</v>
      </c>
      <c r="F14">
        <v>10</v>
      </c>
      <c r="G14">
        <v>2047</v>
      </c>
      <c r="H14">
        <v>6736</v>
      </c>
      <c r="I14">
        <v>722307300</v>
      </c>
      <c r="J14">
        <v>2363338300</v>
      </c>
      <c r="K14">
        <v>3.2719291359785498</v>
      </c>
      <c r="L14">
        <v>1520500</v>
      </c>
      <c r="M14">
        <v>361925000</v>
      </c>
      <c r="N14">
        <v>238214700</v>
      </c>
      <c r="O14">
        <v>600139700</v>
      </c>
      <c r="P14">
        <v>76800</v>
      </c>
      <c r="Q14">
        <v>64153900</v>
      </c>
      <c r="R14">
        <v>64230700</v>
      </c>
      <c r="S14">
        <v>758700</v>
      </c>
      <c r="T14">
        <v>25988700</v>
      </c>
      <c r="U14">
        <v>1213987600</v>
      </c>
      <c r="V14">
        <v>397460000</v>
      </c>
      <c r="W14">
        <v>153500</v>
      </c>
      <c r="X14">
        <v>722307300</v>
      </c>
    </row>
    <row r="15" spans="1:24" x14ac:dyDescent="0.3">
      <c r="A15">
        <v>14</v>
      </c>
      <c r="B15">
        <v>65536</v>
      </c>
      <c r="C15">
        <v>4</v>
      </c>
      <c r="D15">
        <v>125</v>
      </c>
      <c r="E15">
        <v>0.95</v>
      </c>
      <c r="F15">
        <v>10</v>
      </c>
      <c r="G15">
        <v>2047</v>
      </c>
      <c r="H15">
        <v>2052</v>
      </c>
      <c r="I15">
        <v>528926400</v>
      </c>
      <c r="J15">
        <v>1643024900</v>
      </c>
      <c r="K15">
        <v>3.1063393697119199</v>
      </c>
      <c r="L15">
        <v>711900</v>
      </c>
      <c r="M15">
        <v>300825900</v>
      </c>
      <c r="N15">
        <v>150034300</v>
      </c>
      <c r="O15">
        <v>450860200</v>
      </c>
      <c r="P15">
        <v>89300</v>
      </c>
      <c r="Q15">
        <v>20589800</v>
      </c>
      <c r="R15">
        <v>20679100</v>
      </c>
      <c r="S15">
        <v>807500</v>
      </c>
      <c r="T15">
        <v>26284900</v>
      </c>
      <c r="U15">
        <v>738847300</v>
      </c>
      <c r="V15">
        <v>124170400</v>
      </c>
      <c r="W15">
        <v>145500</v>
      </c>
      <c r="X15">
        <v>528926400</v>
      </c>
    </row>
    <row r="16" spans="1:24" x14ac:dyDescent="0.3">
      <c r="A16">
        <v>15</v>
      </c>
      <c r="B16">
        <v>65536</v>
      </c>
      <c r="C16">
        <v>5</v>
      </c>
      <c r="D16">
        <v>216</v>
      </c>
      <c r="E16">
        <v>0.5</v>
      </c>
      <c r="F16">
        <v>9</v>
      </c>
      <c r="G16">
        <v>1023</v>
      </c>
      <c r="H16">
        <v>19056</v>
      </c>
      <c r="I16">
        <v>2286539200</v>
      </c>
      <c r="J16">
        <v>11095130900</v>
      </c>
      <c r="K16">
        <v>4.8523685489406798</v>
      </c>
      <c r="L16">
        <v>3432800</v>
      </c>
      <c r="M16">
        <v>510252700</v>
      </c>
      <c r="N16">
        <v>1062730100</v>
      </c>
      <c r="O16">
        <v>1572982800</v>
      </c>
      <c r="P16">
        <v>98900</v>
      </c>
      <c r="Q16">
        <v>636857500</v>
      </c>
      <c r="R16">
        <v>636956400</v>
      </c>
      <c r="S16">
        <v>730700</v>
      </c>
      <c r="T16">
        <v>14835800</v>
      </c>
      <c r="U16">
        <v>5109452400</v>
      </c>
      <c r="V16">
        <v>4608742400</v>
      </c>
      <c r="W16">
        <v>164000</v>
      </c>
      <c r="X16">
        <v>2286539200</v>
      </c>
    </row>
    <row r="17" spans="1:24" x14ac:dyDescent="0.3">
      <c r="A17">
        <v>16</v>
      </c>
      <c r="B17">
        <v>65536</v>
      </c>
      <c r="C17">
        <v>5</v>
      </c>
      <c r="D17">
        <v>216</v>
      </c>
      <c r="E17">
        <v>0.2</v>
      </c>
      <c r="F17">
        <v>9</v>
      </c>
      <c r="G17">
        <v>1023</v>
      </c>
      <c r="H17">
        <v>161012</v>
      </c>
      <c r="I17">
        <v>9266234800</v>
      </c>
      <c r="J17">
        <v>53734496500</v>
      </c>
      <c r="K17">
        <v>5.7989569290862297</v>
      </c>
      <c r="L17">
        <v>20093300</v>
      </c>
      <c r="M17">
        <v>496100500</v>
      </c>
      <c r="N17">
        <v>2858487400</v>
      </c>
      <c r="O17">
        <v>3354587900</v>
      </c>
      <c r="P17">
        <v>479600</v>
      </c>
      <c r="Q17">
        <v>5371482700</v>
      </c>
      <c r="R17">
        <v>5371962300</v>
      </c>
      <c r="S17">
        <v>764500</v>
      </c>
      <c r="T17">
        <v>20187800</v>
      </c>
      <c r="U17">
        <v>13747763200</v>
      </c>
      <c r="V17">
        <v>38937127300</v>
      </c>
      <c r="W17">
        <v>179600</v>
      </c>
      <c r="X17">
        <v>9266234800</v>
      </c>
    </row>
    <row r="18" spans="1:24" x14ac:dyDescent="0.3">
      <c r="A18">
        <v>17</v>
      </c>
      <c r="B18">
        <v>65536</v>
      </c>
      <c r="C18">
        <v>5</v>
      </c>
      <c r="D18">
        <v>216</v>
      </c>
      <c r="E18">
        <v>0.35</v>
      </c>
      <c r="F18">
        <v>9</v>
      </c>
      <c r="G18">
        <v>1023</v>
      </c>
      <c r="H18">
        <v>48512</v>
      </c>
      <c r="I18">
        <v>4389047100</v>
      </c>
      <c r="J18">
        <v>21956258600</v>
      </c>
      <c r="K18">
        <v>5.0025115018701802</v>
      </c>
      <c r="L18">
        <v>6959300</v>
      </c>
      <c r="M18">
        <v>509287600</v>
      </c>
      <c r="N18">
        <v>1894872600</v>
      </c>
      <c r="O18">
        <v>2404160200</v>
      </c>
      <c r="P18">
        <v>133100</v>
      </c>
      <c r="Q18">
        <v>1616696100</v>
      </c>
      <c r="R18">
        <v>1616829200</v>
      </c>
      <c r="S18">
        <v>767100</v>
      </c>
      <c r="T18">
        <v>21494700</v>
      </c>
      <c r="U18">
        <v>9092873600</v>
      </c>
      <c r="V18">
        <v>11781955900</v>
      </c>
      <c r="W18">
        <v>146900</v>
      </c>
      <c r="X18">
        <v>4389047100</v>
      </c>
    </row>
    <row r="19" spans="1:24" x14ac:dyDescent="0.3">
      <c r="A19">
        <v>18</v>
      </c>
      <c r="B19">
        <v>65536</v>
      </c>
      <c r="C19">
        <v>5</v>
      </c>
      <c r="D19">
        <v>216</v>
      </c>
      <c r="E19">
        <v>0.5</v>
      </c>
      <c r="F19">
        <v>9</v>
      </c>
      <c r="G19">
        <v>1023</v>
      </c>
      <c r="H19">
        <v>18820</v>
      </c>
      <c r="I19">
        <v>2588649000</v>
      </c>
      <c r="J19">
        <v>11080200600</v>
      </c>
      <c r="K19">
        <v>4.2803024280232602</v>
      </c>
      <c r="L19">
        <v>3192700</v>
      </c>
      <c r="M19">
        <v>507712500</v>
      </c>
      <c r="N19">
        <v>1086598500</v>
      </c>
      <c r="O19">
        <v>1594311000</v>
      </c>
      <c r="P19">
        <v>97300</v>
      </c>
      <c r="Q19">
        <v>629453100</v>
      </c>
      <c r="R19">
        <v>629550400</v>
      </c>
      <c r="S19">
        <v>752000</v>
      </c>
      <c r="T19">
        <v>21352500</v>
      </c>
      <c r="U19">
        <v>5407424100</v>
      </c>
      <c r="V19">
        <v>4553120200</v>
      </c>
      <c r="W19">
        <v>196200</v>
      </c>
      <c r="X19">
        <v>2588649000</v>
      </c>
    </row>
    <row r="20" spans="1:24" x14ac:dyDescent="0.3">
      <c r="A20">
        <v>19</v>
      </c>
      <c r="B20">
        <v>65536</v>
      </c>
      <c r="C20">
        <v>5</v>
      </c>
      <c r="D20">
        <v>216</v>
      </c>
      <c r="E20">
        <v>0.65</v>
      </c>
      <c r="F20">
        <v>9</v>
      </c>
      <c r="G20">
        <v>1023</v>
      </c>
      <c r="H20">
        <v>8288</v>
      </c>
      <c r="I20">
        <v>1790946200</v>
      </c>
      <c r="J20">
        <v>5303421700</v>
      </c>
      <c r="K20">
        <v>2.9612400975529001</v>
      </c>
      <c r="L20">
        <v>1358000</v>
      </c>
      <c r="M20">
        <v>505588300</v>
      </c>
      <c r="N20">
        <v>467506500</v>
      </c>
      <c r="O20">
        <v>973094800</v>
      </c>
      <c r="P20">
        <v>80100</v>
      </c>
      <c r="Q20">
        <v>279445100</v>
      </c>
      <c r="R20">
        <v>279525200</v>
      </c>
      <c r="S20">
        <v>675100</v>
      </c>
      <c r="T20">
        <v>21337300</v>
      </c>
      <c r="U20">
        <v>2223603100</v>
      </c>
      <c r="V20">
        <v>2006512200</v>
      </c>
      <c r="W20">
        <v>179100</v>
      </c>
      <c r="X20">
        <v>1790946200</v>
      </c>
    </row>
    <row r="21" spans="1:24" x14ac:dyDescent="0.3">
      <c r="A21">
        <v>20</v>
      </c>
      <c r="B21">
        <v>65536</v>
      </c>
      <c r="C21">
        <v>5</v>
      </c>
      <c r="D21">
        <v>216</v>
      </c>
      <c r="E21">
        <v>0.8</v>
      </c>
      <c r="F21">
        <v>9</v>
      </c>
      <c r="G21">
        <v>1023</v>
      </c>
      <c r="H21">
        <v>4152</v>
      </c>
      <c r="I21">
        <v>1065337500</v>
      </c>
      <c r="J21">
        <v>3527264500</v>
      </c>
      <c r="K21">
        <v>3.3109362056625198</v>
      </c>
      <c r="L21">
        <v>1100500</v>
      </c>
      <c r="M21">
        <v>543818200</v>
      </c>
      <c r="N21">
        <v>306476200</v>
      </c>
      <c r="O21">
        <v>850294400</v>
      </c>
      <c r="P21">
        <v>60200</v>
      </c>
      <c r="Q21">
        <v>141770900</v>
      </c>
      <c r="R21">
        <v>141831100</v>
      </c>
      <c r="S21">
        <v>685700</v>
      </c>
      <c r="T21">
        <v>20770600</v>
      </c>
      <c r="U21">
        <v>1485460600</v>
      </c>
      <c r="V21">
        <v>1010323800</v>
      </c>
      <c r="W21">
        <v>179500</v>
      </c>
      <c r="X21">
        <v>1065337500</v>
      </c>
    </row>
    <row r="22" spans="1:24" x14ac:dyDescent="0.3">
      <c r="A22">
        <v>21</v>
      </c>
      <c r="B22">
        <v>65536</v>
      </c>
      <c r="C22">
        <v>5</v>
      </c>
      <c r="D22">
        <v>216</v>
      </c>
      <c r="E22">
        <v>0.95</v>
      </c>
      <c r="F22">
        <v>9</v>
      </c>
      <c r="G22">
        <v>1023</v>
      </c>
      <c r="H22">
        <v>3072</v>
      </c>
      <c r="I22">
        <v>878848800</v>
      </c>
      <c r="J22">
        <v>2592503100</v>
      </c>
      <c r="K22">
        <v>2.94988523623176</v>
      </c>
      <c r="L22">
        <v>468300</v>
      </c>
      <c r="M22">
        <v>596809600</v>
      </c>
      <c r="N22">
        <v>99109900</v>
      </c>
      <c r="O22">
        <v>695919500</v>
      </c>
      <c r="P22">
        <v>89700</v>
      </c>
      <c r="Q22">
        <v>107924000</v>
      </c>
      <c r="R22">
        <v>108013700</v>
      </c>
      <c r="S22">
        <v>726600</v>
      </c>
      <c r="T22">
        <v>22021800</v>
      </c>
      <c r="U22">
        <v>740916900</v>
      </c>
      <c r="V22">
        <v>743096200</v>
      </c>
      <c r="W22">
        <v>142500</v>
      </c>
      <c r="X22">
        <v>878848800</v>
      </c>
    </row>
    <row r="23" spans="1:24" x14ac:dyDescent="0.3">
      <c r="A23">
        <v>22</v>
      </c>
      <c r="B23">
        <v>65536</v>
      </c>
      <c r="C23">
        <v>6</v>
      </c>
      <c r="D23">
        <v>343</v>
      </c>
      <c r="E23">
        <v>0.5</v>
      </c>
      <c r="F23">
        <v>8</v>
      </c>
      <c r="G23">
        <v>511</v>
      </c>
      <c r="H23">
        <v>8856</v>
      </c>
      <c r="I23">
        <v>3319513200</v>
      </c>
      <c r="J23">
        <v>15082673500</v>
      </c>
      <c r="K23">
        <v>4.5436401638649899</v>
      </c>
      <c r="L23">
        <v>1505800</v>
      </c>
      <c r="M23">
        <v>1040689300</v>
      </c>
      <c r="N23">
        <v>993000900</v>
      </c>
      <c r="O23">
        <v>2033690200</v>
      </c>
      <c r="P23">
        <v>83000</v>
      </c>
      <c r="Q23">
        <v>1188948000</v>
      </c>
      <c r="R23">
        <v>1189031000</v>
      </c>
      <c r="S23">
        <v>679400</v>
      </c>
      <c r="T23">
        <v>21992700</v>
      </c>
      <c r="U23">
        <v>4710906000</v>
      </c>
      <c r="V23">
        <v>9055634600</v>
      </c>
      <c r="W23">
        <v>150000</v>
      </c>
      <c r="X23">
        <v>3319513200</v>
      </c>
    </row>
    <row r="24" spans="1:24" x14ac:dyDescent="0.3">
      <c r="A24">
        <v>23</v>
      </c>
      <c r="B24">
        <v>65536</v>
      </c>
      <c r="C24">
        <v>6</v>
      </c>
      <c r="D24">
        <v>343</v>
      </c>
      <c r="E24">
        <v>0.2</v>
      </c>
      <c r="F24">
        <v>8</v>
      </c>
      <c r="G24">
        <v>511</v>
      </c>
      <c r="H24">
        <v>56072</v>
      </c>
      <c r="I24">
        <v>10003436100</v>
      </c>
      <c r="J24">
        <v>62313693600</v>
      </c>
      <c r="K24">
        <v>6.2292289346457599</v>
      </c>
      <c r="L24">
        <v>5936300</v>
      </c>
      <c r="M24">
        <v>1047308200</v>
      </c>
      <c r="N24">
        <v>842897300</v>
      </c>
      <c r="O24">
        <v>1890205500</v>
      </c>
      <c r="P24">
        <v>144500</v>
      </c>
      <c r="Q24">
        <v>7543401800</v>
      </c>
      <c r="R24">
        <v>7543546300</v>
      </c>
      <c r="S24">
        <v>778400</v>
      </c>
      <c r="T24">
        <v>13639300</v>
      </c>
      <c r="U24">
        <v>3955548400</v>
      </c>
      <c r="V24">
        <v>57034249400</v>
      </c>
      <c r="W24">
        <v>154400</v>
      </c>
      <c r="X24">
        <v>10003436100</v>
      </c>
    </row>
    <row r="25" spans="1:24" x14ac:dyDescent="0.3">
      <c r="A25">
        <v>24</v>
      </c>
      <c r="B25">
        <v>65536</v>
      </c>
      <c r="C25">
        <v>6</v>
      </c>
      <c r="D25">
        <v>343</v>
      </c>
      <c r="E25">
        <v>0.35</v>
      </c>
      <c r="F25">
        <v>8</v>
      </c>
      <c r="G25">
        <v>511</v>
      </c>
      <c r="H25">
        <v>19440</v>
      </c>
      <c r="I25">
        <v>5837627500</v>
      </c>
      <c r="J25">
        <v>29982616500</v>
      </c>
      <c r="K25">
        <v>5.1360962137443602</v>
      </c>
      <c r="L25">
        <v>2610600</v>
      </c>
      <c r="M25">
        <v>1049599000</v>
      </c>
      <c r="N25">
        <v>1802285300</v>
      </c>
      <c r="O25">
        <v>2851884300</v>
      </c>
      <c r="P25">
        <v>82700</v>
      </c>
      <c r="Q25">
        <v>2601151800</v>
      </c>
      <c r="R25">
        <v>2601234500</v>
      </c>
      <c r="S25">
        <v>699400</v>
      </c>
      <c r="T25">
        <v>12426200</v>
      </c>
      <c r="U25">
        <v>8480873000</v>
      </c>
      <c r="V25">
        <v>19836777300</v>
      </c>
      <c r="W25">
        <v>153100</v>
      </c>
      <c r="X25">
        <v>5837627500</v>
      </c>
    </row>
    <row r="26" spans="1:24" x14ac:dyDescent="0.3">
      <c r="A26">
        <v>25</v>
      </c>
      <c r="B26">
        <v>65536</v>
      </c>
      <c r="C26">
        <v>6</v>
      </c>
      <c r="D26">
        <v>343</v>
      </c>
      <c r="E26">
        <v>0.5</v>
      </c>
      <c r="F26">
        <v>8</v>
      </c>
      <c r="G26">
        <v>511</v>
      </c>
      <c r="H26">
        <v>8924</v>
      </c>
      <c r="I26">
        <v>3642498000</v>
      </c>
      <c r="J26">
        <v>15175987200</v>
      </c>
      <c r="K26">
        <v>4.16636802545945</v>
      </c>
      <c r="L26">
        <v>1273000</v>
      </c>
      <c r="M26">
        <v>1050484000</v>
      </c>
      <c r="N26">
        <v>1011502600</v>
      </c>
      <c r="O26">
        <v>2061986600</v>
      </c>
      <c r="P26">
        <v>79000</v>
      </c>
      <c r="Q26">
        <v>1195862700</v>
      </c>
      <c r="R26">
        <v>1195941700</v>
      </c>
      <c r="S26">
        <v>740000</v>
      </c>
      <c r="T26">
        <v>21231300</v>
      </c>
      <c r="U26">
        <v>4766944500</v>
      </c>
      <c r="V26">
        <v>9075416500</v>
      </c>
      <c r="W26">
        <v>181600</v>
      </c>
      <c r="X26">
        <v>3642498000</v>
      </c>
    </row>
    <row r="27" spans="1:24" x14ac:dyDescent="0.3">
      <c r="A27">
        <v>26</v>
      </c>
      <c r="B27">
        <v>65536</v>
      </c>
      <c r="C27">
        <v>6</v>
      </c>
      <c r="D27">
        <v>343</v>
      </c>
      <c r="E27">
        <v>0.65</v>
      </c>
      <c r="F27">
        <v>8</v>
      </c>
      <c r="G27">
        <v>511</v>
      </c>
      <c r="H27">
        <v>3584</v>
      </c>
      <c r="I27">
        <v>2630493500</v>
      </c>
      <c r="J27">
        <v>7552296500</v>
      </c>
      <c r="K27">
        <v>2.8710568948374098</v>
      </c>
      <c r="L27">
        <v>757700</v>
      </c>
      <c r="M27">
        <v>1050084100</v>
      </c>
      <c r="N27">
        <v>536443600</v>
      </c>
      <c r="O27">
        <v>1586527700</v>
      </c>
      <c r="P27">
        <v>80300</v>
      </c>
      <c r="Q27">
        <v>482554900</v>
      </c>
      <c r="R27">
        <v>482635200</v>
      </c>
      <c r="S27">
        <v>741700</v>
      </c>
      <c r="T27">
        <v>19429500</v>
      </c>
      <c r="U27">
        <v>2533743600</v>
      </c>
      <c r="V27">
        <v>3710631600</v>
      </c>
      <c r="W27">
        <v>150600</v>
      </c>
      <c r="X27">
        <v>2630493500</v>
      </c>
    </row>
    <row r="28" spans="1:24" x14ac:dyDescent="0.3">
      <c r="A28">
        <v>27</v>
      </c>
      <c r="B28">
        <v>65536</v>
      </c>
      <c r="C28">
        <v>6</v>
      </c>
      <c r="D28">
        <v>343</v>
      </c>
      <c r="E28">
        <v>0.8</v>
      </c>
      <c r="F28">
        <v>8</v>
      </c>
      <c r="G28">
        <v>511</v>
      </c>
      <c r="H28">
        <v>1900</v>
      </c>
      <c r="I28">
        <v>1748611200</v>
      </c>
      <c r="J28">
        <v>5254191000</v>
      </c>
      <c r="K28">
        <v>3.00477945011446</v>
      </c>
      <c r="L28">
        <v>378500</v>
      </c>
      <c r="M28">
        <v>1034478500</v>
      </c>
      <c r="N28">
        <v>360488400</v>
      </c>
      <c r="O28">
        <v>1394966900</v>
      </c>
      <c r="P28">
        <v>97400</v>
      </c>
      <c r="Q28">
        <v>258027600</v>
      </c>
      <c r="R28">
        <v>258125000</v>
      </c>
      <c r="S28">
        <v>681800</v>
      </c>
      <c r="T28">
        <v>20850200</v>
      </c>
      <c r="U28">
        <v>1704607400</v>
      </c>
      <c r="V28">
        <v>1938077700</v>
      </c>
      <c r="W28">
        <v>151600</v>
      </c>
      <c r="X28">
        <v>1748611200</v>
      </c>
    </row>
    <row r="29" spans="1:24" x14ac:dyDescent="0.3">
      <c r="A29">
        <v>28</v>
      </c>
      <c r="B29">
        <v>65536</v>
      </c>
      <c r="C29">
        <v>6</v>
      </c>
      <c r="D29">
        <v>343</v>
      </c>
      <c r="E29">
        <v>0.95</v>
      </c>
      <c r="F29">
        <v>8</v>
      </c>
      <c r="G29">
        <v>511</v>
      </c>
      <c r="H29">
        <v>1024</v>
      </c>
      <c r="I29">
        <v>1418578000</v>
      </c>
      <c r="J29">
        <v>3028026400</v>
      </c>
      <c r="K29">
        <v>2.1345505146703201</v>
      </c>
      <c r="L29">
        <v>192100</v>
      </c>
      <c r="M29">
        <v>1038892600</v>
      </c>
      <c r="N29">
        <v>143099200</v>
      </c>
      <c r="O29">
        <v>1181991800</v>
      </c>
      <c r="P29">
        <v>83600</v>
      </c>
      <c r="Q29">
        <v>140692600</v>
      </c>
      <c r="R29">
        <v>140776200</v>
      </c>
      <c r="S29">
        <v>684500</v>
      </c>
      <c r="T29">
        <v>22820800</v>
      </c>
      <c r="U29">
        <v>666993400</v>
      </c>
      <c r="V29">
        <v>1046141600</v>
      </c>
      <c r="W29">
        <v>261700</v>
      </c>
      <c r="X29">
        <v>1418578000</v>
      </c>
    </row>
    <row r="30" spans="1:24" x14ac:dyDescent="0.3">
      <c r="A30">
        <v>29</v>
      </c>
      <c r="B30">
        <v>65536</v>
      </c>
      <c r="C30">
        <v>7</v>
      </c>
      <c r="D30">
        <v>512</v>
      </c>
      <c r="E30">
        <v>0.5</v>
      </c>
      <c r="F30">
        <v>7</v>
      </c>
      <c r="G30">
        <v>255</v>
      </c>
      <c r="H30">
        <v>3376</v>
      </c>
      <c r="I30">
        <v>4084729100</v>
      </c>
      <c r="J30">
        <v>20897960100</v>
      </c>
      <c r="K30">
        <v>5.1161189857119203</v>
      </c>
      <c r="L30">
        <v>580400</v>
      </c>
      <c r="M30">
        <v>1287481500</v>
      </c>
      <c r="N30">
        <v>880894800</v>
      </c>
      <c r="O30">
        <v>2168376300</v>
      </c>
      <c r="P30">
        <v>88100</v>
      </c>
      <c r="Q30">
        <v>1818980600</v>
      </c>
      <c r="R30">
        <v>1819068700</v>
      </c>
      <c r="S30">
        <v>785400</v>
      </c>
      <c r="T30">
        <v>19190300</v>
      </c>
      <c r="U30">
        <v>4681546300</v>
      </c>
      <c r="V30">
        <v>14690852200</v>
      </c>
      <c r="W30">
        <v>149900</v>
      </c>
      <c r="X30">
        <v>4084729100</v>
      </c>
    </row>
    <row r="31" spans="1:24" x14ac:dyDescent="0.3">
      <c r="A31">
        <v>30</v>
      </c>
      <c r="B31">
        <v>65536</v>
      </c>
      <c r="C31">
        <v>7</v>
      </c>
      <c r="D31">
        <v>512</v>
      </c>
      <c r="E31">
        <v>0.2</v>
      </c>
      <c r="F31">
        <v>7</v>
      </c>
      <c r="G31">
        <v>255</v>
      </c>
      <c r="H31">
        <v>15772</v>
      </c>
      <c r="I31">
        <v>10313790100</v>
      </c>
      <c r="J31">
        <v>68930363800</v>
      </c>
      <c r="K31">
        <v>6.6833204022641404</v>
      </c>
      <c r="L31">
        <v>1686500</v>
      </c>
      <c r="M31">
        <v>1257948400</v>
      </c>
      <c r="N31">
        <v>155612500</v>
      </c>
      <c r="O31">
        <v>1413560900</v>
      </c>
      <c r="P31">
        <v>93700</v>
      </c>
      <c r="Q31">
        <v>8513924300</v>
      </c>
      <c r="R31">
        <v>8514018000</v>
      </c>
      <c r="S31">
        <v>673600</v>
      </c>
      <c r="T31">
        <v>11656100</v>
      </c>
      <c r="U31">
        <v>754614800</v>
      </c>
      <c r="V31">
        <v>66309019200</v>
      </c>
      <c r="W31">
        <v>170900</v>
      </c>
      <c r="X31">
        <v>10313790100</v>
      </c>
    </row>
    <row r="32" spans="1:24" x14ac:dyDescent="0.3">
      <c r="A32">
        <v>31</v>
      </c>
      <c r="B32">
        <v>65536</v>
      </c>
      <c r="C32">
        <v>7</v>
      </c>
      <c r="D32">
        <v>512</v>
      </c>
      <c r="E32">
        <v>0.35</v>
      </c>
      <c r="F32">
        <v>7</v>
      </c>
      <c r="G32">
        <v>255</v>
      </c>
      <c r="H32">
        <v>7560</v>
      </c>
      <c r="I32">
        <v>7066422700</v>
      </c>
      <c r="J32">
        <v>43775331900</v>
      </c>
      <c r="K32">
        <v>6.19483630663645</v>
      </c>
      <c r="L32">
        <v>1013300</v>
      </c>
      <c r="M32">
        <v>1259005000</v>
      </c>
      <c r="N32">
        <v>1353692300</v>
      </c>
      <c r="O32">
        <v>2612697300</v>
      </c>
      <c r="P32">
        <v>79300</v>
      </c>
      <c r="Q32">
        <v>4068527400</v>
      </c>
      <c r="R32">
        <v>4068606700</v>
      </c>
      <c r="S32">
        <v>669100</v>
      </c>
      <c r="T32">
        <v>17269600</v>
      </c>
      <c r="U32">
        <v>7378687200</v>
      </c>
      <c r="V32">
        <v>34767806500</v>
      </c>
      <c r="W32">
        <v>230800</v>
      </c>
      <c r="X32">
        <v>7066422700</v>
      </c>
    </row>
    <row r="33" spans="1:24" x14ac:dyDescent="0.3">
      <c r="A33">
        <v>32</v>
      </c>
      <c r="B33">
        <v>65536</v>
      </c>
      <c r="C33">
        <v>7</v>
      </c>
      <c r="D33">
        <v>512</v>
      </c>
      <c r="E33">
        <v>0.5</v>
      </c>
      <c r="F33">
        <v>7</v>
      </c>
      <c r="G33">
        <v>255</v>
      </c>
      <c r="H33">
        <v>3408</v>
      </c>
      <c r="I33">
        <v>4391944200</v>
      </c>
      <c r="J33">
        <v>23037360600</v>
      </c>
      <c r="K33">
        <v>5.2453673250220199</v>
      </c>
      <c r="L33">
        <v>601500</v>
      </c>
      <c r="M33">
        <v>1259237100</v>
      </c>
      <c r="N33">
        <v>915599600</v>
      </c>
      <c r="O33">
        <v>2174836700</v>
      </c>
      <c r="P33">
        <v>99700</v>
      </c>
      <c r="Q33">
        <v>1832675100</v>
      </c>
      <c r="R33">
        <v>1832774800</v>
      </c>
      <c r="S33">
        <v>776000</v>
      </c>
      <c r="T33">
        <v>20866600</v>
      </c>
      <c r="U33">
        <v>5271067900</v>
      </c>
      <c r="V33">
        <v>16031262000</v>
      </c>
      <c r="W33">
        <v>181600</v>
      </c>
      <c r="X33">
        <v>4391944200</v>
      </c>
    </row>
    <row r="34" spans="1:24" x14ac:dyDescent="0.3">
      <c r="A34">
        <v>33</v>
      </c>
      <c r="B34">
        <v>65536</v>
      </c>
      <c r="C34">
        <v>7</v>
      </c>
      <c r="D34">
        <v>512</v>
      </c>
      <c r="E34">
        <v>0.65</v>
      </c>
      <c r="F34">
        <v>7</v>
      </c>
      <c r="G34">
        <v>255</v>
      </c>
      <c r="H34">
        <v>1408</v>
      </c>
      <c r="I34">
        <v>3005824200</v>
      </c>
      <c r="J34">
        <v>11839358400</v>
      </c>
      <c r="K34">
        <v>3.9388060020276598</v>
      </c>
      <c r="L34">
        <v>337900</v>
      </c>
      <c r="M34">
        <v>1258416100</v>
      </c>
      <c r="N34">
        <v>597794900</v>
      </c>
      <c r="O34">
        <v>1856211000</v>
      </c>
      <c r="P34">
        <v>103300</v>
      </c>
      <c r="Q34">
        <v>763035100</v>
      </c>
      <c r="R34">
        <v>763138400</v>
      </c>
      <c r="S34">
        <v>679000</v>
      </c>
      <c r="T34">
        <v>12545500</v>
      </c>
      <c r="U34">
        <v>3328629800</v>
      </c>
      <c r="V34">
        <v>6493981300</v>
      </c>
      <c r="W34">
        <v>264600</v>
      </c>
      <c r="X34">
        <v>3005824200</v>
      </c>
    </row>
    <row r="35" spans="1:24" x14ac:dyDescent="0.3">
      <c r="A35">
        <v>34</v>
      </c>
      <c r="B35">
        <v>65536</v>
      </c>
      <c r="C35">
        <v>7</v>
      </c>
      <c r="D35">
        <v>512</v>
      </c>
      <c r="E35">
        <v>0.8</v>
      </c>
      <c r="F35">
        <v>7</v>
      </c>
      <c r="G35">
        <v>255</v>
      </c>
      <c r="H35">
        <v>984</v>
      </c>
      <c r="I35">
        <v>2771403300</v>
      </c>
      <c r="J35">
        <v>8398416000</v>
      </c>
      <c r="K35">
        <v>3.0303839213874002</v>
      </c>
      <c r="L35">
        <v>230100</v>
      </c>
      <c r="M35">
        <v>1259407500</v>
      </c>
      <c r="N35">
        <v>412570600</v>
      </c>
      <c r="O35">
        <v>1671978100</v>
      </c>
      <c r="P35">
        <v>85800</v>
      </c>
      <c r="Q35">
        <v>535862000</v>
      </c>
      <c r="R35">
        <v>535947800</v>
      </c>
      <c r="S35">
        <v>658300</v>
      </c>
      <c r="T35">
        <v>11792700</v>
      </c>
      <c r="U35">
        <v>2331700800</v>
      </c>
      <c r="V35">
        <v>4446890200</v>
      </c>
      <c r="W35">
        <v>159300</v>
      </c>
      <c r="X35">
        <v>2771403300</v>
      </c>
    </row>
    <row r="36" spans="1:24" x14ac:dyDescent="0.3">
      <c r="A36">
        <v>35</v>
      </c>
      <c r="B36">
        <v>65536</v>
      </c>
      <c r="C36">
        <v>7</v>
      </c>
      <c r="D36">
        <v>512</v>
      </c>
      <c r="E36">
        <v>0.95</v>
      </c>
      <c r="F36">
        <v>7</v>
      </c>
      <c r="G36">
        <v>255</v>
      </c>
      <c r="H36">
        <v>256</v>
      </c>
      <c r="I36">
        <v>1765319300</v>
      </c>
      <c r="J36">
        <v>4373696700</v>
      </c>
      <c r="K36">
        <v>2.4775669194802301</v>
      </c>
      <c r="L36">
        <v>93100</v>
      </c>
      <c r="M36">
        <v>1247382200</v>
      </c>
      <c r="N36">
        <v>280852700</v>
      </c>
      <c r="O36">
        <v>1528234900</v>
      </c>
      <c r="P36">
        <v>46700</v>
      </c>
      <c r="Q36">
        <v>140584700</v>
      </c>
      <c r="R36">
        <v>140631400</v>
      </c>
      <c r="S36">
        <v>683700</v>
      </c>
      <c r="T36">
        <v>11723900</v>
      </c>
      <c r="U36">
        <v>1598117900</v>
      </c>
      <c r="V36">
        <v>1155933200</v>
      </c>
      <c r="W36">
        <v>233500</v>
      </c>
      <c r="X36">
        <v>1765319300</v>
      </c>
    </row>
    <row r="37" spans="1:24" x14ac:dyDescent="0.3">
      <c r="A37">
        <v>36</v>
      </c>
      <c r="B37">
        <v>131072</v>
      </c>
      <c r="C37">
        <v>3</v>
      </c>
      <c r="D37">
        <v>64</v>
      </c>
      <c r="E37">
        <v>0.5</v>
      </c>
      <c r="F37">
        <v>11</v>
      </c>
      <c r="G37">
        <v>4095</v>
      </c>
      <c r="H37">
        <v>82644</v>
      </c>
      <c r="I37">
        <v>1477844300</v>
      </c>
      <c r="J37">
        <v>8914018600</v>
      </c>
      <c r="K37">
        <v>6.0317711412494504</v>
      </c>
      <c r="L37">
        <v>21770900</v>
      </c>
      <c r="M37">
        <v>200284400</v>
      </c>
      <c r="N37">
        <v>494052600</v>
      </c>
      <c r="O37">
        <v>694337000</v>
      </c>
      <c r="P37">
        <v>242300</v>
      </c>
      <c r="Q37">
        <v>697578300</v>
      </c>
      <c r="R37">
        <v>697820600</v>
      </c>
      <c r="S37">
        <v>1439000</v>
      </c>
      <c r="T37">
        <v>41340500</v>
      </c>
      <c r="U37">
        <v>2476137600</v>
      </c>
      <c r="V37">
        <v>5314399500</v>
      </c>
      <c r="W37">
        <v>378600</v>
      </c>
      <c r="X37">
        <v>1477844300</v>
      </c>
    </row>
    <row r="38" spans="1:24" x14ac:dyDescent="0.3">
      <c r="A38">
        <v>37</v>
      </c>
      <c r="B38">
        <v>131072</v>
      </c>
      <c r="C38">
        <v>3</v>
      </c>
      <c r="D38">
        <v>64</v>
      </c>
      <c r="E38">
        <v>0.2</v>
      </c>
      <c r="F38">
        <v>11</v>
      </c>
      <c r="G38">
        <v>4095</v>
      </c>
      <c r="H38">
        <v>915856</v>
      </c>
      <c r="I38">
        <v>10990595400</v>
      </c>
      <c r="J38">
        <v>75656499700</v>
      </c>
      <c r="K38">
        <v>6.8837489641370997</v>
      </c>
      <c r="L38">
        <v>153637800</v>
      </c>
      <c r="M38">
        <v>297509400</v>
      </c>
      <c r="N38">
        <v>2788556600</v>
      </c>
      <c r="O38">
        <v>3086066000</v>
      </c>
      <c r="P38">
        <v>2365700</v>
      </c>
      <c r="Q38">
        <v>7682129200</v>
      </c>
      <c r="R38">
        <v>7684494900</v>
      </c>
      <c r="S38">
        <v>1293000</v>
      </c>
      <c r="T38">
        <v>40698100</v>
      </c>
      <c r="U38">
        <v>15431834400</v>
      </c>
      <c r="V38">
        <v>59363269300</v>
      </c>
      <c r="W38">
        <v>483900</v>
      </c>
      <c r="X38">
        <v>10990595400</v>
      </c>
    </row>
    <row r="39" spans="1:24" x14ac:dyDescent="0.3">
      <c r="A39">
        <v>38</v>
      </c>
      <c r="B39">
        <v>131072</v>
      </c>
      <c r="C39">
        <v>3</v>
      </c>
      <c r="D39">
        <v>64</v>
      </c>
      <c r="E39">
        <v>0.35</v>
      </c>
      <c r="F39">
        <v>11</v>
      </c>
      <c r="G39">
        <v>4095</v>
      </c>
      <c r="H39">
        <v>207824</v>
      </c>
      <c r="I39">
        <v>3526910600</v>
      </c>
      <c r="J39">
        <v>20165138700</v>
      </c>
      <c r="K39">
        <v>5.7175077531026703</v>
      </c>
      <c r="L39">
        <v>43779900</v>
      </c>
      <c r="M39">
        <v>268589300</v>
      </c>
      <c r="N39">
        <v>1119088300</v>
      </c>
      <c r="O39">
        <v>1387677600</v>
      </c>
      <c r="P39">
        <v>618100</v>
      </c>
      <c r="Q39">
        <v>1738183600</v>
      </c>
      <c r="R39">
        <v>1738801700</v>
      </c>
      <c r="S39">
        <v>1240600</v>
      </c>
      <c r="T39">
        <v>36562900</v>
      </c>
      <c r="U39">
        <v>5875486300</v>
      </c>
      <c r="V39">
        <v>13476702600</v>
      </c>
      <c r="W39">
        <v>479300</v>
      </c>
      <c r="X39">
        <v>3526910600</v>
      </c>
    </row>
    <row r="40" spans="1:24" x14ac:dyDescent="0.3">
      <c r="A40">
        <v>39</v>
      </c>
      <c r="B40">
        <v>131072</v>
      </c>
      <c r="C40">
        <v>3</v>
      </c>
      <c r="D40">
        <v>64</v>
      </c>
      <c r="E40">
        <v>0.5</v>
      </c>
      <c r="F40">
        <v>11</v>
      </c>
      <c r="G40">
        <v>4095</v>
      </c>
      <c r="H40">
        <v>82440</v>
      </c>
      <c r="I40">
        <v>1749486200</v>
      </c>
      <c r="J40">
        <v>8971353900</v>
      </c>
      <c r="K40">
        <v>5.1279935217551298</v>
      </c>
      <c r="L40">
        <v>20417400</v>
      </c>
      <c r="M40">
        <v>191493500</v>
      </c>
      <c r="N40">
        <v>492096900</v>
      </c>
      <c r="O40">
        <v>683590400</v>
      </c>
      <c r="P40">
        <v>257800</v>
      </c>
      <c r="Q40">
        <v>693262500</v>
      </c>
      <c r="R40">
        <v>693520300</v>
      </c>
      <c r="S40">
        <v>1335300</v>
      </c>
      <c r="T40">
        <v>43614200</v>
      </c>
      <c r="U40">
        <v>2501656600</v>
      </c>
      <c r="V40">
        <v>5328645800</v>
      </c>
      <c r="W40">
        <v>552300</v>
      </c>
      <c r="X40">
        <v>1749486200</v>
      </c>
    </row>
    <row r="41" spans="1:24" x14ac:dyDescent="0.3">
      <c r="A41">
        <v>40</v>
      </c>
      <c r="B41">
        <v>131072</v>
      </c>
      <c r="C41">
        <v>3</v>
      </c>
      <c r="D41">
        <v>64</v>
      </c>
      <c r="E41">
        <v>0.65</v>
      </c>
      <c r="F41">
        <v>11</v>
      </c>
      <c r="G41">
        <v>4095</v>
      </c>
      <c r="H41">
        <v>29940</v>
      </c>
      <c r="I41">
        <v>813083200</v>
      </c>
      <c r="J41">
        <v>3552387400</v>
      </c>
      <c r="K41">
        <v>4.3690330829612503</v>
      </c>
      <c r="L41">
        <v>5768600</v>
      </c>
      <c r="M41">
        <v>253420700</v>
      </c>
      <c r="N41">
        <v>219113000</v>
      </c>
      <c r="O41">
        <v>472533700</v>
      </c>
      <c r="P41">
        <v>185500</v>
      </c>
      <c r="Q41">
        <v>268876200</v>
      </c>
      <c r="R41">
        <v>269061700</v>
      </c>
      <c r="S41">
        <v>1418900</v>
      </c>
      <c r="T41">
        <v>43364100</v>
      </c>
      <c r="U41">
        <v>983345700</v>
      </c>
      <c r="V41">
        <v>1846033700</v>
      </c>
      <c r="W41">
        <v>526400</v>
      </c>
      <c r="X41">
        <v>813083200</v>
      </c>
    </row>
    <row r="42" spans="1:24" x14ac:dyDescent="0.3">
      <c r="A42">
        <v>41</v>
      </c>
      <c r="B42">
        <v>131072</v>
      </c>
      <c r="C42">
        <v>3</v>
      </c>
      <c r="D42">
        <v>64</v>
      </c>
      <c r="E42">
        <v>0.8</v>
      </c>
      <c r="F42">
        <v>11</v>
      </c>
      <c r="G42">
        <v>4095</v>
      </c>
      <c r="H42">
        <v>14828</v>
      </c>
      <c r="I42">
        <v>569779900</v>
      </c>
      <c r="J42">
        <v>2461696000</v>
      </c>
      <c r="K42">
        <v>4.3204332058747497</v>
      </c>
      <c r="L42">
        <v>3264600</v>
      </c>
      <c r="M42">
        <v>216040600</v>
      </c>
      <c r="N42">
        <v>138395400</v>
      </c>
      <c r="O42">
        <v>354436000</v>
      </c>
      <c r="P42">
        <v>143700</v>
      </c>
      <c r="Q42">
        <v>144545600</v>
      </c>
      <c r="R42">
        <v>144689300</v>
      </c>
      <c r="S42">
        <v>1206400</v>
      </c>
      <c r="T42">
        <v>33344700</v>
      </c>
      <c r="U42">
        <v>577886600</v>
      </c>
      <c r="V42">
        <v>889363800</v>
      </c>
      <c r="W42">
        <v>342100</v>
      </c>
      <c r="X42">
        <v>569779900</v>
      </c>
    </row>
    <row r="43" spans="1:24" x14ac:dyDescent="0.3">
      <c r="A43">
        <v>42</v>
      </c>
      <c r="B43">
        <v>131072</v>
      </c>
      <c r="C43">
        <v>3</v>
      </c>
      <c r="D43">
        <v>64</v>
      </c>
      <c r="E43">
        <v>0.95</v>
      </c>
      <c r="F43">
        <v>11</v>
      </c>
      <c r="G43">
        <v>4095</v>
      </c>
      <c r="H43">
        <v>8192</v>
      </c>
      <c r="I43">
        <v>361351100</v>
      </c>
      <c r="J43">
        <v>1356508000</v>
      </c>
      <c r="K43">
        <v>3.7539888490722699</v>
      </c>
      <c r="L43">
        <v>1248500</v>
      </c>
      <c r="M43">
        <v>145264100</v>
      </c>
      <c r="N43">
        <v>49558300</v>
      </c>
      <c r="O43">
        <v>194822400</v>
      </c>
      <c r="P43">
        <v>107600</v>
      </c>
      <c r="Q43">
        <v>86751400</v>
      </c>
      <c r="R43">
        <v>86859000</v>
      </c>
      <c r="S43">
        <v>1364900</v>
      </c>
      <c r="T43">
        <v>33081700</v>
      </c>
      <c r="U43">
        <v>200249500</v>
      </c>
      <c r="V43">
        <v>492379300</v>
      </c>
      <c r="W43">
        <v>445100</v>
      </c>
      <c r="X43">
        <v>361351100</v>
      </c>
    </row>
    <row r="44" spans="1:24" x14ac:dyDescent="0.3">
      <c r="A44">
        <v>43</v>
      </c>
      <c r="B44">
        <v>131072</v>
      </c>
      <c r="C44">
        <v>4</v>
      </c>
      <c r="D44">
        <v>125</v>
      </c>
      <c r="E44">
        <v>0.5</v>
      </c>
      <c r="F44">
        <v>11</v>
      </c>
      <c r="G44">
        <v>4095</v>
      </c>
      <c r="H44">
        <v>82084</v>
      </c>
      <c r="I44">
        <v>2837250400</v>
      </c>
      <c r="J44">
        <v>15185314500</v>
      </c>
      <c r="K44">
        <v>5.3521234854702904</v>
      </c>
      <c r="L44">
        <v>19360700</v>
      </c>
      <c r="M44">
        <v>515626400</v>
      </c>
      <c r="N44">
        <v>1473527400</v>
      </c>
      <c r="O44">
        <v>1989153800</v>
      </c>
      <c r="P44">
        <v>256100</v>
      </c>
      <c r="Q44">
        <v>718120000</v>
      </c>
      <c r="R44">
        <v>718376100</v>
      </c>
      <c r="S44">
        <v>1225800</v>
      </c>
      <c r="T44">
        <v>43255700</v>
      </c>
      <c r="U44">
        <v>8466056000</v>
      </c>
      <c r="V44">
        <v>4871027200</v>
      </c>
      <c r="W44">
        <v>354600</v>
      </c>
      <c r="X44">
        <v>2837250400</v>
      </c>
    </row>
    <row r="45" spans="1:24" x14ac:dyDescent="0.3">
      <c r="A45">
        <v>44</v>
      </c>
      <c r="B45">
        <v>131072</v>
      </c>
      <c r="C45">
        <v>4</v>
      </c>
      <c r="D45">
        <v>125</v>
      </c>
      <c r="E45">
        <v>0.2</v>
      </c>
      <c r="F45">
        <v>11</v>
      </c>
      <c r="G45">
        <v>4095</v>
      </c>
      <c r="H45">
        <v>916252</v>
      </c>
      <c r="I45">
        <v>18200316200</v>
      </c>
      <c r="J45">
        <v>107758597500</v>
      </c>
      <c r="K45">
        <v>5.9206991964238496</v>
      </c>
      <c r="L45">
        <v>137615200</v>
      </c>
      <c r="M45">
        <v>515912500</v>
      </c>
      <c r="N45">
        <v>8972505300</v>
      </c>
      <c r="O45">
        <v>9488417800</v>
      </c>
      <c r="P45">
        <v>2204700</v>
      </c>
      <c r="Q45">
        <v>8018804800</v>
      </c>
      <c r="R45">
        <v>8021009500</v>
      </c>
      <c r="S45">
        <v>1303600</v>
      </c>
      <c r="T45">
        <v>41979300</v>
      </c>
      <c r="U45">
        <v>51971529500</v>
      </c>
      <c r="V45">
        <v>54165091200</v>
      </c>
      <c r="W45">
        <v>375900</v>
      </c>
      <c r="X45">
        <v>18200316200</v>
      </c>
    </row>
    <row r="46" spans="1:24" x14ac:dyDescent="0.3">
      <c r="A46">
        <v>45</v>
      </c>
      <c r="B46">
        <v>131072</v>
      </c>
      <c r="C46">
        <v>4</v>
      </c>
      <c r="D46">
        <v>125</v>
      </c>
      <c r="E46">
        <v>0.35</v>
      </c>
      <c r="F46">
        <v>11</v>
      </c>
      <c r="G46">
        <v>4095</v>
      </c>
      <c r="H46">
        <v>208808</v>
      </c>
      <c r="I46">
        <v>6323106600</v>
      </c>
      <c r="J46">
        <v>34119287200</v>
      </c>
      <c r="K46">
        <v>5.3959690004277299</v>
      </c>
      <c r="L46">
        <v>45998700</v>
      </c>
      <c r="M46">
        <v>561365000</v>
      </c>
      <c r="N46">
        <v>3506382800</v>
      </c>
      <c r="O46">
        <v>4067747800</v>
      </c>
      <c r="P46">
        <v>591800</v>
      </c>
      <c r="Q46">
        <v>1811921200</v>
      </c>
      <c r="R46">
        <v>1812513000</v>
      </c>
      <c r="S46">
        <v>1213200</v>
      </c>
      <c r="T46">
        <v>39046700</v>
      </c>
      <c r="U46">
        <v>20180683100</v>
      </c>
      <c r="V46">
        <v>12349616700</v>
      </c>
      <c r="W46">
        <v>357700</v>
      </c>
      <c r="X46">
        <v>6323106600</v>
      </c>
    </row>
    <row r="47" spans="1:24" x14ac:dyDescent="0.3">
      <c r="A47">
        <v>46</v>
      </c>
      <c r="B47">
        <v>131072</v>
      </c>
      <c r="C47">
        <v>4</v>
      </c>
      <c r="D47">
        <v>125</v>
      </c>
      <c r="E47">
        <v>0.5</v>
      </c>
      <c r="F47">
        <v>11</v>
      </c>
      <c r="G47">
        <v>4095</v>
      </c>
      <c r="H47">
        <v>81912</v>
      </c>
      <c r="I47">
        <v>3183753400</v>
      </c>
      <c r="J47">
        <v>15301351900</v>
      </c>
      <c r="K47">
        <v>4.8060732027800901</v>
      </c>
      <c r="L47">
        <v>23893600</v>
      </c>
      <c r="M47">
        <v>557278500</v>
      </c>
      <c r="N47">
        <v>1494333500</v>
      </c>
      <c r="O47">
        <v>2051612000</v>
      </c>
      <c r="P47">
        <v>226400</v>
      </c>
      <c r="Q47">
        <v>711148900</v>
      </c>
      <c r="R47">
        <v>711375300</v>
      </c>
      <c r="S47">
        <v>1234500</v>
      </c>
      <c r="T47">
        <v>41194700</v>
      </c>
      <c r="U47">
        <v>8564270000</v>
      </c>
      <c r="V47">
        <v>4847623200</v>
      </c>
      <c r="W47">
        <v>377700</v>
      </c>
      <c r="X47">
        <v>3183753400</v>
      </c>
    </row>
    <row r="48" spans="1:24" x14ac:dyDescent="0.3">
      <c r="A48">
        <v>47</v>
      </c>
      <c r="B48">
        <v>131072</v>
      </c>
      <c r="C48">
        <v>4</v>
      </c>
      <c r="D48">
        <v>125</v>
      </c>
      <c r="E48">
        <v>0.65</v>
      </c>
      <c r="F48">
        <v>11</v>
      </c>
      <c r="G48">
        <v>4095</v>
      </c>
      <c r="H48">
        <v>30432</v>
      </c>
      <c r="I48">
        <v>1954318900</v>
      </c>
      <c r="J48">
        <v>6895263000</v>
      </c>
      <c r="K48">
        <v>3.5282179382290102</v>
      </c>
      <c r="L48">
        <v>5551100</v>
      </c>
      <c r="M48">
        <v>475466500</v>
      </c>
      <c r="N48">
        <v>624124700</v>
      </c>
      <c r="O48">
        <v>1099591200</v>
      </c>
      <c r="P48">
        <v>172800</v>
      </c>
      <c r="Q48">
        <v>265578200</v>
      </c>
      <c r="R48">
        <v>265751000</v>
      </c>
      <c r="S48">
        <v>1278900</v>
      </c>
      <c r="T48">
        <v>40193300</v>
      </c>
      <c r="U48">
        <v>3577474300</v>
      </c>
      <c r="V48">
        <v>1815682200</v>
      </c>
      <c r="W48">
        <v>373800</v>
      </c>
      <c r="X48">
        <v>1954318900</v>
      </c>
    </row>
    <row r="49" spans="1:24" x14ac:dyDescent="0.3">
      <c r="A49">
        <v>48</v>
      </c>
      <c r="B49">
        <v>131072</v>
      </c>
      <c r="C49">
        <v>4</v>
      </c>
      <c r="D49">
        <v>125</v>
      </c>
      <c r="E49">
        <v>0.8</v>
      </c>
      <c r="F49">
        <v>11</v>
      </c>
      <c r="G49">
        <v>4095</v>
      </c>
      <c r="H49">
        <v>14492</v>
      </c>
      <c r="I49">
        <v>1189340000</v>
      </c>
      <c r="J49">
        <v>4864160700</v>
      </c>
      <c r="K49">
        <v>4.08979829148939</v>
      </c>
      <c r="L49">
        <v>3037400</v>
      </c>
      <c r="M49">
        <v>571628200</v>
      </c>
      <c r="N49">
        <v>373684700</v>
      </c>
      <c r="O49">
        <v>945312900</v>
      </c>
      <c r="P49">
        <v>141800</v>
      </c>
      <c r="Q49">
        <v>129568800</v>
      </c>
      <c r="R49">
        <v>129710600</v>
      </c>
      <c r="S49">
        <v>1259100</v>
      </c>
      <c r="T49">
        <v>42533100</v>
      </c>
      <c r="U49">
        <v>2112691900</v>
      </c>
      <c r="V49">
        <v>867341100</v>
      </c>
      <c r="W49">
        <v>397000</v>
      </c>
      <c r="X49">
        <v>1189340000</v>
      </c>
    </row>
    <row r="50" spans="1:24" x14ac:dyDescent="0.3">
      <c r="A50">
        <v>49</v>
      </c>
      <c r="B50">
        <v>131072</v>
      </c>
      <c r="C50">
        <v>4</v>
      </c>
      <c r="D50">
        <v>125</v>
      </c>
      <c r="E50">
        <v>0.95</v>
      </c>
      <c r="F50">
        <v>11</v>
      </c>
      <c r="G50">
        <v>4095</v>
      </c>
      <c r="H50">
        <v>8192</v>
      </c>
      <c r="I50">
        <v>737458000</v>
      </c>
      <c r="J50">
        <v>2788910000</v>
      </c>
      <c r="K50">
        <v>3.7817882509919198</v>
      </c>
      <c r="L50">
        <v>1374300</v>
      </c>
      <c r="M50">
        <v>415965500</v>
      </c>
      <c r="N50">
        <v>132364900</v>
      </c>
      <c r="O50">
        <v>548330400</v>
      </c>
      <c r="P50">
        <v>145300</v>
      </c>
      <c r="Q50">
        <v>73420100</v>
      </c>
      <c r="R50">
        <v>73565400</v>
      </c>
      <c r="S50">
        <v>1348800</v>
      </c>
      <c r="T50">
        <v>42914000</v>
      </c>
      <c r="U50">
        <v>731852000</v>
      </c>
      <c r="V50">
        <v>490323800</v>
      </c>
      <c r="W50">
        <v>354600</v>
      </c>
      <c r="X50">
        <v>737458000</v>
      </c>
    </row>
    <row r="51" spans="1:24" x14ac:dyDescent="0.3">
      <c r="A51">
        <v>50</v>
      </c>
      <c r="B51">
        <v>131072</v>
      </c>
      <c r="C51">
        <v>5</v>
      </c>
      <c r="D51">
        <v>216</v>
      </c>
      <c r="E51">
        <v>0.5</v>
      </c>
      <c r="F51">
        <v>10</v>
      </c>
      <c r="G51">
        <v>2047</v>
      </c>
      <c r="H51">
        <v>34572</v>
      </c>
      <c r="I51">
        <v>4804534500</v>
      </c>
      <c r="J51">
        <v>23378717300</v>
      </c>
      <c r="K51">
        <v>4.8659692838088597</v>
      </c>
      <c r="L51">
        <v>6384700</v>
      </c>
      <c r="M51">
        <v>873008100</v>
      </c>
      <c r="N51">
        <v>2622310100</v>
      </c>
      <c r="O51">
        <v>3495318200</v>
      </c>
      <c r="P51">
        <v>136000</v>
      </c>
      <c r="Q51">
        <v>1155346600</v>
      </c>
      <c r="R51">
        <v>1155482600</v>
      </c>
      <c r="S51">
        <v>1219200</v>
      </c>
      <c r="T51">
        <v>41283000</v>
      </c>
      <c r="U51">
        <v>12515648500</v>
      </c>
      <c r="V51">
        <v>8416963100</v>
      </c>
      <c r="W51">
        <v>416400</v>
      </c>
      <c r="X51">
        <v>4804534500</v>
      </c>
    </row>
    <row r="52" spans="1:24" x14ac:dyDescent="0.3">
      <c r="A52">
        <v>51</v>
      </c>
      <c r="B52">
        <v>131072</v>
      </c>
      <c r="C52">
        <v>5</v>
      </c>
      <c r="D52">
        <v>216</v>
      </c>
      <c r="E52">
        <v>0.2</v>
      </c>
      <c r="F52">
        <v>10</v>
      </c>
      <c r="G52">
        <v>2047</v>
      </c>
      <c r="H52">
        <v>330512</v>
      </c>
      <c r="I52">
        <v>27599242800</v>
      </c>
      <c r="J52">
        <v>154514764100</v>
      </c>
      <c r="K52">
        <v>5.59851461214725</v>
      </c>
      <c r="L52">
        <v>54195800</v>
      </c>
      <c r="M52">
        <v>928231000</v>
      </c>
      <c r="N52">
        <v>15099810100</v>
      </c>
      <c r="O52">
        <v>16028041100</v>
      </c>
      <c r="P52">
        <v>904500</v>
      </c>
      <c r="Q52">
        <v>11075683300</v>
      </c>
      <c r="R52">
        <v>11076587800</v>
      </c>
      <c r="S52">
        <v>1206000</v>
      </c>
      <c r="T52">
        <v>39730400</v>
      </c>
      <c r="U52">
        <v>71901317200</v>
      </c>
      <c r="V52">
        <v>80472181500</v>
      </c>
      <c r="W52">
        <v>402300</v>
      </c>
      <c r="X52">
        <v>27599242800</v>
      </c>
    </row>
    <row r="53" spans="1:24" x14ac:dyDescent="0.3">
      <c r="A53">
        <v>52</v>
      </c>
      <c r="B53">
        <v>131072</v>
      </c>
      <c r="C53">
        <v>5</v>
      </c>
      <c r="D53">
        <v>216</v>
      </c>
      <c r="E53">
        <v>0.35</v>
      </c>
      <c r="F53">
        <v>10</v>
      </c>
      <c r="G53">
        <v>2047</v>
      </c>
      <c r="H53">
        <v>89900</v>
      </c>
      <c r="I53">
        <v>10483691200</v>
      </c>
      <c r="J53">
        <v>53764752400</v>
      </c>
      <c r="K53">
        <v>5.1284181663038604</v>
      </c>
      <c r="L53">
        <v>23604200</v>
      </c>
      <c r="M53">
        <v>857289500</v>
      </c>
      <c r="N53">
        <v>6168646200</v>
      </c>
      <c r="O53">
        <v>7025935700</v>
      </c>
      <c r="P53">
        <v>174900</v>
      </c>
      <c r="Q53">
        <v>3000289700</v>
      </c>
      <c r="R53">
        <v>3000464600</v>
      </c>
      <c r="S53">
        <v>1216600</v>
      </c>
      <c r="T53">
        <v>39017900</v>
      </c>
      <c r="U53">
        <v>29389128500</v>
      </c>
      <c r="V53">
        <v>21893062300</v>
      </c>
      <c r="W53">
        <v>350500</v>
      </c>
      <c r="X53">
        <v>10483691200</v>
      </c>
    </row>
    <row r="54" spans="1:24" x14ac:dyDescent="0.3">
      <c r="A54">
        <v>53</v>
      </c>
      <c r="B54">
        <v>131072</v>
      </c>
      <c r="C54">
        <v>5</v>
      </c>
      <c r="D54">
        <v>216</v>
      </c>
      <c r="E54">
        <v>0.5</v>
      </c>
      <c r="F54">
        <v>10</v>
      </c>
      <c r="G54">
        <v>2047</v>
      </c>
      <c r="H54">
        <v>34612</v>
      </c>
      <c r="I54">
        <v>5077706900</v>
      </c>
      <c r="J54">
        <v>22991043000</v>
      </c>
      <c r="K54">
        <v>4.5278397222966902</v>
      </c>
      <c r="L54">
        <v>6208800</v>
      </c>
      <c r="M54">
        <v>853417400</v>
      </c>
      <c r="N54">
        <v>2627045600</v>
      </c>
      <c r="O54">
        <v>3480463000</v>
      </c>
      <c r="P54">
        <v>122600</v>
      </c>
      <c r="Q54">
        <v>1156743500</v>
      </c>
      <c r="R54">
        <v>1156866100</v>
      </c>
      <c r="S54">
        <v>1357400</v>
      </c>
      <c r="T54">
        <v>38343500</v>
      </c>
      <c r="U54">
        <v>12487800600</v>
      </c>
      <c r="V54">
        <v>8437678700</v>
      </c>
      <c r="W54">
        <v>353100</v>
      </c>
      <c r="X54">
        <v>5077706900</v>
      </c>
    </row>
    <row r="55" spans="1:24" x14ac:dyDescent="0.3">
      <c r="A55">
        <v>54</v>
      </c>
      <c r="B55">
        <v>131072</v>
      </c>
      <c r="C55">
        <v>5</v>
      </c>
      <c r="D55">
        <v>216</v>
      </c>
      <c r="E55">
        <v>0.65</v>
      </c>
      <c r="F55">
        <v>10</v>
      </c>
      <c r="G55">
        <v>2047</v>
      </c>
      <c r="H55">
        <v>12284</v>
      </c>
      <c r="I55">
        <v>2951655500</v>
      </c>
      <c r="J55">
        <v>11294684200</v>
      </c>
      <c r="K55">
        <v>3.8265590953957802</v>
      </c>
      <c r="L55">
        <v>2602200</v>
      </c>
      <c r="M55">
        <v>869029200</v>
      </c>
      <c r="N55">
        <v>1231146600</v>
      </c>
      <c r="O55">
        <v>2100175800</v>
      </c>
      <c r="P55">
        <v>88200</v>
      </c>
      <c r="Q55">
        <v>414458400</v>
      </c>
      <c r="R55">
        <v>414546600</v>
      </c>
      <c r="S55">
        <v>1235200</v>
      </c>
      <c r="T55">
        <v>37981300</v>
      </c>
      <c r="U55">
        <v>5882379400</v>
      </c>
      <c r="V55">
        <v>3007185100</v>
      </c>
      <c r="W55">
        <v>364300</v>
      </c>
      <c r="X55">
        <v>2951655500</v>
      </c>
    </row>
    <row r="56" spans="1:24" x14ac:dyDescent="0.3">
      <c r="A56">
        <v>55</v>
      </c>
      <c r="B56">
        <v>131072</v>
      </c>
      <c r="C56">
        <v>5</v>
      </c>
      <c r="D56">
        <v>216</v>
      </c>
      <c r="E56">
        <v>0.8</v>
      </c>
      <c r="F56">
        <v>10</v>
      </c>
      <c r="G56">
        <v>2047</v>
      </c>
      <c r="H56">
        <v>7312</v>
      </c>
      <c r="I56">
        <v>2413343800</v>
      </c>
      <c r="J56">
        <v>7345559800</v>
      </c>
      <c r="K56">
        <v>3.0437270479241199</v>
      </c>
      <c r="L56">
        <v>1588800</v>
      </c>
      <c r="M56">
        <v>856208800</v>
      </c>
      <c r="N56">
        <v>709327100</v>
      </c>
      <c r="O56">
        <v>1565535900</v>
      </c>
      <c r="P56">
        <v>77700</v>
      </c>
      <c r="Q56">
        <v>248353300</v>
      </c>
      <c r="R56">
        <v>248431000</v>
      </c>
      <c r="S56">
        <v>1255100</v>
      </c>
      <c r="T56">
        <v>38545700</v>
      </c>
      <c r="U56">
        <v>3411934600</v>
      </c>
      <c r="V56">
        <v>1796631200</v>
      </c>
      <c r="W56">
        <v>358300</v>
      </c>
      <c r="X56">
        <v>2413343800</v>
      </c>
    </row>
    <row r="57" spans="1:24" x14ac:dyDescent="0.3">
      <c r="A57">
        <v>56</v>
      </c>
      <c r="B57">
        <v>131072</v>
      </c>
      <c r="C57">
        <v>5</v>
      </c>
      <c r="D57">
        <v>216</v>
      </c>
      <c r="E57">
        <v>0.95</v>
      </c>
      <c r="F57">
        <v>10</v>
      </c>
      <c r="G57">
        <v>2047</v>
      </c>
      <c r="H57">
        <v>2048</v>
      </c>
      <c r="I57">
        <v>1559006600</v>
      </c>
      <c r="J57">
        <v>5110210700</v>
      </c>
      <c r="K57">
        <v>3.2778634163575702</v>
      </c>
      <c r="L57">
        <v>770800</v>
      </c>
      <c r="M57">
        <v>893148700</v>
      </c>
      <c r="N57">
        <v>444122500</v>
      </c>
      <c r="O57">
        <v>1337271200</v>
      </c>
      <c r="P57">
        <v>80800</v>
      </c>
      <c r="Q57">
        <v>72673700</v>
      </c>
      <c r="R57">
        <v>72754500</v>
      </c>
      <c r="S57">
        <v>1219500</v>
      </c>
      <c r="T57">
        <v>42620000</v>
      </c>
      <c r="U57">
        <v>2158571600</v>
      </c>
      <c r="V57">
        <v>509379800</v>
      </c>
      <c r="W57">
        <v>380400</v>
      </c>
      <c r="X57">
        <v>1559006600</v>
      </c>
    </row>
    <row r="58" spans="1:24" x14ac:dyDescent="0.3">
      <c r="A58">
        <v>57</v>
      </c>
      <c r="B58">
        <v>131072</v>
      </c>
      <c r="C58">
        <v>6</v>
      </c>
      <c r="D58">
        <v>343</v>
      </c>
      <c r="E58">
        <v>0.5</v>
      </c>
      <c r="F58">
        <v>9</v>
      </c>
      <c r="G58">
        <v>1023</v>
      </c>
      <c r="H58">
        <v>19036</v>
      </c>
      <c r="I58">
        <v>7267676100</v>
      </c>
      <c r="J58">
        <v>34593449700</v>
      </c>
      <c r="K58">
        <v>4.7599052604999796</v>
      </c>
      <c r="L58">
        <v>3011000</v>
      </c>
      <c r="M58">
        <v>1914616000</v>
      </c>
      <c r="N58">
        <v>2617704100</v>
      </c>
      <c r="O58">
        <v>4532320100</v>
      </c>
      <c r="P58">
        <v>109700</v>
      </c>
      <c r="Q58">
        <v>2543639300</v>
      </c>
      <c r="R58">
        <v>2543749000</v>
      </c>
      <c r="S58">
        <v>1341300</v>
      </c>
      <c r="T58">
        <v>31507200</v>
      </c>
      <c r="U58">
        <v>12460070900</v>
      </c>
      <c r="V58">
        <v>19501864500</v>
      </c>
      <c r="W58">
        <v>512100</v>
      </c>
      <c r="X58">
        <v>7267676100</v>
      </c>
    </row>
    <row r="59" spans="1:24" x14ac:dyDescent="0.3">
      <c r="A59">
        <v>58</v>
      </c>
      <c r="B59">
        <v>131072</v>
      </c>
      <c r="C59">
        <v>6</v>
      </c>
      <c r="D59">
        <v>343</v>
      </c>
      <c r="E59">
        <v>0.2</v>
      </c>
      <c r="F59">
        <v>9</v>
      </c>
      <c r="G59">
        <v>1023</v>
      </c>
      <c r="H59">
        <v>163936</v>
      </c>
      <c r="I59">
        <v>31370753300</v>
      </c>
      <c r="J59">
        <v>204000014100</v>
      </c>
      <c r="K59">
        <v>6.5028726645209298</v>
      </c>
      <c r="L59">
        <v>19663500</v>
      </c>
      <c r="M59">
        <v>1887447300</v>
      </c>
      <c r="N59">
        <v>6938795100</v>
      </c>
      <c r="O59">
        <v>8826242400</v>
      </c>
      <c r="P59">
        <v>476400</v>
      </c>
      <c r="Q59">
        <v>22047670000</v>
      </c>
      <c r="R59">
        <v>22048146400</v>
      </c>
      <c r="S59">
        <v>1219800</v>
      </c>
      <c r="T59">
        <v>36088600</v>
      </c>
      <c r="U59">
        <v>32785261000</v>
      </c>
      <c r="V59">
        <v>168252160800</v>
      </c>
      <c r="W59">
        <v>368400</v>
      </c>
      <c r="X59">
        <v>31370753300</v>
      </c>
    </row>
    <row r="60" spans="1:24" x14ac:dyDescent="0.3">
      <c r="A60">
        <v>59</v>
      </c>
      <c r="B60">
        <v>131072</v>
      </c>
      <c r="C60">
        <v>6</v>
      </c>
      <c r="D60">
        <v>343</v>
      </c>
      <c r="E60">
        <v>0.35</v>
      </c>
      <c r="F60">
        <v>9</v>
      </c>
      <c r="G60">
        <v>1023</v>
      </c>
      <c r="H60">
        <v>49568</v>
      </c>
      <c r="I60">
        <v>13611624000</v>
      </c>
      <c r="J60">
        <v>75245845900</v>
      </c>
      <c r="K60">
        <v>5.5280579231398104</v>
      </c>
      <c r="L60">
        <v>6897100</v>
      </c>
      <c r="M60">
        <v>1892882400</v>
      </c>
      <c r="N60">
        <v>4578434300</v>
      </c>
      <c r="O60">
        <v>6471316700</v>
      </c>
      <c r="P60">
        <v>139900</v>
      </c>
      <c r="Q60">
        <v>6655927900</v>
      </c>
      <c r="R60">
        <v>6656067800</v>
      </c>
      <c r="S60">
        <v>1267800</v>
      </c>
      <c r="T60">
        <v>34048100</v>
      </c>
      <c r="U60">
        <v>21689092300</v>
      </c>
      <c r="V60">
        <v>50957678300</v>
      </c>
      <c r="W60">
        <v>360500</v>
      </c>
      <c r="X60">
        <v>13611624000</v>
      </c>
    </row>
    <row r="61" spans="1:24" x14ac:dyDescent="0.3">
      <c r="A61">
        <v>60</v>
      </c>
      <c r="B61">
        <v>131072</v>
      </c>
      <c r="C61">
        <v>6</v>
      </c>
      <c r="D61">
        <v>343</v>
      </c>
      <c r="E61">
        <v>0.5</v>
      </c>
      <c r="F61">
        <v>9</v>
      </c>
      <c r="G61">
        <v>1023</v>
      </c>
      <c r="H61">
        <v>19196</v>
      </c>
      <c r="I61">
        <v>7667811500</v>
      </c>
      <c r="J61">
        <v>36141161000</v>
      </c>
      <c r="K61">
        <v>4.7133606505585002</v>
      </c>
      <c r="L61">
        <v>3707400</v>
      </c>
      <c r="M61">
        <v>1895270500</v>
      </c>
      <c r="N61">
        <v>2734682900</v>
      </c>
      <c r="O61">
        <v>4629953400</v>
      </c>
      <c r="P61">
        <v>81700</v>
      </c>
      <c r="Q61">
        <v>2558677600</v>
      </c>
      <c r="R61">
        <v>2558759300</v>
      </c>
      <c r="S61">
        <v>1211000</v>
      </c>
      <c r="T61">
        <v>34428600</v>
      </c>
      <c r="U61">
        <v>12987809800</v>
      </c>
      <c r="V61">
        <v>20213846300</v>
      </c>
      <c r="W61">
        <v>390200</v>
      </c>
      <c r="X61">
        <v>7667811500</v>
      </c>
    </row>
    <row r="62" spans="1:24" x14ac:dyDescent="0.3">
      <c r="A62">
        <v>61</v>
      </c>
      <c r="B62">
        <v>131072</v>
      </c>
      <c r="C62">
        <v>6</v>
      </c>
      <c r="D62">
        <v>343</v>
      </c>
      <c r="E62">
        <v>0.65</v>
      </c>
      <c r="F62">
        <v>9</v>
      </c>
      <c r="G62">
        <v>1023</v>
      </c>
      <c r="H62">
        <v>8560</v>
      </c>
      <c r="I62">
        <v>4633157100</v>
      </c>
      <c r="J62">
        <v>16682254600</v>
      </c>
      <c r="K62">
        <v>3.6006235575305601</v>
      </c>
      <c r="L62">
        <v>1416600</v>
      </c>
      <c r="M62">
        <v>1893202400</v>
      </c>
      <c r="N62">
        <v>1111641600</v>
      </c>
      <c r="O62">
        <v>3004844000</v>
      </c>
      <c r="P62">
        <v>66300</v>
      </c>
      <c r="Q62">
        <v>1145252900</v>
      </c>
      <c r="R62">
        <v>1145319200</v>
      </c>
      <c r="S62">
        <v>1310200</v>
      </c>
      <c r="T62">
        <v>34698400</v>
      </c>
      <c r="U62">
        <v>5265258700</v>
      </c>
      <c r="V62">
        <v>8770920700</v>
      </c>
      <c r="W62">
        <v>393600</v>
      </c>
      <c r="X62">
        <v>4633157100</v>
      </c>
    </row>
    <row r="63" spans="1:24" x14ac:dyDescent="0.3">
      <c r="A63">
        <v>62</v>
      </c>
      <c r="B63">
        <v>131072</v>
      </c>
      <c r="C63">
        <v>6</v>
      </c>
      <c r="D63">
        <v>343</v>
      </c>
      <c r="E63">
        <v>0.8</v>
      </c>
      <c r="F63">
        <v>9</v>
      </c>
      <c r="G63">
        <v>1023</v>
      </c>
      <c r="H63">
        <v>4580</v>
      </c>
      <c r="I63">
        <v>3665665300</v>
      </c>
      <c r="J63">
        <v>10817799500</v>
      </c>
      <c r="K63">
        <v>2.9511149040257401</v>
      </c>
      <c r="L63">
        <v>865200</v>
      </c>
      <c r="M63">
        <v>1898664800</v>
      </c>
      <c r="N63">
        <v>675072300</v>
      </c>
      <c r="O63">
        <v>2573737100</v>
      </c>
      <c r="P63">
        <v>75000</v>
      </c>
      <c r="Q63">
        <v>615891900</v>
      </c>
      <c r="R63">
        <v>615966900</v>
      </c>
      <c r="S63">
        <v>1247300</v>
      </c>
      <c r="T63">
        <v>34415900</v>
      </c>
      <c r="U63">
        <v>3198999100</v>
      </c>
      <c r="V63">
        <v>4700094100</v>
      </c>
      <c r="W63">
        <v>454000</v>
      </c>
      <c r="X63">
        <v>3665665300</v>
      </c>
    </row>
    <row r="64" spans="1:24" x14ac:dyDescent="0.3">
      <c r="A64">
        <v>63</v>
      </c>
      <c r="B64">
        <v>131072</v>
      </c>
      <c r="C64">
        <v>6</v>
      </c>
      <c r="D64">
        <v>343</v>
      </c>
      <c r="E64">
        <v>0.95</v>
      </c>
      <c r="F64">
        <v>9</v>
      </c>
      <c r="G64">
        <v>1023</v>
      </c>
      <c r="H64">
        <v>3072</v>
      </c>
      <c r="I64">
        <v>3199419100</v>
      </c>
      <c r="J64">
        <v>6990079400</v>
      </c>
      <c r="K64">
        <v>2.1847964213253501</v>
      </c>
      <c r="L64">
        <v>525800</v>
      </c>
      <c r="M64">
        <v>1899770800</v>
      </c>
      <c r="N64">
        <v>240194900</v>
      </c>
      <c r="O64">
        <v>2139965700</v>
      </c>
      <c r="P64">
        <v>71500</v>
      </c>
      <c r="Q64">
        <v>416639400</v>
      </c>
      <c r="R64">
        <v>416710900</v>
      </c>
      <c r="S64">
        <v>1224300</v>
      </c>
      <c r="T64">
        <v>31016700</v>
      </c>
      <c r="U64">
        <v>1212581800</v>
      </c>
      <c r="V64">
        <v>3159171700</v>
      </c>
      <c r="W64">
        <v>384200</v>
      </c>
      <c r="X64">
        <v>3199419100</v>
      </c>
    </row>
    <row r="65" spans="1:24" x14ac:dyDescent="0.3">
      <c r="A65">
        <v>64</v>
      </c>
      <c r="B65">
        <v>131072</v>
      </c>
      <c r="C65">
        <v>7</v>
      </c>
      <c r="D65">
        <v>512</v>
      </c>
      <c r="E65">
        <v>0.5</v>
      </c>
      <c r="F65">
        <v>8</v>
      </c>
      <c r="G65">
        <v>511</v>
      </c>
      <c r="H65">
        <v>9180</v>
      </c>
      <c r="I65">
        <v>9379349000</v>
      </c>
      <c r="J65">
        <v>52529358900</v>
      </c>
      <c r="K65">
        <v>5.6005335658156996</v>
      </c>
      <c r="L65">
        <v>1416400</v>
      </c>
      <c r="M65">
        <v>2351262100</v>
      </c>
      <c r="N65">
        <v>1923214700</v>
      </c>
      <c r="O65">
        <v>4274476800</v>
      </c>
      <c r="P65">
        <v>67800</v>
      </c>
      <c r="Q65">
        <v>4911626400</v>
      </c>
      <c r="R65">
        <v>4911694200</v>
      </c>
      <c r="S65">
        <v>1225800</v>
      </c>
      <c r="T65">
        <v>28965400</v>
      </c>
      <c r="U65">
        <v>10219757500</v>
      </c>
      <c r="V65">
        <v>38914187100</v>
      </c>
      <c r="W65">
        <v>406300</v>
      </c>
      <c r="X65">
        <v>9379349000</v>
      </c>
    </row>
    <row r="66" spans="1:24" x14ac:dyDescent="0.3">
      <c r="A66">
        <v>65</v>
      </c>
      <c r="B66">
        <v>131072</v>
      </c>
      <c r="C66">
        <v>7</v>
      </c>
      <c r="D66">
        <v>512</v>
      </c>
      <c r="E66">
        <v>0.2</v>
      </c>
      <c r="F66">
        <v>8</v>
      </c>
      <c r="G66">
        <v>511</v>
      </c>
      <c r="H66">
        <v>56252</v>
      </c>
      <c r="I66">
        <v>34654215400</v>
      </c>
      <c r="J66">
        <v>251093297000</v>
      </c>
      <c r="K66">
        <v>7.2456783136403002</v>
      </c>
      <c r="L66">
        <v>6421100</v>
      </c>
      <c r="M66">
        <v>2274789400</v>
      </c>
      <c r="N66">
        <v>1592492100</v>
      </c>
      <c r="O66">
        <v>3867281500</v>
      </c>
      <c r="P66">
        <v>147100</v>
      </c>
      <c r="Q66">
        <v>30298804000</v>
      </c>
      <c r="R66">
        <v>30298951100</v>
      </c>
      <c r="S66">
        <v>1319200</v>
      </c>
      <c r="T66">
        <v>30392000</v>
      </c>
      <c r="U66">
        <v>8444070100</v>
      </c>
      <c r="V66">
        <v>239600197500</v>
      </c>
      <c r="W66">
        <v>380900</v>
      </c>
      <c r="X66">
        <v>34654215400</v>
      </c>
    </row>
    <row r="67" spans="1:24" x14ac:dyDescent="0.3">
      <c r="A67">
        <v>66</v>
      </c>
      <c r="B67">
        <v>131072</v>
      </c>
      <c r="C67">
        <v>7</v>
      </c>
      <c r="D67">
        <v>512</v>
      </c>
      <c r="E67">
        <v>0.35</v>
      </c>
      <c r="F67">
        <v>8</v>
      </c>
      <c r="G67">
        <v>511</v>
      </c>
      <c r="H67">
        <v>19436</v>
      </c>
      <c r="I67">
        <v>16826019400</v>
      </c>
      <c r="J67">
        <v>105396174000</v>
      </c>
      <c r="K67">
        <v>6.2638804517246598</v>
      </c>
      <c r="L67">
        <v>3146900</v>
      </c>
      <c r="M67">
        <v>2273088700</v>
      </c>
      <c r="N67">
        <v>3625088900</v>
      </c>
      <c r="O67">
        <v>5898177600</v>
      </c>
      <c r="P67">
        <v>97200</v>
      </c>
      <c r="Q67">
        <v>10445267900</v>
      </c>
      <c r="R67">
        <v>10445365100</v>
      </c>
      <c r="S67">
        <v>1213300</v>
      </c>
      <c r="T67">
        <v>29665500</v>
      </c>
      <c r="U67">
        <v>19340574200</v>
      </c>
      <c r="V67">
        <v>82681974100</v>
      </c>
      <c r="W67">
        <v>381100</v>
      </c>
      <c r="X67">
        <v>16826019400</v>
      </c>
    </row>
    <row r="68" spans="1:24" x14ac:dyDescent="0.3">
      <c r="A68">
        <v>67</v>
      </c>
      <c r="B68">
        <v>131072</v>
      </c>
      <c r="C68">
        <v>7</v>
      </c>
      <c r="D68">
        <v>512</v>
      </c>
      <c r="E68">
        <v>0.5</v>
      </c>
      <c r="F68">
        <v>8</v>
      </c>
      <c r="G68">
        <v>511</v>
      </c>
      <c r="H68">
        <v>9288</v>
      </c>
      <c r="I68">
        <v>9537675700</v>
      </c>
      <c r="J68">
        <v>52202323000</v>
      </c>
      <c r="K68">
        <v>5.4732751083159599</v>
      </c>
      <c r="L68">
        <v>1341300</v>
      </c>
      <c r="M68">
        <v>2277208600</v>
      </c>
      <c r="N68">
        <v>1808064600</v>
      </c>
      <c r="O68">
        <v>4085273200</v>
      </c>
      <c r="P68">
        <v>81500</v>
      </c>
      <c r="Q68">
        <v>4977167500</v>
      </c>
      <c r="R68">
        <v>4977249000</v>
      </c>
      <c r="S68">
        <v>1209500</v>
      </c>
      <c r="T68">
        <v>30594000</v>
      </c>
      <c r="U68">
        <v>9648527400</v>
      </c>
      <c r="V68">
        <v>39466913200</v>
      </c>
      <c r="W68">
        <v>496000</v>
      </c>
      <c r="X68">
        <v>9537675700</v>
      </c>
    </row>
    <row r="69" spans="1:24" x14ac:dyDescent="0.3">
      <c r="A69">
        <v>68</v>
      </c>
      <c r="B69">
        <v>131072</v>
      </c>
      <c r="C69">
        <v>7</v>
      </c>
      <c r="D69">
        <v>512</v>
      </c>
      <c r="E69">
        <v>0.65</v>
      </c>
      <c r="F69">
        <v>8</v>
      </c>
      <c r="G69">
        <v>511</v>
      </c>
      <c r="H69">
        <v>3624</v>
      </c>
      <c r="I69">
        <v>5713229900</v>
      </c>
      <c r="J69">
        <v>24143746300</v>
      </c>
      <c r="K69">
        <v>4.2259364182071497</v>
      </c>
      <c r="L69">
        <v>848300</v>
      </c>
      <c r="M69">
        <v>2279018900</v>
      </c>
      <c r="N69">
        <v>1012107100</v>
      </c>
      <c r="O69">
        <v>3291126000</v>
      </c>
      <c r="P69">
        <v>85900</v>
      </c>
      <c r="Q69">
        <v>1943098800</v>
      </c>
      <c r="R69">
        <v>1943184700</v>
      </c>
      <c r="S69">
        <v>1236600</v>
      </c>
      <c r="T69">
        <v>32037800</v>
      </c>
      <c r="U69">
        <v>5386310400</v>
      </c>
      <c r="V69">
        <v>15379323400</v>
      </c>
      <c r="W69">
        <v>413300</v>
      </c>
      <c r="X69">
        <v>5713229900</v>
      </c>
    </row>
    <row r="70" spans="1:24" x14ac:dyDescent="0.3">
      <c r="A70">
        <v>69</v>
      </c>
      <c r="B70">
        <v>131072</v>
      </c>
      <c r="C70">
        <v>7</v>
      </c>
      <c r="D70">
        <v>512</v>
      </c>
      <c r="E70">
        <v>0.8</v>
      </c>
      <c r="F70">
        <v>8</v>
      </c>
      <c r="G70">
        <v>511</v>
      </c>
      <c r="H70">
        <v>1876</v>
      </c>
      <c r="I70">
        <v>4506064500</v>
      </c>
      <c r="J70">
        <v>14933336400</v>
      </c>
      <c r="K70">
        <v>3.3140529612924898</v>
      </c>
      <c r="L70">
        <v>623800</v>
      </c>
      <c r="M70">
        <v>2276124800</v>
      </c>
      <c r="N70">
        <v>738512500</v>
      </c>
      <c r="O70">
        <v>3014637300</v>
      </c>
      <c r="P70">
        <v>83100</v>
      </c>
      <c r="Q70">
        <v>1010080800</v>
      </c>
      <c r="R70">
        <v>1010163900</v>
      </c>
      <c r="S70">
        <v>1330500</v>
      </c>
      <c r="T70">
        <v>32241900</v>
      </c>
      <c r="U70">
        <v>3923554900</v>
      </c>
      <c r="V70">
        <v>7942764100</v>
      </c>
      <c r="W70">
        <v>400700</v>
      </c>
      <c r="X70">
        <v>4506064500</v>
      </c>
    </row>
    <row r="71" spans="1:24" x14ac:dyDescent="0.3">
      <c r="A71">
        <v>70</v>
      </c>
      <c r="B71">
        <v>131072</v>
      </c>
      <c r="C71">
        <v>7</v>
      </c>
      <c r="D71">
        <v>512</v>
      </c>
      <c r="E71">
        <v>0.95</v>
      </c>
      <c r="F71">
        <v>8</v>
      </c>
      <c r="G71">
        <v>511</v>
      </c>
      <c r="H71">
        <v>1024</v>
      </c>
      <c r="I71">
        <v>3761382700</v>
      </c>
      <c r="J71">
        <v>9220555400</v>
      </c>
      <c r="K71">
        <v>2.4513739056650601</v>
      </c>
      <c r="L71">
        <v>158900</v>
      </c>
      <c r="M71">
        <v>2279502200</v>
      </c>
      <c r="N71">
        <v>277418800</v>
      </c>
      <c r="O71">
        <v>2556921000</v>
      </c>
      <c r="P71">
        <v>76800</v>
      </c>
      <c r="Q71">
        <v>557510100</v>
      </c>
      <c r="R71">
        <v>557586900</v>
      </c>
      <c r="S71">
        <v>1252400</v>
      </c>
      <c r="T71">
        <v>33092000</v>
      </c>
      <c r="U71">
        <v>1464322000</v>
      </c>
      <c r="V71">
        <v>4347135100</v>
      </c>
      <c r="W71">
        <v>410800</v>
      </c>
      <c r="X71">
        <v>3761382700</v>
      </c>
    </row>
    <row r="72" spans="1:24" x14ac:dyDescent="0.3">
      <c r="A72">
        <v>71</v>
      </c>
      <c r="B72">
        <v>262144</v>
      </c>
      <c r="C72">
        <v>3</v>
      </c>
      <c r="D72">
        <v>64</v>
      </c>
      <c r="E72">
        <v>0.5</v>
      </c>
      <c r="F72">
        <v>12</v>
      </c>
      <c r="G72">
        <v>8191</v>
      </c>
      <c r="H72">
        <v>173716</v>
      </c>
      <c r="I72">
        <v>3075861500</v>
      </c>
      <c r="J72">
        <v>17499548200</v>
      </c>
      <c r="K72">
        <v>5.6893160501537503</v>
      </c>
      <c r="L72">
        <v>37873900</v>
      </c>
      <c r="M72">
        <v>375889800</v>
      </c>
      <c r="N72">
        <v>1064496100</v>
      </c>
      <c r="O72">
        <v>1440385900</v>
      </c>
      <c r="P72">
        <v>575500</v>
      </c>
      <c r="Q72">
        <v>1461366000</v>
      </c>
      <c r="R72">
        <v>1461941500</v>
      </c>
      <c r="S72">
        <v>2217800</v>
      </c>
      <c r="T72">
        <v>77585500</v>
      </c>
      <c r="U72">
        <v>5293435400</v>
      </c>
      <c r="V72">
        <v>10453159700</v>
      </c>
      <c r="W72">
        <v>861200</v>
      </c>
      <c r="X72">
        <v>3075861500</v>
      </c>
    </row>
    <row r="73" spans="1:24" x14ac:dyDescent="0.3">
      <c r="A73">
        <v>72</v>
      </c>
      <c r="B73">
        <v>262144</v>
      </c>
      <c r="C73">
        <v>3</v>
      </c>
      <c r="D73">
        <v>64</v>
      </c>
      <c r="E73">
        <v>0.2</v>
      </c>
      <c r="F73">
        <v>12</v>
      </c>
      <c r="G73">
        <v>8191</v>
      </c>
      <c r="H73" s="1">
        <v>2185372</v>
      </c>
      <c r="I73">
        <v>27158592200</v>
      </c>
      <c r="J73">
        <v>172756806700</v>
      </c>
      <c r="K73">
        <v>6.3610368839368601</v>
      </c>
      <c r="L73">
        <v>376569200</v>
      </c>
      <c r="M73">
        <v>52907300</v>
      </c>
      <c r="N73">
        <v>7959393700</v>
      </c>
      <c r="O73">
        <v>8012301000</v>
      </c>
      <c r="P73">
        <v>5406500</v>
      </c>
      <c r="Q73">
        <v>18338481800</v>
      </c>
      <c r="R73">
        <v>18343888300</v>
      </c>
      <c r="S73">
        <v>2233700</v>
      </c>
      <c r="T73">
        <v>119237600</v>
      </c>
      <c r="U73">
        <v>41119911600</v>
      </c>
      <c r="V73">
        <v>129679107500</v>
      </c>
      <c r="W73">
        <v>849700</v>
      </c>
      <c r="X73">
        <v>27158592200</v>
      </c>
    </row>
    <row r="74" spans="1:24" x14ac:dyDescent="0.3">
      <c r="A74">
        <v>73</v>
      </c>
      <c r="B74">
        <v>262144</v>
      </c>
      <c r="C74">
        <v>3</v>
      </c>
      <c r="D74">
        <v>64</v>
      </c>
      <c r="E74">
        <v>0.35</v>
      </c>
      <c r="F74">
        <v>12</v>
      </c>
      <c r="G74">
        <v>8191</v>
      </c>
      <c r="H74">
        <v>489416</v>
      </c>
      <c r="I74">
        <v>7258050400</v>
      </c>
      <c r="J74">
        <v>42692053300</v>
      </c>
      <c r="K74">
        <v>5.8820276723346998</v>
      </c>
      <c r="L74">
        <v>90468400</v>
      </c>
      <c r="M74">
        <v>312283100</v>
      </c>
      <c r="N74">
        <v>2346469800</v>
      </c>
      <c r="O74">
        <v>2658752900</v>
      </c>
      <c r="P74">
        <v>1251400</v>
      </c>
      <c r="Q74">
        <v>4088553900</v>
      </c>
      <c r="R74">
        <v>4089805300</v>
      </c>
      <c r="S74">
        <v>2295500</v>
      </c>
      <c r="T74">
        <v>84478800</v>
      </c>
      <c r="U74">
        <v>11879525300</v>
      </c>
      <c r="V74">
        <v>29090489100</v>
      </c>
      <c r="W74">
        <v>1366900</v>
      </c>
      <c r="X74">
        <v>7258050400</v>
      </c>
    </row>
    <row r="75" spans="1:24" x14ac:dyDescent="0.3">
      <c r="A75">
        <v>74</v>
      </c>
      <c r="B75">
        <v>262144</v>
      </c>
      <c r="C75">
        <v>3</v>
      </c>
      <c r="D75">
        <v>64</v>
      </c>
      <c r="E75">
        <v>0.5</v>
      </c>
      <c r="F75">
        <v>12</v>
      </c>
      <c r="G75">
        <v>8191</v>
      </c>
      <c r="H75">
        <v>173408</v>
      </c>
      <c r="I75">
        <v>3360528500</v>
      </c>
      <c r="J75">
        <v>17266104800</v>
      </c>
      <c r="K75">
        <v>5.1379135156865896</v>
      </c>
      <c r="L75">
        <v>31481400</v>
      </c>
      <c r="M75">
        <v>398973800</v>
      </c>
      <c r="N75">
        <v>1050414100</v>
      </c>
      <c r="O75">
        <v>1449387900</v>
      </c>
      <c r="P75">
        <v>535800</v>
      </c>
      <c r="Q75">
        <v>1457579700</v>
      </c>
      <c r="R75">
        <v>1458115500</v>
      </c>
      <c r="S75">
        <v>2165900</v>
      </c>
      <c r="T75">
        <v>84799600</v>
      </c>
      <c r="U75">
        <v>5237155900</v>
      </c>
      <c r="V75">
        <v>10320731600</v>
      </c>
      <c r="W75">
        <v>830400</v>
      </c>
      <c r="X75">
        <v>3360528500</v>
      </c>
    </row>
    <row r="76" spans="1:24" x14ac:dyDescent="0.3">
      <c r="A76">
        <v>75</v>
      </c>
      <c r="B76">
        <v>262144</v>
      </c>
      <c r="C76">
        <v>3</v>
      </c>
      <c r="D76">
        <v>64</v>
      </c>
      <c r="E76">
        <v>0.65</v>
      </c>
      <c r="F76">
        <v>12</v>
      </c>
      <c r="G76">
        <v>8191</v>
      </c>
      <c r="H76">
        <v>68372</v>
      </c>
      <c r="I76">
        <v>1808201300</v>
      </c>
      <c r="J76">
        <v>7693864800</v>
      </c>
      <c r="K76">
        <v>4.2549824513454304</v>
      </c>
      <c r="L76">
        <v>11971200</v>
      </c>
      <c r="M76">
        <v>394387000</v>
      </c>
      <c r="N76">
        <v>404613400</v>
      </c>
      <c r="O76">
        <v>799000400</v>
      </c>
      <c r="P76">
        <v>212400</v>
      </c>
      <c r="Q76">
        <v>578685400</v>
      </c>
      <c r="R76">
        <v>578897800</v>
      </c>
      <c r="S76">
        <v>2222800</v>
      </c>
      <c r="T76">
        <v>84337500</v>
      </c>
      <c r="U76">
        <v>1910221100</v>
      </c>
      <c r="V76">
        <v>4072480500</v>
      </c>
      <c r="W76">
        <v>847500</v>
      </c>
      <c r="X76">
        <v>1808201300</v>
      </c>
    </row>
    <row r="77" spans="1:24" x14ac:dyDescent="0.3">
      <c r="A77">
        <v>76</v>
      </c>
      <c r="B77">
        <v>262144</v>
      </c>
      <c r="C77">
        <v>3</v>
      </c>
      <c r="D77">
        <v>64</v>
      </c>
      <c r="E77">
        <v>0.8</v>
      </c>
      <c r="F77">
        <v>12</v>
      </c>
      <c r="G77">
        <v>8191</v>
      </c>
      <c r="H77">
        <v>32632</v>
      </c>
      <c r="I77">
        <v>1043668600</v>
      </c>
      <c r="J77">
        <v>4770879100</v>
      </c>
      <c r="K77">
        <v>4.5712586351644502</v>
      </c>
      <c r="L77">
        <v>12749000</v>
      </c>
      <c r="M77">
        <v>372459000</v>
      </c>
      <c r="N77">
        <v>242814700</v>
      </c>
      <c r="O77">
        <v>615273700</v>
      </c>
      <c r="P77">
        <v>151500</v>
      </c>
      <c r="Q77">
        <v>284519900</v>
      </c>
      <c r="R77">
        <v>284671400</v>
      </c>
      <c r="S77">
        <v>1969300</v>
      </c>
      <c r="T77">
        <v>80727700</v>
      </c>
      <c r="U77">
        <v>1118332200</v>
      </c>
      <c r="V77">
        <v>1954989000</v>
      </c>
      <c r="W77">
        <v>834500</v>
      </c>
      <c r="X77">
        <v>1043668600</v>
      </c>
    </row>
    <row r="78" spans="1:24" x14ac:dyDescent="0.3">
      <c r="A78">
        <v>77</v>
      </c>
      <c r="B78">
        <v>262144</v>
      </c>
      <c r="C78">
        <v>3</v>
      </c>
      <c r="D78">
        <v>64</v>
      </c>
      <c r="E78">
        <v>0.95</v>
      </c>
      <c r="F78">
        <v>12</v>
      </c>
      <c r="G78">
        <v>8191</v>
      </c>
      <c r="H78">
        <v>24456</v>
      </c>
      <c r="I78">
        <v>800953600</v>
      </c>
      <c r="J78">
        <v>3543001600</v>
      </c>
      <c r="K78">
        <v>4.4234792127783598</v>
      </c>
      <c r="L78">
        <v>3171700</v>
      </c>
      <c r="M78">
        <v>362454200</v>
      </c>
      <c r="N78">
        <v>78017200</v>
      </c>
      <c r="O78">
        <v>440471400</v>
      </c>
      <c r="P78">
        <v>112600</v>
      </c>
      <c r="Q78">
        <v>224648100</v>
      </c>
      <c r="R78">
        <v>224760700</v>
      </c>
      <c r="S78">
        <v>2200300</v>
      </c>
      <c r="T78">
        <v>83696100</v>
      </c>
      <c r="U78">
        <v>368707700</v>
      </c>
      <c r="V78">
        <v>1463056000</v>
      </c>
      <c r="W78">
        <v>870600</v>
      </c>
      <c r="X78">
        <v>800953600</v>
      </c>
    </row>
    <row r="79" spans="1:24" x14ac:dyDescent="0.3">
      <c r="A79">
        <v>78</v>
      </c>
      <c r="B79">
        <v>262144</v>
      </c>
      <c r="C79">
        <v>4</v>
      </c>
      <c r="D79">
        <v>125</v>
      </c>
      <c r="E79">
        <v>0.5</v>
      </c>
      <c r="F79">
        <v>12</v>
      </c>
      <c r="G79">
        <v>8191</v>
      </c>
      <c r="H79">
        <v>174372</v>
      </c>
      <c r="I79">
        <v>5931668000</v>
      </c>
      <c r="J79">
        <v>33436798100</v>
      </c>
      <c r="K79">
        <v>5.6369975696549401</v>
      </c>
      <c r="L79">
        <v>31143500</v>
      </c>
      <c r="M79">
        <v>789614500</v>
      </c>
      <c r="N79">
        <v>3380409200</v>
      </c>
      <c r="O79">
        <v>4170023700</v>
      </c>
      <c r="P79">
        <v>536600</v>
      </c>
      <c r="Q79">
        <v>1507657800</v>
      </c>
      <c r="R79">
        <v>1508194400</v>
      </c>
      <c r="S79">
        <v>2127300</v>
      </c>
      <c r="T79">
        <v>90116400</v>
      </c>
      <c r="U79">
        <v>19521019800</v>
      </c>
      <c r="V79">
        <v>10404585600</v>
      </c>
      <c r="W79">
        <v>893600</v>
      </c>
      <c r="X79">
        <v>5931668000</v>
      </c>
    </row>
    <row r="80" spans="1:24" x14ac:dyDescent="0.3">
      <c r="A80">
        <v>79</v>
      </c>
      <c r="B80">
        <v>262144</v>
      </c>
      <c r="C80">
        <v>4</v>
      </c>
      <c r="D80">
        <v>125</v>
      </c>
      <c r="E80">
        <v>0.2</v>
      </c>
      <c r="F80">
        <v>12</v>
      </c>
      <c r="G80">
        <v>8191</v>
      </c>
      <c r="H80" s="1">
        <v>2185828</v>
      </c>
      <c r="I80">
        <v>46775670600</v>
      </c>
      <c r="J80">
        <v>284855048800</v>
      </c>
      <c r="K80">
        <v>6.0898121853970801</v>
      </c>
      <c r="L80">
        <v>369159400</v>
      </c>
      <c r="M80">
        <v>568535800</v>
      </c>
      <c r="N80">
        <v>26271560700</v>
      </c>
      <c r="O80">
        <v>26840096500</v>
      </c>
      <c r="P80">
        <v>5644900</v>
      </c>
      <c r="Q80">
        <v>19046462800</v>
      </c>
      <c r="R80">
        <v>19052107700</v>
      </c>
      <c r="S80">
        <v>2082600</v>
      </c>
      <c r="T80">
        <v>420165300</v>
      </c>
      <c r="U80">
        <v>151478406400</v>
      </c>
      <c r="V80">
        <v>129734982600</v>
      </c>
      <c r="W80">
        <v>826700</v>
      </c>
      <c r="X80">
        <v>46775670600</v>
      </c>
    </row>
    <row r="81" spans="1:24" x14ac:dyDescent="0.3">
      <c r="A81">
        <v>80</v>
      </c>
      <c r="B81">
        <v>262144</v>
      </c>
      <c r="C81">
        <v>4</v>
      </c>
      <c r="D81">
        <v>125</v>
      </c>
      <c r="E81">
        <v>0.35</v>
      </c>
      <c r="F81">
        <v>12</v>
      </c>
      <c r="G81">
        <v>8191</v>
      </c>
      <c r="H81">
        <v>488400</v>
      </c>
      <c r="I81">
        <v>13262373800</v>
      </c>
      <c r="J81">
        <v>76300702600</v>
      </c>
      <c r="K81">
        <v>5.7531708690038501</v>
      </c>
      <c r="L81">
        <v>87410000</v>
      </c>
      <c r="M81">
        <v>843917900</v>
      </c>
      <c r="N81">
        <v>7577469400</v>
      </c>
      <c r="O81">
        <v>8421387300</v>
      </c>
      <c r="P81">
        <v>1235900</v>
      </c>
      <c r="Q81">
        <v>4235773200</v>
      </c>
      <c r="R81">
        <v>4237009100</v>
      </c>
      <c r="S81">
        <v>2080200</v>
      </c>
      <c r="T81">
        <v>85732300</v>
      </c>
      <c r="U81">
        <v>43878429000</v>
      </c>
      <c r="V81">
        <v>28964730800</v>
      </c>
      <c r="W81">
        <v>843200</v>
      </c>
      <c r="X81">
        <v>13262373800</v>
      </c>
    </row>
    <row r="82" spans="1:24" x14ac:dyDescent="0.3">
      <c r="A82">
        <v>81</v>
      </c>
      <c r="B82">
        <v>262144</v>
      </c>
      <c r="C82">
        <v>4</v>
      </c>
      <c r="D82">
        <v>125</v>
      </c>
      <c r="E82">
        <v>0.5</v>
      </c>
      <c r="F82">
        <v>12</v>
      </c>
      <c r="G82">
        <v>8191</v>
      </c>
      <c r="H82">
        <v>173880</v>
      </c>
      <c r="I82">
        <v>6335702100</v>
      </c>
      <c r="J82">
        <v>33545740500</v>
      </c>
      <c r="K82">
        <v>5.2947155612003902</v>
      </c>
      <c r="L82">
        <v>38284000</v>
      </c>
      <c r="M82">
        <v>894255500</v>
      </c>
      <c r="N82">
        <v>3388693600</v>
      </c>
      <c r="O82">
        <v>4282949100</v>
      </c>
      <c r="P82">
        <v>605300</v>
      </c>
      <c r="Q82">
        <v>1499362600</v>
      </c>
      <c r="R82">
        <v>1499967900</v>
      </c>
      <c r="S82">
        <v>2259900</v>
      </c>
      <c r="T82">
        <v>85038200</v>
      </c>
      <c r="U82">
        <v>19676031100</v>
      </c>
      <c r="V82">
        <v>10398763200</v>
      </c>
      <c r="W82">
        <v>835100</v>
      </c>
      <c r="X82">
        <v>6335702100</v>
      </c>
    </row>
    <row r="83" spans="1:24" x14ac:dyDescent="0.3">
      <c r="A83">
        <v>82</v>
      </c>
      <c r="B83">
        <v>262144</v>
      </c>
      <c r="C83">
        <v>4</v>
      </c>
      <c r="D83">
        <v>125</v>
      </c>
      <c r="E83">
        <v>0.65</v>
      </c>
      <c r="F83">
        <v>12</v>
      </c>
      <c r="G83">
        <v>8191</v>
      </c>
      <c r="H83">
        <v>68624</v>
      </c>
      <c r="I83">
        <v>3265221200</v>
      </c>
      <c r="J83">
        <v>14540999800</v>
      </c>
      <c r="K83">
        <v>4.4532970078719298</v>
      </c>
      <c r="L83">
        <v>14394200</v>
      </c>
      <c r="M83">
        <v>920354100</v>
      </c>
      <c r="N83">
        <v>1222083400</v>
      </c>
      <c r="O83">
        <v>2142437500</v>
      </c>
      <c r="P83">
        <v>225900</v>
      </c>
      <c r="Q83">
        <v>595959700</v>
      </c>
      <c r="R83">
        <v>596185600</v>
      </c>
      <c r="S83">
        <v>2141200</v>
      </c>
      <c r="T83">
        <v>87668500</v>
      </c>
      <c r="U83">
        <v>7069269900</v>
      </c>
      <c r="V83">
        <v>4083579700</v>
      </c>
      <c r="W83">
        <v>844000</v>
      </c>
      <c r="X83">
        <v>3265221200</v>
      </c>
    </row>
    <row r="84" spans="1:24" x14ac:dyDescent="0.3">
      <c r="A84">
        <v>83</v>
      </c>
      <c r="B84">
        <v>262144</v>
      </c>
      <c r="C84">
        <v>4</v>
      </c>
      <c r="D84">
        <v>125</v>
      </c>
      <c r="E84">
        <v>0.8</v>
      </c>
      <c r="F84">
        <v>12</v>
      </c>
      <c r="G84">
        <v>8191</v>
      </c>
      <c r="H84">
        <v>33076</v>
      </c>
      <c r="I84">
        <v>2614939500</v>
      </c>
      <c r="J84">
        <v>9606621800</v>
      </c>
      <c r="K84">
        <v>3.6737453390413002</v>
      </c>
      <c r="L84">
        <v>6099800</v>
      </c>
      <c r="M84">
        <v>908063400</v>
      </c>
      <c r="N84">
        <v>725460400</v>
      </c>
      <c r="O84">
        <v>1633523800</v>
      </c>
      <c r="P84">
        <v>184500</v>
      </c>
      <c r="Q84">
        <v>292870300</v>
      </c>
      <c r="R84">
        <v>293054800</v>
      </c>
      <c r="S84">
        <v>2086300</v>
      </c>
      <c r="T84">
        <v>90088400</v>
      </c>
      <c r="U84">
        <v>4188933100</v>
      </c>
      <c r="V84">
        <v>1980306000</v>
      </c>
      <c r="W84">
        <v>847500</v>
      </c>
      <c r="X84">
        <v>2614939500</v>
      </c>
    </row>
    <row r="85" spans="1:24" x14ac:dyDescent="0.3">
      <c r="A85">
        <v>84</v>
      </c>
      <c r="B85">
        <v>262144</v>
      </c>
      <c r="C85">
        <v>4</v>
      </c>
      <c r="D85">
        <v>125</v>
      </c>
      <c r="E85">
        <v>0.95</v>
      </c>
      <c r="F85">
        <v>12</v>
      </c>
      <c r="G85">
        <v>8191</v>
      </c>
      <c r="H85">
        <v>24436</v>
      </c>
      <c r="I85">
        <v>1504545000</v>
      </c>
      <c r="J85">
        <v>6260847200</v>
      </c>
      <c r="K85">
        <v>4.16128942637142</v>
      </c>
      <c r="L85">
        <v>3222400</v>
      </c>
      <c r="M85">
        <v>841805700</v>
      </c>
      <c r="N85">
        <v>218301000</v>
      </c>
      <c r="O85">
        <v>1060106700</v>
      </c>
      <c r="P85">
        <v>139100</v>
      </c>
      <c r="Q85">
        <v>214777700</v>
      </c>
      <c r="R85">
        <v>214916800</v>
      </c>
      <c r="S85">
        <v>2118200</v>
      </c>
      <c r="T85">
        <v>90250700</v>
      </c>
      <c r="U85">
        <v>1260972400</v>
      </c>
      <c r="V85">
        <v>1470454500</v>
      </c>
      <c r="W85">
        <v>828500</v>
      </c>
      <c r="X85">
        <v>1504545000</v>
      </c>
    </row>
    <row r="86" spans="1:24" x14ac:dyDescent="0.3">
      <c r="A86">
        <v>85</v>
      </c>
      <c r="B86">
        <v>262144</v>
      </c>
      <c r="C86">
        <v>5</v>
      </c>
      <c r="D86">
        <v>216</v>
      </c>
      <c r="E86">
        <v>0.5</v>
      </c>
      <c r="F86">
        <v>11</v>
      </c>
      <c r="G86">
        <v>4095</v>
      </c>
      <c r="H86">
        <v>85272</v>
      </c>
      <c r="I86">
        <v>9909806500</v>
      </c>
      <c r="J86">
        <v>50185954800</v>
      </c>
      <c r="K86">
        <v>5.0642719209502198</v>
      </c>
      <c r="L86">
        <v>13993500</v>
      </c>
      <c r="M86">
        <v>1598247000</v>
      </c>
      <c r="N86">
        <v>5153253600</v>
      </c>
      <c r="O86">
        <v>6751500600</v>
      </c>
      <c r="P86">
        <v>264700</v>
      </c>
      <c r="Q86">
        <v>2842388800</v>
      </c>
      <c r="R86">
        <v>2842653500</v>
      </c>
      <c r="S86">
        <v>2290600</v>
      </c>
      <c r="T86">
        <v>80470600</v>
      </c>
      <c r="U86">
        <v>24639356700</v>
      </c>
      <c r="V86">
        <v>20951064200</v>
      </c>
      <c r="W86">
        <v>915000</v>
      </c>
      <c r="X86">
        <v>9909806500</v>
      </c>
    </row>
    <row r="87" spans="1:24" x14ac:dyDescent="0.3">
      <c r="A87">
        <v>86</v>
      </c>
      <c r="B87">
        <v>262144</v>
      </c>
      <c r="C87">
        <v>5</v>
      </c>
      <c r="D87">
        <v>216</v>
      </c>
      <c r="E87">
        <v>0.2</v>
      </c>
      <c r="F87">
        <v>11</v>
      </c>
      <c r="G87">
        <v>4095</v>
      </c>
      <c r="H87">
        <v>938968</v>
      </c>
      <c r="I87">
        <v>64959772000</v>
      </c>
      <c r="J87">
        <v>382228910700</v>
      </c>
      <c r="K87">
        <v>5.8840863958081604</v>
      </c>
      <c r="L87">
        <v>146246000</v>
      </c>
      <c r="M87">
        <v>1572451300</v>
      </c>
      <c r="N87">
        <v>31127753700</v>
      </c>
      <c r="O87">
        <v>32700205000</v>
      </c>
      <c r="P87">
        <v>2515100</v>
      </c>
      <c r="Q87">
        <v>31522916200</v>
      </c>
      <c r="R87">
        <v>31525431300</v>
      </c>
      <c r="S87">
        <v>2115300</v>
      </c>
      <c r="T87">
        <v>86142200</v>
      </c>
      <c r="U87">
        <v>147741524100</v>
      </c>
      <c r="V87">
        <v>229935678500</v>
      </c>
      <c r="W87">
        <v>910300</v>
      </c>
      <c r="X87">
        <v>64959772000</v>
      </c>
    </row>
    <row r="88" spans="1:24" x14ac:dyDescent="0.3">
      <c r="A88">
        <v>87</v>
      </c>
      <c r="B88">
        <v>262144</v>
      </c>
      <c r="C88">
        <v>5</v>
      </c>
      <c r="D88">
        <v>216</v>
      </c>
      <c r="E88">
        <v>0.35</v>
      </c>
      <c r="F88">
        <v>11</v>
      </c>
      <c r="G88">
        <v>4095</v>
      </c>
      <c r="H88">
        <v>213980</v>
      </c>
      <c r="I88">
        <v>21867282500</v>
      </c>
      <c r="J88">
        <v>116138524800</v>
      </c>
      <c r="K88">
        <v>5.3110634483274204</v>
      </c>
      <c r="L88">
        <v>46625100</v>
      </c>
      <c r="M88">
        <v>1628656900</v>
      </c>
      <c r="N88">
        <v>12477950000</v>
      </c>
      <c r="O88">
        <v>14106606900</v>
      </c>
      <c r="P88">
        <v>649800</v>
      </c>
      <c r="Q88">
        <v>7122971500</v>
      </c>
      <c r="R88">
        <v>7123621300</v>
      </c>
      <c r="S88">
        <v>2092100</v>
      </c>
      <c r="T88">
        <v>75198000</v>
      </c>
      <c r="U88">
        <v>59248869400</v>
      </c>
      <c r="V88">
        <v>52404567000</v>
      </c>
      <c r="W88">
        <v>846100</v>
      </c>
      <c r="X88">
        <v>21867282500</v>
      </c>
    </row>
    <row r="89" spans="1:24" x14ac:dyDescent="0.3">
      <c r="A89">
        <v>88</v>
      </c>
      <c r="B89">
        <v>262144</v>
      </c>
      <c r="C89">
        <v>5</v>
      </c>
      <c r="D89">
        <v>216</v>
      </c>
      <c r="E89">
        <v>0.5</v>
      </c>
      <c r="F89">
        <v>11</v>
      </c>
      <c r="G89">
        <v>4095</v>
      </c>
      <c r="H89">
        <v>85480</v>
      </c>
      <c r="I89">
        <v>10255009300</v>
      </c>
      <c r="J89">
        <v>50311481900</v>
      </c>
      <c r="K89">
        <v>4.9060396171459297</v>
      </c>
      <c r="L89">
        <v>15358900</v>
      </c>
      <c r="M89">
        <v>1667777400</v>
      </c>
      <c r="N89">
        <v>5128360300</v>
      </c>
      <c r="O89">
        <v>6796137700</v>
      </c>
      <c r="P89">
        <v>232900</v>
      </c>
      <c r="Q89">
        <v>2850138700</v>
      </c>
      <c r="R89">
        <v>2850371600</v>
      </c>
      <c r="S89">
        <v>2106300</v>
      </c>
      <c r="T89">
        <v>87811200</v>
      </c>
      <c r="U89">
        <v>24544478900</v>
      </c>
      <c r="V89">
        <v>21203958300</v>
      </c>
      <c r="W89">
        <v>845800</v>
      </c>
      <c r="X89">
        <v>10255009300</v>
      </c>
    </row>
    <row r="90" spans="1:24" x14ac:dyDescent="0.3">
      <c r="A90">
        <v>89</v>
      </c>
      <c r="B90">
        <v>262144</v>
      </c>
      <c r="C90">
        <v>5</v>
      </c>
      <c r="D90">
        <v>216</v>
      </c>
      <c r="E90">
        <v>0.65</v>
      </c>
      <c r="F90">
        <v>11</v>
      </c>
      <c r="G90">
        <v>4095</v>
      </c>
      <c r="H90">
        <v>30468</v>
      </c>
      <c r="I90">
        <v>5382031300</v>
      </c>
      <c r="J90">
        <v>22208391300</v>
      </c>
      <c r="K90">
        <v>4.1263957903775097</v>
      </c>
      <c r="L90">
        <v>6099100</v>
      </c>
      <c r="M90">
        <v>1644100400</v>
      </c>
      <c r="N90">
        <v>2125714200</v>
      </c>
      <c r="O90">
        <v>3769814600</v>
      </c>
      <c r="P90">
        <v>177100</v>
      </c>
      <c r="Q90">
        <v>1020522100</v>
      </c>
      <c r="R90">
        <v>1020699200</v>
      </c>
      <c r="S90">
        <v>2253600</v>
      </c>
      <c r="T90">
        <v>83038900</v>
      </c>
      <c r="U90">
        <v>10227797900</v>
      </c>
      <c r="V90">
        <v>7476866400</v>
      </c>
      <c r="W90">
        <v>853400</v>
      </c>
      <c r="X90">
        <v>5382031300</v>
      </c>
    </row>
    <row r="91" spans="1:24" x14ac:dyDescent="0.3">
      <c r="A91">
        <v>90</v>
      </c>
      <c r="B91">
        <v>262144</v>
      </c>
      <c r="C91">
        <v>5</v>
      </c>
      <c r="D91">
        <v>216</v>
      </c>
      <c r="E91">
        <v>0.8</v>
      </c>
      <c r="F91">
        <v>11</v>
      </c>
      <c r="G91">
        <v>4095</v>
      </c>
      <c r="H91">
        <v>14888</v>
      </c>
      <c r="I91">
        <v>4047706000</v>
      </c>
      <c r="J91">
        <v>14468512600</v>
      </c>
      <c r="K91">
        <v>3.5744969125721999</v>
      </c>
      <c r="L91">
        <v>3082400</v>
      </c>
      <c r="M91">
        <v>1660819100</v>
      </c>
      <c r="N91">
        <v>1291831600</v>
      </c>
      <c r="O91">
        <v>2952650700</v>
      </c>
      <c r="P91">
        <v>156500</v>
      </c>
      <c r="Q91">
        <v>504627300</v>
      </c>
      <c r="R91">
        <v>504783800</v>
      </c>
      <c r="S91">
        <v>2250700</v>
      </c>
      <c r="T91">
        <v>77799500</v>
      </c>
      <c r="U91">
        <v>6197697400</v>
      </c>
      <c r="V91">
        <v>3661336700</v>
      </c>
      <c r="W91">
        <v>913500</v>
      </c>
      <c r="X91">
        <v>4047706000</v>
      </c>
    </row>
    <row r="92" spans="1:24" x14ac:dyDescent="0.3">
      <c r="A92">
        <v>91</v>
      </c>
      <c r="B92">
        <v>262144</v>
      </c>
      <c r="C92">
        <v>5</v>
      </c>
      <c r="D92">
        <v>216</v>
      </c>
      <c r="E92">
        <v>0.95</v>
      </c>
      <c r="F92">
        <v>11</v>
      </c>
      <c r="G92">
        <v>4095</v>
      </c>
      <c r="H92">
        <v>8192</v>
      </c>
      <c r="I92">
        <v>3168330700</v>
      </c>
      <c r="J92">
        <v>8693048000</v>
      </c>
      <c r="K92">
        <v>2.7437312651738002</v>
      </c>
      <c r="L92">
        <v>1355000</v>
      </c>
      <c r="M92">
        <v>1662145500</v>
      </c>
      <c r="N92">
        <v>455262600</v>
      </c>
      <c r="O92">
        <v>2117408100</v>
      </c>
      <c r="P92">
        <v>143000</v>
      </c>
      <c r="Q92">
        <v>281244700</v>
      </c>
      <c r="R92">
        <v>281387700</v>
      </c>
      <c r="S92">
        <v>2246700</v>
      </c>
      <c r="T92">
        <v>89050900</v>
      </c>
      <c r="U92">
        <v>2159494300</v>
      </c>
      <c r="V92">
        <v>2019752900</v>
      </c>
      <c r="W92">
        <v>856100</v>
      </c>
      <c r="X92">
        <v>3168330700</v>
      </c>
    </row>
    <row r="93" spans="1:24" x14ac:dyDescent="0.3">
      <c r="A93">
        <v>92</v>
      </c>
      <c r="B93">
        <v>262144</v>
      </c>
      <c r="C93">
        <v>6</v>
      </c>
      <c r="D93">
        <v>343</v>
      </c>
      <c r="E93">
        <v>0.5</v>
      </c>
      <c r="F93">
        <v>10</v>
      </c>
      <c r="G93">
        <v>2047</v>
      </c>
      <c r="H93">
        <v>34752</v>
      </c>
      <c r="I93">
        <v>15391112600</v>
      </c>
      <c r="J93">
        <v>72978908400</v>
      </c>
      <c r="K93">
        <v>4.7416265670098401</v>
      </c>
      <c r="L93">
        <v>6210100</v>
      </c>
      <c r="M93">
        <v>3639837700</v>
      </c>
      <c r="N93">
        <v>6705555700</v>
      </c>
      <c r="O93">
        <v>10345393400</v>
      </c>
      <c r="P93">
        <v>115200</v>
      </c>
      <c r="Q93">
        <v>4653394400</v>
      </c>
      <c r="R93">
        <v>4653509600</v>
      </c>
      <c r="S93">
        <v>2098100</v>
      </c>
      <c r="T93">
        <v>72344200</v>
      </c>
      <c r="U93">
        <v>31706871900</v>
      </c>
      <c r="V93">
        <v>35708196800</v>
      </c>
      <c r="W93">
        <v>917200</v>
      </c>
      <c r="X93">
        <v>15391112600</v>
      </c>
    </row>
    <row r="94" spans="1:24" x14ac:dyDescent="0.3">
      <c r="A94">
        <v>93</v>
      </c>
      <c r="B94">
        <v>262144</v>
      </c>
      <c r="C94">
        <v>6</v>
      </c>
      <c r="D94">
        <v>343</v>
      </c>
      <c r="E94">
        <v>0.2</v>
      </c>
      <c r="F94">
        <v>10</v>
      </c>
      <c r="G94">
        <v>2047</v>
      </c>
      <c r="H94">
        <v>335700</v>
      </c>
      <c r="I94">
        <v>87398030700</v>
      </c>
      <c r="J94">
        <v>529255538500</v>
      </c>
      <c r="K94">
        <v>6.0556918074814199</v>
      </c>
      <c r="L94">
        <v>60654900</v>
      </c>
      <c r="M94">
        <v>3654534800</v>
      </c>
      <c r="N94">
        <v>37877146300</v>
      </c>
      <c r="O94">
        <v>41531681100</v>
      </c>
      <c r="P94">
        <v>944600</v>
      </c>
      <c r="Q94">
        <v>45131217000</v>
      </c>
      <c r="R94">
        <v>45132161600</v>
      </c>
      <c r="S94">
        <v>2254500</v>
      </c>
      <c r="T94">
        <v>77969600</v>
      </c>
      <c r="U94">
        <v>177850222000</v>
      </c>
      <c r="V94">
        <v>345822524800</v>
      </c>
      <c r="W94">
        <v>854700</v>
      </c>
      <c r="X94">
        <v>87398030700</v>
      </c>
    </row>
    <row r="95" spans="1:24" x14ac:dyDescent="0.3">
      <c r="A95">
        <v>94</v>
      </c>
      <c r="B95">
        <v>262144</v>
      </c>
      <c r="C95">
        <v>6</v>
      </c>
      <c r="D95">
        <v>343</v>
      </c>
      <c r="E95">
        <v>0.35</v>
      </c>
      <c r="F95">
        <v>10</v>
      </c>
      <c r="G95">
        <v>2047</v>
      </c>
      <c r="H95">
        <v>91800</v>
      </c>
      <c r="I95">
        <v>31819547700</v>
      </c>
      <c r="J95">
        <v>172359991100</v>
      </c>
      <c r="K95">
        <v>5.4167957610535096</v>
      </c>
      <c r="L95">
        <v>16852100</v>
      </c>
      <c r="M95">
        <v>3683222600</v>
      </c>
      <c r="N95">
        <v>15232533700</v>
      </c>
      <c r="O95">
        <v>18915756300</v>
      </c>
      <c r="P95">
        <v>203600</v>
      </c>
      <c r="Q95">
        <v>12214206500</v>
      </c>
      <c r="R95">
        <v>12214410100</v>
      </c>
      <c r="S95">
        <v>2123600</v>
      </c>
      <c r="T95">
        <v>73009600</v>
      </c>
      <c r="U95">
        <v>72107740500</v>
      </c>
      <c r="V95">
        <v>94604783100</v>
      </c>
      <c r="W95">
        <v>943900</v>
      </c>
      <c r="X95">
        <v>31819547700</v>
      </c>
    </row>
    <row r="96" spans="1:24" x14ac:dyDescent="0.3">
      <c r="A96">
        <v>95</v>
      </c>
      <c r="B96">
        <v>262144</v>
      </c>
      <c r="C96">
        <v>6</v>
      </c>
      <c r="D96">
        <v>343</v>
      </c>
      <c r="E96">
        <v>0.5</v>
      </c>
      <c r="F96">
        <v>10</v>
      </c>
      <c r="G96">
        <v>2047</v>
      </c>
      <c r="H96">
        <v>34908</v>
      </c>
      <c r="I96">
        <v>15758630100</v>
      </c>
      <c r="J96">
        <v>73413862400</v>
      </c>
      <c r="K96">
        <v>4.6586449414787596</v>
      </c>
      <c r="L96">
        <v>6914900</v>
      </c>
      <c r="M96">
        <v>3674182900</v>
      </c>
      <c r="N96">
        <v>6757272400</v>
      </c>
      <c r="O96">
        <v>10431455300</v>
      </c>
      <c r="P96">
        <v>126600</v>
      </c>
      <c r="Q96">
        <v>4649874900</v>
      </c>
      <c r="R96">
        <v>4650001500</v>
      </c>
      <c r="S96">
        <v>2086200</v>
      </c>
      <c r="T96">
        <v>75876200</v>
      </c>
      <c r="U96">
        <v>32005444100</v>
      </c>
      <c r="V96">
        <v>35880048000</v>
      </c>
      <c r="W96">
        <v>918200</v>
      </c>
      <c r="X96">
        <v>15758630100</v>
      </c>
    </row>
    <row r="97" spans="1:24" x14ac:dyDescent="0.3">
      <c r="A97">
        <v>96</v>
      </c>
      <c r="B97">
        <v>262144</v>
      </c>
      <c r="C97">
        <v>6</v>
      </c>
      <c r="D97">
        <v>343</v>
      </c>
      <c r="E97">
        <v>0.65</v>
      </c>
      <c r="F97">
        <v>10</v>
      </c>
      <c r="G97">
        <v>2047</v>
      </c>
      <c r="H97">
        <v>12516</v>
      </c>
      <c r="I97">
        <v>9175414800</v>
      </c>
      <c r="J97">
        <v>33357494600</v>
      </c>
      <c r="K97">
        <v>3.6355298727203</v>
      </c>
      <c r="L97">
        <v>2665000</v>
      </c>
      <c r="M97">
        <v>3680091600</v>
      </c>
      <c r="N97">
        <v>3147179200</v>
      </c>
      <c r="O97">
        <v>6827270800</v>
      </c>
      <c r="P97">
        <v>144500</v>
      </c>
      <c r="Q97">
        <v>1674428100</v>
      </c>
      <c r="R97">
        <v>1674572600</v>
      </c>
      <c r="S97">
        <v>2140100</v>
      </c>
      <c r="T97">
        <v>69495600</v>
      </c>
      <c r="U97">
        <v>14882285700</v>
      </c>
      <c r="V97">
        <v>12928524000</v>
      </c>
      <c r="W97">
        <v>914800</v>
      </c>
      <c r="X97">
        <v>9175414800</v>
      </c>
    </row>
    <row r="98" spans="1:24" x14ac:dyDescent="0.3">
      <c r="A98">
        <v>97</v>
      </c>
      <c r="B98">
        <v>262144</v>
      </c>
      <c r="C98">
        <v>6</v>
      </c>
      <c r="D98">
        <v>343</v>
      </c>
      <c r="E98">
        <v>0.8</v>
      </c>
      <c r="F98">
        <v>10</v>
      </c>
      <c r="G98">
        <v>2047</v>
      </c>
      <c r="H98">
        <v>7688</v>
      </c>
      <c r="I98">
        <v>7163600900</v>
      </c>
      <c r="J98">
        <v>21980731000</v>
      </c>
      <c r="K98">
        <v>3.0683913449170501</v>
      </c>
      <c r="L98">
        <v>1706300</v>
      </c>
      <c r="M98">
        <v>3680241600</v>
      </c>
      <c r="N98">
        <v>1774088700</v>
      </c>
      <c r="O98">
        <v>5454330300</v>
      </c>
      <c r="P98">
        <v>80000</v>
      </c>
      <c r="Q98">
        <v>1031773900</v>
      </c>
      <c r="R98">
        <v>1031853900</v>
      </c>
      <c r="S98">
        <v>2243300</v>
      </c>
      <c r="T98">
        <v>74288900</v>
      </c>
      <c r="U98">
        <v>8395359300</v>
      </c>
      <c r="V98">
        <v>7952654900</v>
      </c>
      <c r="W98">
        <v>878200</v>
      </c>
      <c r="X98">
        <v>7163600900</v>
      </c>
    </row>
    <row r="99" spans="1:24" x14ac:dyDescent="0.3">
      <c r="A99">
        <v>98</v>
      </c>
      <c r="B99">
        <v>262144</v>
      </c>
      <c r="C99">
        <v>6</v>
      </c>
      <c r="D99">
        <v>343</v>
      </c>
      <c r="E99">
        <v>0.95</v>
      </c>
      <c r="F99">
        <v>10</v>
      </c>
      <c r="G99">
        <v>2047</v>
      </c>
      <c r="H99">
        <v>2048</v>
      </c>
      <c r="I99">
        <v>5770776600</v>
      </c>
      <c r="J99">
        <v>13189728200</v>
      </c>
      <c r="K99">
        <v>2.2856071399471598</v>
      </c>
      <c r="L99">
        <v>745600</v>
      </c>
      <c r="M99">
        <v>3681328400</v>
      </c>
      <c r="N99">
        <v>1137395800</v>
      </c>
      <c r="O99">
        <v>4818724200</v>
      </c>
      <c r="P99">
        <v>89400</v>
      </c>
      <c r="Q99">
        <v>282283900</v>
      </c>
      <c r="R99">
        <v>282373300</v>
      </c>
      <c r="S99">
        <v>2109400</v>
      </c>
      <c r="T99">
        <v>76013700</v>
      </c>
      <c r="U99">
        <v>5367246100</v>
      </c>
      <c r="V99">
        <v>2129930800</v>
      </c>
      <c r="W99">
        <v>930800</v>
      </c>
      <c r="X99">
        <v>5770776600</v>
      </c>
    </row>
    <row r="100" spans="1:24" x14ac:dyDescent="0.3">
      <c r="A100">
        <v>99</v>
      </c>
      <c r="B100">
        <v>262144</v>
      </c>
      <c r="C100">
        <v>7</v>
      </c>
      <c r="D100">
        <v>512</v>
      </c>
      <c r="E100">
        <v>0.5</v>
      </c>
      <c r="F100">
        <v>9</v>
      </c>
      <c r="G100">
        <v>1023</v>
      </c>
      <c r="H100">
        <v>19088</v>
      </c>
      <c r="I100">
        <v>20789133500</v>
      </c>
      <c r="J100">
        <v>116320898900</v>
      </c>
      <c r="K100">
        <v>5.5952740358322197</v>
      </c>
      <c r="L100">
        <v>3051000</v>
      </c>
      <c r="M100">
        <v>4391087300</v>
      </c>
      <c r="N100">
        <v>5347754100</v>
      </c>
      <c r="O100">
        <v>9738841400</v>
      </c>
      <c r="P100">
        <v>109000</v>
      </c>
      <c r="Q100">
        <v>10195802400</v>
      </c>
      <c r="R100">
        <v>10195911400</v>
      </c>
      <c r="S100">
        <v>2254400</v>
      </c>
      <c r="T100">
        <v>63141500</v>
      </c>
      <c r="U100">
        <v>28489683300</v>
      </c>
      <c r="V100">
        <v>81372112400</v>
      </c>
      <c r="W100">
        <v>915900</v>
      </c>
      <c r="X100">
        <v>20789133500</v>
      </c>
    </row>
    <row r="101" spans="1:24" x14ac:dyDescent="0.3">
      <c r="A101">
        <v>100</v>
      </c>
      <c r="B101">
        <v>262144</v>
      </c>
      <c r="C101">
        <v>7</v>
      </c>
      <c r="D101">
        <v>512</v>
      </c>
      <c r="E101">
        <v>0.2</v>
      </c>
      <c r="F101">
        <v>9</v>
      </c>
      <c r="G101">
        <v>1023</v>
      </c>
      <c r="H101">
        <v>165192</v>
      </c>
      <c r="I101">
        <v>107640392900</v>
      </c>
      <c r="J101">
        <v>784570780000</v>
      </c>
      <c r="K101">
        <v>7.2888137887872704</v>
      </c>
      <c r="L101">
        <v>19854200</v>
      </c>
      <c r="M101">
        <v>4392019900</v>
      </c>
      <c r="N101">
        <v>13519875800</v>
      </c>
      <c r="O101">
        <v>17911895700</v>
      </c>
      <c r="P101">
        <v>478700</v>
      </c>
      <c r="Q101">
        <v>89028704700</v>
      </c>
      <c r="R101">
        <v>89029183400</v>
      </c>
      <c r="S101">
        <v>2097200</v>
      </c>
      <c r="T101">
        <v>65871500</v>
      </c>
      <c r="U101">
        <v>71636493800</v>
      </c>
      <c r="V101">
        <v>706349237500</v>
      </c>
      <c r="W101">
        <v>875600</v>
      </c>
      <c r="X101">
        <v>107640392900</v>
      </c>
    </row>
    <row r="102" spans="1:24" x14ac:dyDescent="0.3">
      <c r="A102">
        <v>101</v>
      </c>
      <c r="B102">
        <v>262144</v>
      </c>
      <c r="C102">
        <v>7</v>
      </c>
      <c r="D102">
        <v>512</v>
      </c>
      <c r="E102">
        <v>0.35</v>
      </c>
      <c r="F102">
        <v>9</v>
      </c>
      <c r="G102">
        <v>1023</v>
      </c>
      <c r="H102">
        <v>49740</v>
      </c>
      <c r="I102">
        <v>40758154500</v>
      </c>
      <c r="J102">
        <v>267916712900</v>
      </c>
      <c r="K102">
        <v>6.5733278698867403</v>
      </c>
      <c r="L102">
        <v>13963400</v>
      </c>
      <c r="M102">
        <v>4395391300</v>
      </c>
      <c r="N102">
        <v>9079029100</v>
      </c>
      <c r="O102">
        <v>13474420400</v>
      </c>
      <c r="P102">
        <v>151700</v>
      </c>
      <c r="Q102">
        <v>26597158800</v>
      </c>
      <c r="R102">
        <v>26597310500</v>
      </c>
      <c r="S102">
        <v>2319200</v>
      </c>
      <c r="T102">
        <v>63632400</v>
      </c>
      <c r="U102">
        <v>48418519200</v>
      </c>
      <c r="V102">
        <v>213070778300</v>
      </c>
      <c r="W102">
        <v>955400</v>
      </c>
      <c r="X102">
        <v>40758154500</v>
      </c>
    </row>
    <row r="103" spans="1:24" x14ac:dyDescent="0.3">
      <c r="A103">
        <v>102</v>
      </c>
      <c r="B103">
        <v>262144</v>
      </c>
      <c r="C103">
        <v>7</v>
      </c>
      <c r="D103">
        <v>512</v>
      </c>
      <c r="E103">
        <v>0.5</v>
      </c>
      <c r="F103">
        <v>9</v>
      </c>
      <c r="G103">
        <v>1023</v>
      </c>
      <c r="H103">
        <v>19260</v>
      </c>
      <c r="I103">
        <v>20618742900</v>
      </c>
      <c r="J103">
        <v>116762958300</v>
      </c>
      <c r="K103">
        <v>5.6629523374094699</v>
      </c>
      <c r="L103">
        <v>3158100</v>
      </c>
      <c r="M103">
        <v>4387579800</v>
      </c>
      <c r="N103">
        <v>5276224500</v>
      </c>
      <c r="O103">
        <v>9663804300</v>
      </c>
      <c r="P103">
        <v>119200</v>
      </c>
      <c r="Q103">
        <v>10283325200</v>
      </c>
      <c r="R103">
        <v>10283444400</v>
      </c>
      <c r="S103">
        <v>2132200</v>
      </c>
      <c r="T103">
        <v>71370100</v>
      </c>
      <c r="U103">
        <v>28120545800</v>
      </c>
      <c r="V103">
        <v>82215409900</v>
      </c>
      <c r="W103">
        <v>890900</v>
      </c>
      <c r="X103">
        <v>20618742900</v>
      </c>
    </row>
    <row r="104" spans="1:24" x14ac:dyDescent="0.3">
      <c r="A104">
        <v>103</v>
      </c>
      <c r="B104">
        <v>262144</v>
      </c>
      <c r="C104">
        <v>7</v>
      </c>
      <c r="D104">
        <v>512</v>
      </c>
      <c r="E104">
        <v>0.65</v>
      </c>
      <c r="F104">
        <v>9</v>
      </c>
      <c r="G104">
        <v>1023</v>
      </c>
      <c r="H104">
        <v>8400</v>
      </c>
      <c r="I104">
        <v>11834396400</v>
      </c>
      <c r="J104">
        <v>54439704200</v>
      </c>
      <c r="K104">
        <v>4.6001251234072198</v>
      </c>
      <c r="L104">
        <v>1511500</v>
      </c>
      <c r="M104">
        <v>4389889100</v>
      </c>
      <c r="N104">
        <v>2275924500</v>
      </c>
      <c r="O104">
        <v>6665813600</v>
      </c>
      <c r="P104">
        <v>79700</v>
      </c>
      <c r="Q104">
        <v>4489035200</v>
      </c>
      <c r="R104">
        <v>4489114900</v>
      </c>
      <c r="S104">
        <v>2085500</v>
      </c>
      <c r="T104">
        <v>69932100</v>
      </c>
      <c r="U104">
        <v>12139641000</v>
      </c>
      <c r="V104">
        <v>35812328000</v>
      </c>
      <c r="W104">
        <v>876000</v>
      </c>
      <c r="X104">
        <v>11834396400</v>
      </c>
    </row>
    <row r="105" spans="1:24" x14ac:dyDescent="0.3">
      <c r="A105">
        <v>104</v>
      </c>
      <c r="B105">
        <v>262144</v>
      </c>
      <c r="C105">
        <v>7</v>
      </c>
      <c r="D105">
        <v>512</v>
      </c>
      <c r="E105">
        <v>0.8</v>
      </c>
      <c r="F105">
        <v>9</v>
      </c>
      <c r="G105">
        <v>1023</v>
      </c>
      <c r="H105">
        <v>4792</v>
      </c>
      <c r="I105">
        <v>8950207700</v>
      </c>
      <c r="J105">
        <v>33917217400</v>
      </c>
      <c r="K105">
        <v>3.7895452861948602</v>
      </c>
      <c r="L105">
        <v>917000</v>
      </c>
      <c r="M105">
        <v>4389134900</v>
      </c>
      <c r="N105">
        <v>1319478400</v>
      </c>
      <c r="O105">
        <v>5708613300</v>
      </c>
      <c r="P105">
        <v>60900</v>
      </c>
      <c r="Q105">
        <v>2569414700</v>
      </c>
      <c r="R105">
        <v>2569475600</v>
      </c>
      <c r="S105">
        <v>2078600</v>
      </c>
      <c r="T105">
        <v>62434300</v>
      </c>
      <c r="U105">
        <v>7031015200</v>
      </c>
      <c r="V105">
        <v>20390275600</v>
      </c>
      <c r="W105">
        <v>899700</v>
      </c>
      <c r="X105">
        <v>8950207700</v>
      </c>
    </row>
    <row r="106" spans="1:24" x14ac:dyDescent="0.3">
      <c r="A106">
        <v>105</v>
      </c>
      <c r="B106">
        <v>262144</v>
      </c>
      <c r="C106">
        <v>7</v>
      </c>
      <c r="D106">
        <v>512</v>
      </c>
      <c r="E106">
        <v>0.95</v>
      </c>
      <c r="F106">
        <v>9</v>
      </c>
      <c r="G106">
        <v>1023</v>
      </c>
      <c r="H106">
        <v>3072</v>
      </c>
      <c r="I106">
        <v>7175730000</v>
      </c>
      <c r="J106">
        <v>22119488800</v>
      </c>
      <c r="K106">
        <v>3.0825419574036301</v>
      </c>
      <c r="L106">
        <v>410000</v>
      </c>
      <c r="M106">
        <v>4390355100</v>
      </c>
      <c r="N106">
        <v>463312600</v>
      </c>
      <c r="O106">
        <v>4853667700</v>
      </c>
      <c r="P106">
        <v>81300</v>
      </c>
      <c r="Q106">
        <v>1652009100</v>
      </c>
      <c r="R106">
        <v>1652090400</v>
      </c>
      <c r="S106">
        <v>2246200</v>
      </c>
      <c r="T106">
        <v>67013600</v>
      </c>
      <c r="U106">
        <v>2471961500</v>
      </c>
      <c r="V106">
        <v>13077269200</v>
      </c>
      <c r="W106">
        <v>1092800</v>
      </c>
      <c r="X106">
        <v>7175730000</v>
      </c>
    </row>
    <row r="107" spans="1:24" x14ac:dyDescent="0.3">
      <c r="A107">
        <v>106</v>
      </c>
      <c r="B107">
        <v>524288</v>
      </c>
      <c r="C107">
        <v>3</v>
      </c>
      <c r="D107">
        <v>64</v>
      </c>
      <c r="E107">
        <v>0.5</v>
      </c>
      <c r="F107">
        <v>13</v>
      </c>
      <c r="G107">
        <v>16383</v>
      </c>
      <c r="H107">
        <v>302192</v>
      </c>
      <c r="I107">
        <v>6093838400</v>
      </c>
      <c r="J107">
        <v>33290106200</v>
      </c>
      <c r="K107">
        <v>5.4629125380154404</v>
      </c>
      <c r="L107">
        <v>66038900</v>
      </c>
      <c r="M107">
        <v>536338200</v>
      </c>
      <c r="N107">
        <v>2368817600</v>
      </c>
      <c r="O107">
        <v>2905155800</v>
      </c>
      <c r="P107">
        <v>820000</v>
      </c>
      <c r="Q107">
        <v>2539552200</v>
      </c>
      <c r="R107">
        <v>2540372200</v>
      </c>
      <c r="S107">
        <v>4102400</v>
      </c>
      <c r="T107">
        <v>198201400</v>
      </c>
      <c r="U107">
        <v>12176697500</v>
      </c>
      <c r="V107">
        <v>18034117400</v>
      </c>
      <c r="W107">
        <v>1826200</v>
      </c>
      <c r="X107">
        <v>6093838400</v>
      </c>
    </row>
    <row r="108" spans="1:24" x14ac:dyDescent="0.3">
      <c r="A108">
        <v>107</v>
      </c>
      <c r="B108">
        <v>524288</v>
      </c>
      <c r="C108">
        <v>3</v>
      </c>
      <c r="D108">
        <v>64</v>
      </c>
      <c r="E108">
        <v>0.2</v>
      </c>
      <c r="F108">
        <v>13</v>
      </c>
      <c r="G108">
        <v>16383</v>
      </c>
      <c r="H108" s="1">
        <v>3669184</v>
      </c>
      <c r="I108">
        <v>57609589900</v>
      </c>
      <c r="J108">
        <v>351611630100</v>
      </c>
      <c r="K108">
        <v>6.1033524229270704</v>
      </c>
      <c r="L108">
        <v>767915200</v>
      </c>
      <c r="M108">
        <v>15149700</v>
      </c>
      <c r="N108">
        <v>25295654700</v>
      </c>
      <c r="O108">
        <v>25310804400</v>
      </c>
      <c r="P108">
        <v>9494500</v>
      </c>
      <c r="Q108">
        <v>30922785200</v>
      </c>
      <c r="R108">
        <v>30932279700</v>
      </c>
      <c r="S108">
        <v>4044600</v>
      </c>
      <c r="T108">
        <v>482191200</v>
      </c>
      <c r="U108">
        <v>129332951400</v>
      </c>
      <c r="V108">
        <v>218302312500</v>
      </c>
      <c r="W108">
        <v>1811300</v>
      </c>
      <c r="X108">
        <v>57609589900</v>
      </c>
    </row>
    <row r="109" spans="1:24" x14ac:dyDescent="0.3">
      <c r="A109">
        <v>108</v>
      </c>
      <c r="B109">
        <v>524288</v>
      </c>
      <c r="C109">
        <v>3</v>
      </c>
      <c r="D109">
        <v>64</v>
      </c>
      <c r="E109">
        <v>0.35</v>
      </c>
      <c r="F109">
        <v>13</v>
      </c>
      <c r="G109">
        <v>16383</v>
      </c>
      <c r="H109">
        <v>828560</v>
      </c>
      <c r="I109">
        <v>14403770100</v>
      </c>
      <c r="J109">
        <v>85016814800</v>
      </c>
      <c r="K109">
        <v>5.9024001500829204</v>
      </c>
      <c r="L109">
        <v>185173600</v>
      </c>
      <c r="M109">
        <v>413811600</v>
      </c>
      <c r="N109">
        <v>6294258800</v>
      </c>
      <c r="O109">
        <v>6708070400</v>
      </c>
      <c r="P109">
        <v>2094900</v>
      </c>
      <c r="Q109">
        <v>6923343500</v>
      </c>
      <c r="R109">
        <v>6925438400</v>
      </c>
      <c r="S109">
        <v>4511900</v>
      </c>
      <c r="T109">
        <v>199602200</v>
      </c>
      <c r="U109">
        <v>32507547500</v>
      </c>
      <c r="V109">
        <v>49364474300</v>
      </c>
      <c r="W109">
        <v>1839500</v>
      </c>
      <c r="X109">
        <v>14403770100</v>
      </c>
    </row>
    <row r="110" spans="1:24" x14ac:dyDescent="0.3">
      <c r="A110">
        <v>109</v>
      </c>
      <c r="B110">
        <v>524288</v>
      </c>
      <c r="C110">
        <v>3</v>
      </c>
      <c r="D110">
        <v>64</v>
      </c>
      <c r="E110">
        <v>0.5</v>
      </c>
      <c r="F110">
        <v>13</v>
      </c>
      <c r="G110">
        <v>16383</v>
      </c>
      <c r="H110">
        <v>301872</v>
      </c>
      <c r="I110">
        <v>6080672700</v>
      </c>
      <c r="J110">
        <v>33509344900</v>
      </c>
      <c r="K110">
        <v>5.51079568877305</v>
      </c>
      <c r="L110">
        <v>67743100</v>
      </c>
      <c r="M110">
        <v>520646600</v>
      </c>
      <c r="N110">
        <v>2358995400</v>
      </c>
      <c r="O110">
        <v>2879642000</v>
      </c>
      <c r="P110">
        <v>826000</v>
      </c>
      <c r="Q110">
        <v>2532229900</v>
      </c>
      <c r="R110">
        <v>2533055900</v>
      </c>
      <c r="S110">
        <v>4450200</v>
      </c>
      <c r="T110">
        <v>235501800</v>
      </c>
      <c r="U110">
        <v>12226054400</v>
      </c>
      <c r="V110">
        <v>18112076000</v>
      </c>
      <c r="W110">
        <v>2244100</v>
      </c>
      <c r="X110">
        <v>6080672700</v>
      </c>
    </row>
    <row r="111" spans="1:24" x14ac:dyDescent="0.3">
      <c r="A111">
        <v>110</v>
      </c>
      <c r="B111">
        <v>524288</v>
      </c>
      <c r="C111">
        <v>3</v>
      </c>
      <c r="D111">
        <v>64</v>
      </c>
      <c r="E111">
        <v>0.65</v>
      </c>
      <c r="F111">
        <v>13</v>
      </c>
      <c r="G111">
        <v>16383</v>
      </c>
      <c r="H111">
        <v>101320</v>
      </c>
      <c r="I111">
        <v>3001161500</v>
      </c>
      <c r="J111">
        <v>14436514900</v>
      </c>
      <c r="K111">
        <v>4.8103092419384899</v>
      </c>
      <c r="L111">
        <v>27626500</v>
      </c>
      <c r="M111">
        <v>565970700</v>
      </c>
      <c r="N111">
        <v>952300700</v>
      </c>
      <c r="O111">
        <v>1518271400</v>
      </c>
      <c r="P111">
        <v>377200</v>
      </c>
      <c r="Q111">
        <v>861890100</v>
      </c>
      <c r="R111">
        <v>862267300</v>
      </c>
      <c r="S111">
        <v>4088300</v>
      </c>
      <c r="T111">
        <v>482761700</v>
      </c>
      <c r="U111">
        <v>4885152700</v>
      </c>
      <c r="V111">
        <v>6110337900</v>
      </c>
      <c r="W111">
        <v>1793800</v>
      </c>
      <c r="X111">
        <v>3001161500</v>
      </c>
    </row>
    <row r="112" spans="1:24" x14ac:dyDescent="0.3">
      <c r="A112">
        <v>111</v>
      </c>
      <c r="B112">
        <v>524288</v>
      </c>
      <c r="C112">
        <v>3</v>
      </c>
      <c r="D112">
        <v>64</v>
      </c>
      <c r="E112">
        <v>0.8</v>
      </c>
      <c r="F112">
        <v>13</v>
      </c>
      <c r="G112">
        <v>16383</v>
      </c>
      <c r="H112">
        <v>54476</v>
      </c>
      <c r="I112">
        <v>2344931400</v>
      </c>
      <c r="J112">
        <v>9071744700</v>
      </c>
      <c r="K112">
        <v>3.8686610192519901</v>
      </c>
      <c r="L112">
        <v>16463400</v>
      </c>
      <c r="M112">
        <v>580850500</v>
      </c>
      <c r="N112">
        <v>518031000</v>
      </c>
      <c r="O112">
        <v>1098881500</v>
      </c>
      <c r="P112">
        <v>138400</v>
      </c>
      <c r="Q112">
        <v>471037600</v>
      </c>
      <c r="R112">
        <v>471176000</v>
      </c>
      <c r="S112">
        <v>4363000</v>
      </c>
      <c r="T112">
        <v>205081300</v>
      </c>
      <c r="U112">
        <v>2657221900</v>
      </c>
      <c r="V112">
        <v>3299681200</v>
      </c>
      <c r="W112">
        <v>1870600</v>
      </c>
      <c r="X112">
        <v>2344931400</v>
      </c>
    </row>
    <row r="113" spans="1:24" x14ac:dyDescent="0.3">
      <c r="A113">
        <v>112</v>
      </c>
      <c r="B113">
        <v>524288</v>
      </c>
      <c r="C113">
        <v>3</v>
      </c>
      <c r="D113">
        <v>64</v>
      </c>
      <c r="E113">
        <v>0.95</v>
      </c>
      <c r="F113">
        <v>13</v>
      </c>
      <c r="G113">
        <v>16383</v>
      </c>
      <c r="H113">
        <v>16400</v>
      </c>
      <c r="I113">
        <v>1345860200</v>
      </c>
      <c r="J113">
        <v>5739447000</v>
      </c>
      <c r="K113">
        <v>4.2645194500884998</v>
      </c>
      <c r="L113">
        <v>5146400</v>
      </c>
      <c r="M113">
        <v>576132600</v>
      </c>
      <c r="N113">
        <v>309665300</v>
      </c>
      <c r="O113">
        <v>885797900</v>
      </c>
      <c r="P113">
        <v>77900</v>
      </c>
      <c r="Q113">
        <v>153595400</v>
      </c>
      <c r="R113">
        <v>153673300</v>
      </c>
      <c r="S113">
        <v>4287200</v>
      </c>
      <c r="T113">
        <v>185160400</v>
      </c>
      <c r="U113">
        <v>1599048800</v>
      </c>
      <c r="V113">
        <v>1027913000</v>
      </c>
      <c r="W113">
        <v>1797300</v>
      </c>
      <c r="X113">
        <v>1345860200</v>
      </c>
    </row>
    <row r="114" spans="1:24" x14ac:dyDescent="0.3">
      <c r="A114">
        <v>113</v>
      </c>
      <c r="B114">
        <v>524288</v>
      </c>
      <c r="C114">
        <v>4</v>
      </c>
      <c r="D114">
        <v>125</v>
      </c>
      <c r="E114">
        <v>0.5</v>
      </c>
      <c r="F114">
        <v>13</v>
      </c>
      <c r="G114">
        <v>16383</v>
      </c>
      <c r="H114">
        <v>301696</v>
      </c>
      <c r="I114">
        <v>12391629800</v>
      </c>
      <c r="J114">
        <v>69914904700</v>
      </c>
      <c r="K114">
        <v>5.64210727954445</v>
      </c>
      <c r="L114">
        <v>68542900</v>
      </c>
      <c r="M114">
        <v>1457686800</v>
      </c>
      <c r="N114">
        <v>7747147000</v>
      </c>
      <c r="O114">
        <v>9204833800</v>
      </c>
      <c r="P114">
        <v>866600</v>
      </c>
      <c r="Q114">
        <v>2615417700</v>
      </c>
      <c r="R114">
        <v>2616284300</v>
      </c>
      <c r="S114">
        <v>4320200</v>
      </c>
      <c r="T114">
        <v>540852000</v>
      </c>
      <c r="U114">
        <v>45032286700</v>
      </c>
      <c r="V114">
        <v>18246922600</v>
      </c>
      <c r="W114">
        <v>1830900</v>
      </c>
      <c r="X114">
        <v>12391629800</v>
      </c>
    </row>
    <row r="115" spans="1:24" x14ac:dyDescent="0.3">
      <c r="A115">
        <v>114</v>
      </c>
      <c r="B115">
        <v>524288</v>
      </c>
      <c r="C115">
        <v>4</v>
      </c>
      <c r="D115">
        <v>125</v>
      </c>
      <c r="E115">
        <v>0.2</v>
      </c>
      <c r="F115">
        <v>13</v>
      </c>
      <c r="G115">
        <v>16383</v>
      </c>
      <c r="H115" s="1">
        <v>3670020</v>
      </c>
      <c r="I115">
        <v>117464902600</v>
      </c>
      <c r="J115">
        <v>700932721600</v>
      </c>
      <c r="K115">
        <v>5.9671672651606098</v>
      </c>
      <c r="L115">
        <v>782969400</v>
      </c>
      <c r="M115">
        <v>765916000</v>
      </c>
      <c r="N115">
        <v>82936369100</v>
      </c>
      <c r="O115">
        <v>83702285100</v>
      </c>
      <c r="P115">
        <v>8893200</v>
      </c>
      <c r="Q115">
        <v>32183829000</v>
      </c>
      <c r="R115">
        <v>32192722200</v>
      </c>
      <c r="S115">
        <v>11006900</v>
      </c>
      <c r="T115">
        <v>506226500</v>
      </c>
      <c r="U115">
        <v>475270811400</v>
      </c>
      <c r="V115">
        <v>218389078400</v>
      </c>
      <c r="W115">
        <v>1950600</v>
      </c>
      <c r="X115">
        <v>117464902600</v>
      </c>
    </row>
    <row r="116" spans="1:24" x14ac:dyDescent="0.3">
      <c r="A116">
        <v>115</v>
      </c>
      <c r="B116">
        <v>524288</v>
      </c>
      <c r="C116">
        <v>4</v>
      </c>
      <c r="D116">
        <v>125</v>
      </c>
      <c r="E116">
        <v>0.35</v>
      </c>
      <c r="F116">
        <v>13</v>
      </c>
      <c r="G116">
        <v>16383</v>
      </c>
      <c r="H116">
        <v>828328</v>
      </c>
      <c r="I116">
        <v>30212199200</v>
      </c>
      <c r="J116">
        <v>175884041400</v>
      </c>
      <c r="K116">
        <v>5.8216232534306798</v>
      </c>
      <c r="L116">
        <v>186389300</v>
      </c>
      <c r="M116">
        <v>1360313100</v>
      </c>
      <c r="N116">
        <v>20749469700</v>
      </c>
      <c r="O116">
        <v>22109782800</v>
      </c>
      <c r="P116">
        <v>2160200</v>
      </c>
      <c r="Q116">
        <v>7141230700</v>
      </c>
      <c r="R116">
        <v>7143390900</v>
      </c>
      <c r="S116">
        <v>4025400</v>
      </c>
      <c r="T116">
        <v>213416100</v>
      </c>
      <c r="U116">
        <v>119944622800</v>
      </c>
      <c r="V116">
        <v>49343040800</v>
      </c>
      <c r="W116">
        <v>1830100</v>
      </c>
      <c r="X116">
        <v>30212199200</v>
      </c>
    </row>
    <row r="117" spans="1:24" x14ac:dyDescent="0.3">
      <c r="A117">
        <v>116</v>
      </c>
      <c r="B117">
        <v>524288</v>
      </c>
      <c r="C117">
        <v>4</v>
      </c>
      <c r="D117">
        <v>125</v>
      </c>
      <c r="E117">
        <v>0.5</v>
      </c>
      <c r="F117">
        <v>13</v>
      </c>
      <c r="G117">
        <v>16383</v>
      </c>
      <c r="H117">
        <v>301952</v>
      </c>
      <c r="I117">
        <v>12711669300</v>
      </c>
      <c r="J117">
        <v>69836290600</v>
      </c>
      <c r="K117">
        <v>5.4938725160195903</v>
      </c>
      <c r="L117">
        <v>66795400</v>
      </c>
      <c r="M117">
        <v>1470584700</v>
      </c>
      <c r="N117">
        <v>7773262300</v>
      </c>
      <c r="O117">
        <v>9243847000</v>
      </c>
      <c r="P117">
        <v>820700</v>
      </c>
      <c r="Q117">
        <v>2615412600</v>
      </c>
      <c r="R117">
        <v>2616233300</v>
      </c>
      <c r="S117">
        <v>3979200</v>
      </c>
      <c r="T117">
        <v>252906500</v>
      </c>
      <c r="U117">
        <v>45312263100</v>
      </c>
      <c r="V117">
        <v>17946727000</v>
      </c>
      <c r="W117">
        <v>1806000</v>
      </c>
      <c r="X117">
        <v>12711669300</v>
      </c>
    </row>
    <row r="118" spans="1:24" x14ac:dyDescent="0.3">
      <c r="A118">
        <v>117</v>
      </c>
      <c r="B118">
        <v>524288</v>
      </c>
      <c r="C118">
        <v>4</v>
      </c>
      <c r="D118">
        <v>125</v>
      </c>
      <c r="E118">
        <v>0.65</v>
      </c>
      <c r="F118">
        <v>13</v>
      </c>
      <c r="G118">
        <v>16383</v>
      </c>
      <c r="H118">
        <v>101692</v>
      </c>
      <c r="I118">
        <v>6347595700</v>
      </c>
      <c r="J118">
        <v>30828828000</v>
      </c>
      <c r="K118">
        <v>4.8567724626822004</v>
      </c>
      <c r="L118">
        <v>28763400</v>
      </c>
      <c r="M118">
        <v>1512730700</v>
      </c>
      <c r="N118">
        <v>3144922100</v>
      </c>
      <c r="O118">
        <v>4657652800</v>
      </c>
      <c r="P118">
        <v>379300</v>
      </c>
      <c r="Q118">
        <v>885029500</v>
      </c>
      <c r="R118">
        <v>885408800</v>
      </c>
      <c r="S118">
        <v>4306700</v>
      </c>
      <c r="T118">
        <v>257886700</v>
      </c>
      <c r="U118">
        <v>18184670400</v>
      </c>
      <c r="V118">
        <v>6120522700</v>
      </c>
      <c r="W118">
        <v>1816300</v>
      </c>
      <c r="X118">
        <v>6347595700</v>
      </c>
    </row>
    <row r="119" spans="1:24" x14ac:dyDescent="0.3">
      <c r="A119">
        <v>118</v>
      </c>
      <c r="B119">
        <v>524288</v>
      </c>
      <c r="C119">
        <v>4</v>
      </c>
      <c r="D119">
        <v>125</v>
      </c>
      <c r="E119">
        <v>0.8</v>
      </c>
      <c r="F119">
        <v>13</v>
      </c>
      <c r="G119">
        <v>16383</v>
      </c>
      <c r="H119">
        <v>55536</v>
      </c>
      <c r="I119">
        <v>4537896300</v>
      </c>
      <c r="J119">
        <v>20285795100</v>
      </c>
      <c r="K119">
        <v>4.4703082130810197</v>
      </c>
      <c r="L119">
        <v>15938600</v>
      </c>
      <c r="M119">
        <v>1526329600</v>
      </c>
      <c r="N119">
        <v>1721510400</v>
      </c>
      <c r="O119">
        <v>3247840000</v>
      </c>
      <c r="P119">
        <v>147600</v>
      </c>
      <c r="Q119">
        <v>493809300</v>
      </c>
      <c r="R119">
        <v>493956900</v>
      </c>
      <c r="S119">
        <v>4067000</v>
      </c>
      <c r="T119">
        <v>537520800</v>
      </c>
      <c r="U119">
        <v>9979055800</v>
      </c>
      <c r="V119">
        <v>3339453900</v>
      </c>
      <c r="W119">
        <v>1835800</v>
      </c>
      <c r="X119">
        <v>4537896300</v>
      </c>
    </row>
    <row r="120" spans="1:24" x14ac:dyDescent="0.3">
      <c r="A120">
        <v>119</v>
      </c>
      <c r="B120">
        <v>524288</v>
      </c>
      <c r="C120">
        <v>4</v>
      </c>
      <c r="D120">
        <v>125</v>
      </c>
      <c r="E120">
        <v>0.95</v>
      </c>
      <c r="F120">
        <v>13</v>
      </c>
      <c r="G120">
        <v>16383</v>
      </c>
      <c r="H120">
        <v>16404</v>
      </c>
      <c r="I120">
        <v>3496961100</v>
      </c>
      <c r="J120">
        <v>13477548100</v>
      </c>
      <c r="K120">
        <v>3.8540743561602602</v>
      </c>
      <c r="L120">
        <v>5121500</v>
      </c>
      <c r="M120">
        <v>1537554000</v>
      </c>
      <c r="N120">
        <v>1016834000</v>
      </c>
      <c r="O120">
        <v>2554388000</v>
      </c>
      <c r="P120">
        <v>95600</v>
      </c>
      <c r="Q120">
        <v>153635800</v>
      </c>
      <c r="R120">
        <v>153731400</v>
      </c>
      <c r="S120">
        <v>3995100</v>
      </c>
      <c r="T120">
        <v>255108300</v>
      </c>
      <c r="U120">
        <v>5856073900</v>
      </c>
      <c r="V120">
        <v>1019677600</v>
      </c>
      <c r="W120">
        <v>1856600</v>
      </c>
      <c r="X120">
        <v>3496961100</v>
      </c>
    </row>
    <row r="121" spans="1:24" x14ac:dyDescent="0.3">
      <c r="A121">
        <v>120</v>
      </c>
      <c r="B121">
        <v>524288</v>
      </c>
      <c r="C121">
        <v>5</v>
      </c>
      <c r="D121">
        <v>216</v>
      </c>
      <c r="E121">
        <v>0.5</v>
      </c>
      <c r="F121">
        <v>12</v>
      </c>
      <c r="G121">
        <v>8191</v>
      </c>
      <c r="H121">
        <v>179632</v>
      </c>
      <c r="I121">
        <v>22141703700</v>
      </c>
      <c r="J121">
        <v>110359747400</v>
      </c>
      <c r="K121">
        <v>4.9842482265716503</v>
      </c>
      <c r="L121">
        <v>32124100</v>
      </c>
      <c r="M121">
        <v>3022007600</v>
      </c>
      <c r="N121">
        <v>11964800600</v>
      </c>
      <c r="O121">
        <v>14986808200</v>
      </c>
      <c r="P121">
        <v>563900</v>
      </c>
      <c r="Q121">
        <v>6041362600</v>
      </c>
      <c r="R121">
        <v>6041926500</v>
      </c>
      <c r="S121">
        <v>3990400</v>
      </c>
      <c r="T121">
        <v>543588400</v>
      </c>
      <c r="U121">
        <v>57092898300</v>
      </c>
      <c r="V121">
        <v>44085044600</v>
      </c>
      <c r="W121">
        <v>1811900</v>
      </c>
      <c r="X121">
        <v>22141703700</v>
      </c>
    </row>
    <row r="122" spans="1:24" x14ac:dyDescent="0.3">
      <c r="A122">
        <v>121</v>
      </c>
      <c r="B122">
        <v>524288</v>
      </c>
      <c r="C122">
        <v>5</v>
      </c>
      <c r="D122">
        <v>216</v>
      </c>
      <c r="E122">
        <v>0.2</v>
      </c>
      <c r="F122">
        <v>12</v>
      </c>
      <c r="G122">
        <v>8191</v>
      </c>
      <c r="H122" s="1">
        <v>2243468</v>
      </c>
      <c r="I122">
        <v>172403679200</v>
      </c>
      <c r="J122">
        <v>997679012000</v>
      </c>
      <c r="K122">
        <v>5.7868777315513302</v>
      </c>
      <c r="L122">
        <v>375020000</v>
      </c>
      <c r="M122">
        <v>2669207100</v>
      </c>
      <c r="N122">
        <v>92604921000</v>
      </c>
      <c r="O122">
        <v>95274128100</v>
      </c>
      <c r="P122">
        <v>5502200</v>
      </c>
      <c r="Q122">
        <v>75819870700</v>
      </c>
      <c r="R122">
        <v>75825372900</v>
      </c>
      <c r="S122">
        <v>4310200</v>
      </c>
      <c r="T122">
        <v>546706400</v>
      </c>
      <c r="U122">
        <v>437591384300</v>
      </c>
      <c r="V122">
        <v>550624943400</v>
      </c>
      <c r="W122">
        <v>1908100</v>
      </c>
      <c r="X122">
        <v>172403679200</v>
      </c>
    </row>
    <row r="123" spans="1:24" x14ac:dyDescent="0.3">
      <c r="A123">
        <v>122</v>
      </c>
      <c r="B123">
        <v>524288</v>
      </c>
      <c r="C123">
        <v>5</v>
      </c>
      <c r="D123">
        <v>216</v>
      </c>
      <c r="E123">
        <v>0.35</v>
      </c>
      <c r="F123">
        <v>12</v>
      </c>
      <c r="G123">
        <v>8191</v>
      </c>
      <c r="H123">
        <v>504608</v>
      </c>
      <c r="I123">
        <v>47446428500</v>
      </c>
      <c r="J123">
        <v>259605702900</v>
      </c>
      <c r="K123">
        <v>5.4715541529116303</v>
      </c>
      <c r="L123">
        <v>88881200</v>
      </c>
      <c r="M123">
        <v>2928171800</v>
      </c>
      <c r="N123">
        <v>26569460600</v>
      </c>
      <c r="O123">
        <v>29497632400</v>
      </c>
      <c r="P123">
        <v>1345500</v>
      </c>
      <c r="Q123">
        <v>16924285400</v>
      </c>
      <c r="R123">
        <v>16925630900</v>
      </c>
      <c r="S123">
        <v>4051900</v>
      </c>
      <c r="T123">
        <v>510051400</v>
      </c>
      <c r="U123">
        <v>126421390400</v>
      </c>
      <c r="V123">
        <v>124028841000</v>
      </c>
      <c r="W123">
        <v>1864000</v>
      </c>
      <c r="X123">
        <v>47446428500</v>
      </c>
    </row>
    <row r="124" spans="1:24" x14ac:dyDescent="0.3">
      <c r="A124">
        <v>123</v>
      </c>
      <c r="B124">
        <v>524288</v>
      </c>
      <c r="C124">
        <v>5</v>
      </c>
      <c r="D124">
        <v>216</v>
      </c>
      <c r="E124">
        <v>0.5</v>
      </c>
      <c r="F124">
        <v>12</v>
      </c>
      <c r="G124">
        <v>8191</v>
      </c>
      <c r="H124">
        <v>178532</v>
      </c>
      <c r="I124">
        <v>21853101300</v>
      </c>
      <c r="J124">
        <v>110006737600</v>
      </c>
      <c r="K124">
        <v>5.0339188058401501</v>
      </c>
      <c r="L124">
        <v>35851000</v>
      </c>
      <c r="M124">
        <v>2942895800</v>
      </c>
      <c r="N124">
        <v>11981124400</v>
      </c>
      <c r="O124">
        <v>14924020200</v>
      </c>
      <c r="P124">
        <v>586900</v>
      </c>
      <c r="Q124">
        <v>5949794300</v>
      </c>
      <c r="R124">
        <v>5950381200</v>
      </c>
      <c r="S124">
        <v>4053700</v>
      </c>
      <c r="T124">
        <v>239832300</v>
      </c>
      <c r="U124">
        <v>57288576700</v>
      </c>
      <c r="V124">
        <v>43812247500</v>
      </c>
      <c r="W124">
        <v>1859500</v>
      </c>
      <c r="X124">
        <v>21853101300</v>
      </c>
    </row>
    <row r="125" spans="1:24" x14ac:dyDescent="0.3">
      <c r="A125">
        <v>124</v>
      </c>
      <c r="B125">
        <v>524288</v>
      </c>
      <c r="C125">
        <v>5</v>
      </c>
      <c r="D125">
        <v>216</v>
      </c>
      <c r="E125">
        <v>0.65</v>
      </c>
      <c r="F125">
        <v>12</v>
      </c>
      <c r="G125">
        <v>8191</v>
      </c>
      <c r="H125">
        <v>70940</v>
      </c>
      <c r="I125">
        <v>10553465200</v>
      </c>
      <c r="J125">
        <v>47265284300</v>
      </c>
      <c r="K125">
        <v>4.4786506994877797</v>
      </c>
      <c r="L125">
        <v>19237100</v>
      </c>
      <c r="M125">
        <v>2941471700</v>
      </c>
      <c r="N125">
        <v>4287362600</v>
      </c>
      <c r="O125">
        <v>7228834300</v>
      </c>
      <c r="P125">
        <v>228900</v>
      </c>
      <c r="Q125">
        <v>2371908000</v>
      </c>
      <c r="R125">
        <v>2372136900</v>
      </c>
      <c r="S125">
        <v>4044500</v>
      </c>
      <c r="T125">
        <v>536419700</v>
      </c>
      <c r="U125">
        <v>20621287800</v>
      </c>
      <c r="V125">
        <v>17465339300</v>
      </c>
      <c r="W125">
        <v>1882500</v>
      </c>
      <c r="X125">
        <v>10553465200</v>
      </c>
    </row>
    <row r="126" spans="1:24" x14ac:dyDescent="0.3">
      <c r="A126">
        <v>125</v>
      </c>
      <c r="B126">
        <v>524288</v>
      </c>
      <c r="C126">
        <v>5</v>
      </c>
      <c r="D126">
        <v>216</v>
      </c>
      <c r="E126">
        <v>0.8</v>
      </c>
      <c r="F126">
        <v>12</v>
      </c>
      <c r="G126">
        <v>8191</v>
      </c>
      <c r="H126">
        <v>33844</v>
      </c>
      <c r="I126">
        <v>7568668900</v>
      </c>
      <c r="J126">
        <v>29078716700</v>
      </c>
      <c r="K126">
        <v>3.8419855702764298</v>
      </c>
      <c r="L126">
        <v>6343300</v>
      </c>
      <c r="M126">
        <v>3022000700</v>
      </c>
      <c r="N126">
        <v>2465472600</v>
      </c>
      <c r="O126">
        <v>5487473300</v>
      </c>
      <c r="P126">
        <v>172600</v>
      </c>
      <c r="Q126">
        <v>1141375500</v>
      </c>
      <c r="R126">
        <v>1141548100</v>
      </c>
      <c r="S126">
        <v>4372300</v>
      </c>
      <c r="T126">
        <v>193622700</v>
      </c>
      <c r="U126">
        <v>11964424600</v>
      </c>
      <c r="V126">
        <v>8325333800</v>
      </c>
      <c r="W126">
        <v>1899900</v>
      </c>
      <c r="X126">
        <v>7568668900</v>
      </c>
    </row>
    <row r="127" spans="1:24" x14ac:dyDescent="0.3">
      <c r="A127">
        <v>126</v>
      </c>
      <c r="B127">
        <v>524288</v>
      </c>
      <c r="C127">
        <v>5</v>
      </c>
      <c r="D127">
        <v>216</v>
      </c>
      <c r="E127">
        <v>0.95</v>
      </c>
      <c r="F127">
        <v>12</v>
      </c>
      <c r="G127">
        <v>8191</v>
      </c>
      <c r="H127">
        <v>24572</v>
      </c>
      <c r="I127">
        <v>5513276200</v>
      </c>
      <c r="J127">
        <v>18472496500</v>
      </c>
      <c r="K127">
        <v>3.3505479917730199</v>
      </c>
      <c r="L127">
        <v>3178200</v>
      </c>
      <c r="M127">
        <v>2987736600</v>
      </c>
      <c r="N127">
        <v>760300000</v>
      </c>
      <c r="O127">
        <v>3748036600</v>
      </c>
      <c r="P127">
        <v>176800</v>
      </c>
      <c r="Q127">
        <v>833699000</v>
      </c>
      <c r="R127">
        <v>833875800</v>
      </c>
      <c r="S127">
        <v>4044600</v>
      </c>
      <c r="T127">
        <v>188592700</v>
      </c>
      <c r="U127">
        <v>3647285300</v>
      </c>
      <c r="V127">
        <v>6047467700</v>
      </c>
      <c r="W127">
        <v>1818400</v>
      </c>
      <c r="X127">
        <v>5513276200</v>
      </c>
    </row>
    <row r="128" spans="1:24" x14ac:dyDescent="0.3">
      <c r="A128">
        <v>127</v>
      </c>
      <c r="B128">
        <v>524288</v>
      </c>
      <c r="C128">
        <v>6</v>
      </c>
      <c r="D128">
        <v>343</v>
      </c>
      <c r="E128">
        <v>0.5</v>
      </c>
      <c r="F128">
        <v>11</v>
      </c>
      <c r="G128">
        <v>4095</v>
      </c>
      <c r="H128">
        <v>88144</v>
      </c>
      <c r="I128">
        <v>32688493100</v>
      </c>
      <c r="J128">
        <v>162180221900</v>
      </c>
      <c r="K128">
        <v>4.9613856901834303</v>
      </c>
      <c r="L128">
        <v>17933400</v>
      </c>
      <c r="M128">
        <v>7025770600</v>
      </c>
      <c r="N128">
        <v>12740890600</v>
      </c>
      <c r="O128">
        <v>19766661200</v>
      </c>
      <c r="P128">
        <v>269700</v>
      </c>
      <c r="Q128">
        <v>11809694000</v>
      </c>
      <c r="R128">
        <v>11809963700</v>
      </c>
      <c r="S128">
        <v>4057300</v>
      </c>
      <c r="T128">
        <v>180693500</v>
      </c>
      <c r="U128">
        <v>60114964600</v>
      </c>
      <c r="V128">
        <v>91152204100</v>
      </c>
      <c r="W128">
        <v>1852300</v>
      </c>
      <c r="X128">
        <v>32688493100</v>
      </c>
    </row>
    <row r="129" spans="1:24" x14ac:dyDescent="0.3">
      <c r="A129">
        <v>128</v>
      </c>
      <c r="B129">
        <v>524288</v>
      </c>
      <c r="C129">
        <v>6</v>
      </c>
      <c r="D129">
        <v>343</v>
      </c>
      <c r="E129">
        <v>0.2</v>
      </c>
      <c r="F129">
        <v>11</v>
      </c>
      <c r="G129">
        <v>4095</v>
      </c>
      <c r="H129">
        <v>951720</v>
      </c>
      <c r="I129">
        <v>214263992100</v>
      </c>
      <c r="J129">
        <v>1357666537300</v>
      </c>
      <c r="K129">
        <v>6.33641949817848</v>
      </c>
      <c r="L129">
        <v>144214900</v>
      </c>
      <c r="M129">
        <v>7053467800</v>
      </c>
      <c r="N129">
        <v>77485073600</v>
      </c>
      <c r="O129">
        <v>84538541400</v>
      </c>
      <c r="P129">
        <v>2579700</v>
      </c>
      <c r="Q129">
        <v>128481745100</v>
      </c>
      <c r="R129">
        <v>128484324800</v>
      </c>
      <c r="S129">
        <v>3992800</v>
      </c>
      <c r="T129">
        <v>174841600</v>
      </c>
      <c r="U129">
        <v>362909080000</v>
      </c>
      <c r="V129">
        <v>983675293300</v>
      </c>
      <c r="W129">
        <v>1832200</v>
      </c>
      <c r="X129">
        <v>214263992100</v>
      </c>
    </row>
    <row r="130" spans="1:24" x14ac:dyDescent="0.3">
      <c r="A130">
        <v>129</v>
      </c>
      <c r="B130">
        <v>524288</v>
      </c>
      <c r="C130">
        <v>6</v>
      </c>
      <c r="D130">
        <v>343</v>
      </c>
      <c r="E130">
        <v>0.35</v>
      </c>
      <c r="F130">
        <v>11</v>
      </c>
      <c r="G130">
        <v>4095</v>
      </c>
      <c r="H130">
        <v>216328</v>
      </c>
      <c r="I130">
        <v>68463050700</v>
      </c>
      <c r="J130">
        <v>382134865500</v>
      </c>
      <c r="K130">
        <v>5.5816219346474396</v>
      </c>
      <c r="L130">
        <v>36354900</v>
      </c>
      <c r="M130">
        <v>7024043300</v>
      </c>
      <c r="N130">
        <v>31297091400</v>
      </c>
      <c r="O130">
        <v>38321134700</v>
      </c>
      <c r="P130">
        <v>623900</v>
      </c>
      <c r="Q130">
        <v>29013566400</v>
      </c>
      <c r="R130">
        <v>29014190300</v>
      </c>
      <c r="S130">
        <v>4001200</v>
      </c>
      <c r="T130">
        <v>188680600</v>
      </c>
      <c r="U130">
        <v>147965963100</v>
      </c>
      <c r="V130">
        <v>223256040700</v>
      </c>
      <c r="W130">
        <v>1889700</v>
      </c>
      <c r="X130">
        <v>68463050700</v>
      </c>
    </row>
    <row r="131" spans="1:24" x14ac:dyDescent="0.3">
      <c r="A131">
        <v>130</v>
      </c>
      <c r="B131">
        <v>524288</v>
      </c>
      <c r="C131">
        <v>6</v>
      </c>
      <c r="D131">
        <v>343</v>
      </c>
      <c r="E131">
        <v>0.5</v>
      </c>
      <c r="F131">
        <v>11</v>
      </c>
      <c r="G131">
        <v>4095</v>
      </c>
      <c r="H131">
        <v>88176</v>
      </c>
      <c r="I131">
        <v>32585016800</v>
      </c>
      <c r="J131">
        <v>162421503900</v>
      </c>
      <c r="K131">
        <v>4.9845456547378504</v>
      </c>
      <c r="L131">
        <v>18110300</v>
      </c>
      <c r="M131">
        <v>7022525900</v>
      </c>
      <c r="N131">
        <v>12708076700</v>
      </c>
      <c r="O131">
        <v>19730602600</v>
      </c>
      <c r="P131">
        <v>271200</v>
      </c>
      <c r="Q131">
        <v>11731199400</v>
      </c>
      <c r="R131">
        <v>11731470600</v>
      </c>
      <c r="S131">
        <v>4439900</v>
      </c>
      <c r="T131">
        <v>176631100</v>
      </c>
      <c r="U131">
        <v>60177926000</v>
      </c>
      <c r="V131">
        <v>91236000300</v>
      </c>
      <c r="W131">
        <v>1859400</v>
      </c>
      <c r="X131">
        <v>32585016800</v>
      </c>
    </row>
    <row r="132" spans="1:24" x14ac:dyDescent="0.3">
      <c r="A132">
        <v>131</v>
      </c>
      <c r="B132">
        <v>524288</v>
      </c>
      <c r="C132">
        <v>6</v>
      </c>
      <c r="D132">
        <v>343</v>
      </c>
      <c r="E132">
        <v>0.65</v>
      </c>
      <c r="F132">
        <v>11</v>
      </c>
      <c r="G132">
        <v>4095</v>
      </c>
      <c r="H132">
        <v>30852</v>
      </c>
      <c r="I132">
        <v>17602790000</v>
      </c>
      <c r="J132">
        <v>68095432700</v>
      </c>
      <c r="K132">
        <v>3.8684454396149701</v>
      </c>
      <c r="L132">
        <v>6068500</v>
      </c>
      <c r="M132">
        <v>7019795800</v>
      </c>
      <c r="N132">
        <v>5369381100</v>
      </c>
      <c r="O132">
        <v>12389176900</v>
      </c>
      <c r="P132">
        <v>195000</v>
      </c>
      <c r="Q132">
        <v>4117604300</v>
      </c>
      <c r="R132">
        <v>4117799300</v>
      </c>
      <c r="S132">
        <v>4064200</v>
      </c>
      <c r="T132">
        <v>178636700</v>
      </c>
      <c r="U132">
        <v>25391437900</v>
      </c>
      <c r="V132">
        <v>31834290600</v>
      </c>
      <c r="W132">
        <v>1801500</v>
      </c>
      <c r="X132">
        <v>17602790000</v>
      </c>
    </row>
    <row r="133" spans="1:24" x14ac:dyDescent="0.3">
      <c r="A133">
        <v>132</v>
      </c>
      <c r="B133">
        <v>524288</v>
      </c>
      <c r="C133">
        <v>6</v>
      </c>
      <c r="D133">
        <v>343</v>
      </c>
      <c r="E133">
        <v>0.8</v>
      </c>
      <c r="F133">
        <v>11</v>
      </c>
      <c r="G133">
        <v>4095</v>
      </c>
      <c r="H133">
        <v>15608</v>
      </c>
      <c r="I133">
        <v>13504431500</v>
      </c>
      <c r="J133">
        <v>42499004700</v>
      </c>
      <c r="K133">
        <v>3.1470413767510301</v>
      </c>
      <c r="L133">
        <v>3098400</v>
      </c>
      <c r="M133">
        <v>7028946700</v>
      </c>
      <c r="N133">
        <v>3262059800</v>
      </c>
      <c r="O133">
        <v>10291006500</v>
      </c>
      <c r="P133">
        <v>156200</v>
      </c>
      <c r="Q133">
        <v>2107521400</v>
      </c>
      <c r="R133">
        <v>2107677600</v>
      </c>
      <c r="S133">
        <v>4013800</v>
      </c>
      <c r="T133">
        <v>178837600</v>
      </c>
      <c r="U133">
        <v>15475172600</v>
      </c>
      <c r="V133">
        <v>16123016800</v>
      </c>
      <c r="W133">
        <v>1855100</v>
      </c>
      <c r="X133">
        <v>13504431500</v>
      </c>
    </row>
    <row r="134" spans="1:24" x14ac:dyDescent="0.3">
      <c r="A134">
        <v>133</v>
      </c>
      <c r="B134">
        <v>524288</v>
      </c>
      <c r="C134">
        <v>6</v>
      </c>
      <c r="D134">
        <v>343</v>
      </c>
      <c r="E134">
        <v>0.95</v>
      </c>
      <c r="F134">
        <v>11</v>
      </c>
      <c r="G134">
        <v>4095</v>
      </c>
      <c r="H134">
        <v>8192</v>
      </c>
      <c r="I134">
        <v>10375105400</v>
      </c>
      <c r="J134">
        <v>24757058200</v>
      </c>
      <c r="K134">
        <v>2.3861982356342999</v>
      </c>
      <c r="L134">
        <v>1368800</v>
      </c>
      <c r="M134">
        <v>7035763200</v>
      </c>
      <c r="N134">
        <v>1136661400</v>
      </c>
      <c r="O134">
        <v>8172424600</v>
      </c>
      <c r="P134">
        <v>144600</v>
      </c>
      <c r="Q134">
        <v>1110572800</v>
      </c>
      <c r="R134">
        <v>1110717400</v>
      </c>
      <c r="S134">
        <v>4435300</v>
      </c>
      <c r="T134">
        <v>175138000</v>
      </c>
      <c r="U134">
        <v>5356072300</v>
      </c>
      <c r="V134">
        <v>8445861100</v>
      </c>
      <c r="W134">
        <v>1871200</v>
      </c>
      <c r="X134">
        <v>10375105400</v>
      </c>
    </row>
    <row r="135" spans="1:24" x14ac:dyDescent="0.3">
      <c r="A135">
        <v>134</v>
      </c>
      <c r="B135">
        <v>524288</v>
      </c>
      <c r="C135">
        <v>7</v>
      </c>
      <c r="D135">
        <v>512</v>
      </c>
      <c r="E135">
        <v>0.5</v>
      </c>
      <c r="F135">
        <v>10</v>
      </c>
      <c r="G135">
        <v>2047</v>
      </c>
      <c r="H135">
        <v>34980</v>
      </c>
      <c r="I135">
        <v>41496829500</v>
      </c>
      <c r="J135">
        <v>234110951800</v>
      </c>
      <c r="K135">
        <v>5.6416587633520203</v>
      </c>
      <c r="L135">
        <v>6208200</v>
      </c>
      <c r="M135">
        <v>8413672800</v>
      </c>
      <c r="N135">
        <v>13196117400</v>
      </c>
      <c r="O135">
        <v>21609790200</v>
      </c>
      <c r="P135">
        <v>116500</v>
      </c>
      <c r="Q135">
        <v>18787152800</v>
      </c>
      <c r="R135">
        <v>18787269300</v>
      </c>
      <c r="S135">
        <v>4061100</v>
      </c>
      <c r="T135">
        <v>176908800</v>
      </c>
      <c r="U135">
        <v>70080531900</v>
      </c>
      <c r="V135">
        <v>151288331600</v>
      </c>
      <c r="W135">
        <v>1842000</v>
      </c>
      <c r="X135">
        <v>41496829500</v>
      </c>
    </row>
    <row r="136" spans="1:24" x14ac:dyDescent="0.3">
      <c r="A136">
        <v>135</v>
      </c>
      <c r="B136">
        <v>524288</v>
      </c>
      <c r="C136">
        <v>7</v>
      </c>
      <c r="D136">
        <v>512</v>
      </c>
      <c r="E136">
        <v>0.2</v>
      </c>
      <c r="F136">
        <v>10</v>
      </c>
      <c r="G136">
        <v>2047</v>
      </c>
      <c r="H136">
        <v>338292</v>
      </c>
      <c r="I136">
        <v>266454361100</v>
      </c>
      <c r="J136">
        <v>1864330519700</v>
      </c>
      <c r="K136">
        <v>6.9968099302391096</v>
      </c>
      <c r="L136">
        <v>53490500</v>
      </c>
      <c r="M136">
        <v>8490278300</v>
      </c>
      <c r="N136">
        <v>73526074900</v>
      </c>
      <c r="O136">
        <v>82016353200</v>
      </c>
      <c r="P136">
        <v>893600</v>
      </c>
      <c r="Q136">
        <v>183273659500</v>
      </c>
      <c r="R136">
        <v>183274553100</v>
      </c>
      <c r="S136">
        <v>3985100</v>
      </c>
      <c r="T136">
        <v>166312600</v>
      </c>
      <c r="U136">
        <v>388068562100</v>
      </c>
      <c r="V136">
        <v>1463542129800</v>
      </c>
      <c r="W136">
        <v>1840200</v>
      </c>
      <c r="X136">
        <v>266454361100</v>
      </c>
    </row>
    <row r="137" spans="1:24" x14ac:dyDescent="0.3">
      <c r="A137">
        <v>136</v>
      </c>
      <c r="B137">
        <v>524288</v>
      </c>
      <c r="C137">
        <v>7</v>
      </c>
      <c r="D137">
        <v>512</v>
      </c>
      <c r="E137">
        <v>0.35</v>
      </c>
      <c r="F137">
        <v>10</v>
      </c>
      <c r="G137">
        <v>2047</v>
      </c>
      <c r="H137">
        <v>93576</v>
      </c>
      <c r="I137">
        <v>89661881900</v>
      </c>
      <c r="J137">
        <v>576065477500</v>
      </c>
      <c r="K137">
        <v>6.4248648956809298</v>
      </c>
      <c r="L137">
        <v>22843800</v>
      </c>
      <c r="M137">
        <v>8414715700</v>
      </c>
      <c r="N137">
        <v>29810303600</v>
      </c>
      <c r="O137">
        <v>38225019300</v>
      </c>
      <c r="P137">
        <v>190400</v>
      </c>
      <c r="Q137">
        <v>50324664300</v>
      </c>
      <c r="R137">
        <v>50324854700</v>
      </c>
      <c r="S137">
        <v>4002000</v>
      </c>
      <c r="T137">
        <v>177830800</v>
      </c>
      <c r="U137">
        <v>158785408100</v>
      </c>
      <c r="V137">
        <v>404628391300</v>
      </c>
      <c r="W137">
        <v>1943700</v>
      </c>
      <c r="X137">
        <v>89661881900</v>
      </c>
    </row>
    <row r="138" spans="1:24" x14ac:dyDescent="0.3">
      <c r="A138">
        <v>137</v>
      </c>
      <c r="B138">
        <v>524288</v>
      </c>
      <c r="C138">
        <v>7</v>
      </c>
      <c r="D138">
        <v>512</v>
      </c>
      <c r="E138">
        <v>0.5</v>
      </c>
      <c r="F138">
        <v>10</v>
      </c>
      <c r="G138">
        <v>2047</v>
      </c>
      <c r="H138">
        <v>34844</v>
      </c>
      <c r="I138">
        <v>41376323100</v>
      </c>
      <c r="J138">
        <v>233985763000</v>
      </c>
      <c r="K138">
        <v>5.6550641881467696</v>
      </c>
      <c r="L138">
        <v>13388800</v>
      </c>
      <c r="M138">
        <v>8415770100</v>
      </c>
      <c r="N138">
        <v>13218324700</v>
      </c>
      <c r="O138">
        <v>21634094800</v>
      </c>
      <c r="P138">
        <v>125800</v>
      </c>
      <c r="Q138">
        <v>18631006500</v>
      </c>
      <c r="R138">
        <v>18631132300</v>
      </c>
      <c r="S138">
        <v>4336400</v>
      </c>
      <c r="T138">
        <v>171598500</v>
      </c>
      <c r="U138">
        <v>70464313300</v>
      </c>
      <c r="V138">
        <v>150854394200</v>
      </c>
      <c r="W138">
        <v>1813200</v>
      </c>
      <c r="X138">
        <v>41376323100</v>
      </c>
    </row>
    <row r="139" spans="1:24" x14ac:dyDescent="0.3">
      <c r="A139">
        <v>138</v>
      </c>
      <c r="B139">
        <v>524288</v>
      </c>
      <c r="C139">
        <v>7</v>
      </c>
      <c r="D139">
        <v>512</v>
      </c>
      <c r="E139">
        <v>0.65</v>
      </c>
      <c r="F139">
        <v>10</v>
      </c>
      <c r="G139">
        <v>2047</v>
      </c>
      <c r="H139">
        <v>12420</v>
      </c>
      <c r="I139">
        <v>22459309400</v>
      </c>
      <c r="J139">
        <v>100186439200</v>
      </c>
      <c r="K139">
        <v>4.4607978551646799</v>
      </c>
      <c r="L139">
        <v>2566600</v>
      </c>
      <c r="M139">
        <v>8404308500</v>
      </c>
      <c r="N139">
        <v>6321823100</v>
      </c>
      <c r="O139">
        <v>14726131600</v>
      </c>
      <c r="P139">
        <v>117500</v>
      </c>
      <c r="Q139">
        <v>6637866600</v>
      </c>
      <c r="R139">
        <v>6637984100</v>
      </c>
      <c r="S139">
        <v>4075700</v>
      </c>
      <c r="T139">
        <v>169302200</v>
      </c>
      <c r="U139">
        <v>33612180200</v>
      </c>
      <c r="V139">
        <v>53737979300</v>
      </c>
      <c r="W139">
        <v>1836800</v>
      </c>
      <c r="X139">
        <v>22459309400</v>
      </c>
    </row>
    <row r="140" spans="1:24" x14ac:dyDescent="0.3">
      <c r="A140">
        <v>139</v>
      </c>
      <c r="B140">
        <v>524288</v>
      </c>
      <c r="C140">
        <v>7</v>
      </c>
      <c r="D140">
        <v>512</v>
      </c>
      <c r="E140">
        <v>0.8</v>
      </c>
      <c r="F140">
        <v>10</v>
      </c>
      <c r="G140">
        <v>2047</v>
      </c>
      <c r="H140">
        <v>7436</v>
      </c>
      <c r="I140">
        <v>17121024400</v>
      </c>
      <c r="J140">
        <v>63857850700</v>
      </c>
      <c r="K140">
        <v>3.7297914662162301</v>
      </c>
      <c r="L140">
        <v>1682600</v>
      </c>
      <c r="M140">
        <v>8429593800</v>
      </c>
      <c r="N140">
        <v>3584697200</v>
      </c>
      <c r="O140">
        <v>12014291000</v>
      </c>
      <c r="P140">
        <v>96100</v>
      </c>
      <c r="Q140">
        <v>4019818900</v>
      </c>
      <c r="R140">
        <v>4019915000</v>
      </c>
      <c r="S140">
        <v>4042700</v>
      </c>
      <c r="T140">
        <v>167241100</v>
      </c>
      <c r="U140">
        <v>19012028400</v>
      </c>
      <c r="V140">
        <v>32070404900</v>
      </c>
      <c r="W140">
        <v>1907500</v>
      </c>
      <c r="X140">
        <v>17121024400</v>
      </c>
    </row>
    <row r="141" spans="1:24" x14ac:dyDescent="0.3">
      <c r="A141">
        <v>140</v>
      </c>
      <c r="B141">
        <v>524288</v>
      </c>
      <c r="C141">
        <v>7</v>
      </c>
      <c r="D141">
        <v>512</v>
      </c>
      <c r="E141">
        <v>0.95</v>
      </c>
      <c r="F141">
        <v>10</v>
      </c>
      <c r="G141">
        <v>2047</v>
      </c>
      <c r="H141">
        <v>2048</v>
      </c>
      <c r="I141">
        <v>12890786700</v>
      </c>
      <c r="J141">
        <v>33527968300</v>
      </c>
      <c r="K141">
        <v>2.6009249148463498</v>
      </c>
      <c r="L141">
        <v>805900</v>
      </c>
      <c r="M141">
        <v>8422380800</v>
      </c>
      <c r="N141">
        <v>2259599900</v>
      </c>
      <c r="O141">
        <v>10681980700</v>
      </c>
      <c r="P141">
        <v>98200</v>
      </c>
      <c r="Q141">
        <v>1119102500</v>
      </c>
      <c r="R141">
        <v>1119200700</v>
      </c>
      <c r="S141">
        <v>4081700</v>
      </c>
      <c r="T141">
        <v>167208400</v>
      </c>
      <c r="U141">
        <v>11881872400</v>
      </c>
      <c r="V141">
        <v>8829859500</v>
      </c>
      <c r="W141">
        <v>1830400</v>
      </c>
      <c r="X141">
        <v>12890786700</v>
      </c>
    </row>
    <row r="142" spans="1:24" x14ac:dyDescent="0.3">
      <c r="A142">
        <v>141</v>
      </c>
      <c r="B142">
        <v>1048576</v>
      </c>
      <c r="C142">
        <v>3</v>
      </c>
      <c r="D142">
        <v>64</v>
      </c>
      <c r="E142">
        <v>0.5</v>
      </c>
      <c r="F142">
        <v>14</v>
      </c>
      <c r="G142">
        <v>32767</v>
      </c>
      <c r="H142">
        <v>721176</v>
      </c>
      <c r="I142">
        <v>12547525900</v>
      </c>
      <c r="J142">
        <v>72223390800</v>
      </c>
      <c r="K142">
        <v>5.75598658855926</v>
      </c>
      <c r="L142">
        <v>189305300</v>
      </c>
      <c r="M142">
        <v>885713100</v>
      </c>
      <c r="N142">
        <v>4434262200</v>
      </c>
      <c r="O142">
        <v>5319975300</v>
      </c>
      <c r="P142">
        <v>1897200</v>
      </c>
      <c r="Q142">
        <v>6053856400</v>
      </c>
      <c r="R142">
        <v>6055753600</v>
      </c>
      <c r="S142">
        <v>8548600</v>
      </c>
      <c r="T142">
        <v>491499500</v>
      </c>
      <c r="U142">
        <v>22575249500</v>
      </c>
      <c r="V142">
        <v>43199575100</v>
      </c>
      <c r="W142">
        <v>4080800</v>
      </c>
      <c r="X142">
        <v>12547525900</v>
      </c>
    </row>
    <row r="143" spans="1:24" x14ac:dyDescent="0.3">
      <c r="A143">
        <v>142</v>
      </c>
      <c r="B143">
        <v>1048576</v>
      </c>
      <c r="C143">
        <v>3</v>
      </c>
      <c r="D143">
        <v>64</v>
      </c>
      <c r="E143">
        <v>0.2</v>
      </c>
      <c r="F143">
        <v>14</v>
      </c>
      <c r="G143">
        <v>32767</v>
      </c>
      <c r="H143" s="1">
        <v>9813632</v>
      </c>
      <c r="I143">
        <v>129963162100</v>
      </c>
      <c r="J143">
        <v>815359451600</v>
      </c>
      <c r="K143">
        <v>6.27377357110334</v>
      </c>
      <c r="L143">
        <v>2176644300</v>
      </c>
      <c r="M143">
        <v>30338100</v>
      </c>
      <c r="N143">
        <v>43707479700</v>
      </c>
      <c r="O143">
        <v>43737817800</v>
      </c>
      <c r="P143">
        <v>27592100</v>
      </c>
      <c r="Q143">
        <v>83049511200</v>
      </c>
      <c r="R143">
        <v>83077103300</v>
      </c>
      <c r="S143">
        <v>7901500</v>
      </c>
      <c r="T143">
        <v>442551100</v>
      </c>
      <c r="U143">
        <v>222841980200</v>
      </c>
      <c r="V143">
        <v>585363069100</v>
      </c>
      <c r="W143">
        <v>3864200</v>
      </c>
      <c r="X143">
        <v>129963162100</v>
      </c>
    </row>
    <row r="144" spans="1:24" x14ac:dyDescent="0.3">
      <c r="A144">
        <v>143</v>
      </c>
      <c r="B144">
        <v>1048576</v>
      </c>
      <c r="C144">
        <v>3</v>
      </c>
      <c r="D144">
        <v>64</v>
      </c>
      <c r="E144">
        <v>0.35</v>
      </c>
      <c r="F144">
        <v>14</v>
      </c>
      <c r="G144">
        <v>32767</v>
      </c>
      <c r="H144" s="1">
        <v>1925380</v>
      </c>
      <c r="I144">
        <v>29804513700</v>
      </c>
      <c r="J144">
        <v>181283739900</v>
      </c>
      <c r="K144">
        <v>6.0824256931258001</v>
      </c>
      <c r="L144">
        <v>392836200</v>
      </c>
      <c r="M144">
        <v>690716600</v>
      </c>
      <c r="N144">
        <v>11669617600</v>
      </c>
      <c r="O144">
        <v>12360334200</v>
      </c>
      <c r="P144">
        <v>4779000</v>
      </c>
      <c r="Q144">
        <v>16081098300</v>
      </c>
      <c r="R144">
        <v>16085877300</v>
      </c>
      <c r="S144">
        <v>7767100</v>
      </c>
      <c r="T144">
        <v>812530800</v>
      </c>
      <c r="U144">
        <v>59718462100</v>
      </c>
      <c r="V144">
        <v>115116679100</v>
      </c>
      <c r="W144">
        <v>4027100</v>
      </c>
      <c r="X144">
        <v>29804513700</v>
      </c>
    </row>
    <row r="145" spans="1:24" x14ac:dyDescent="0.3">
      <c r="A145">
        <v>144</v>
      </c>
      <c r="B145">
        <v>1048576</v>
      </c>
      <c r="C145">
        <v>3</v>
      </c>
      <c r="D145">
        <v>64</v>
      </c>
      <c r="E145">
        <v>0.5</v>
      </c>
      <c r="F145">
        <v>14</v>
      </c>
      <c r="G145">
        <v>32767</v>
      </c>
      <c r="H145">
        <v>721084</v>
      </c>
      <c r="I145">
        <v>12500447400</v>
      </c>
      <c r="J145">
        <v>71852436000</v>
      </c>
      <c r="K145">
        <v>5.7479891479724099</v>
      </c>
      <c r="L145">
        <v>517367500</v>
      </c>
      <c r="M145">
        <v>540389300</v>
      </c>
      <c r="N145">
        <v>4403884400</v>
      </c>
      <c r="O145">
        <v>4944273700</v>
      </c>
      <c r="P145">
        <v>2057900</v>
      </c>
      <c r="Q145">
        <v>6037666400</v>
      </c>
      <c r="R145">
        <v>6039724300</v>
      </c>
      <c r="S145">
        <v>7903200</v>
      </c>
      <c r="T145">
        <v>505776900</v>
      </c>
      <c r="U145">
        <v>22619178100</v>
      </c>
      <c r="V145">
        <v>43250327600</v>
      </c>
      <c r="W145">
        <v>3917300</v>
      </c>
      <c r="X145">
        <v>12500447400</v>
      </c>
    </row>
    <row r="146" spans="1:24" x14ac:dyDescent="0.3">
      <c r="A146">
        <v>145</v>
      </c>
      <c r="B146">
        <v>1048576</v>
      </c>
      <c r="C146">
        <v>3</v>
      </c>
      <c r="D146">
        <v>64</v>
      </c>
      <c r="E146">
        <v>0.65</v>
      </c>
      <c r="F146">
        <v>14</v>
      </c>
      <c r="G146">
        <v>32767</v>
      </c>
      <c r="H146">
        <v>250656</v>
      </c>
      <c r="I146">
        <v>5757168300</v>
      </c>
      <c r="J146">
        <v>29578881400</v>
      </c>
      <c r="K146">
        <v>5.1377482572465301</v>
      </c>
      <c r="L146">
        <v>49138700</v>
      </c>
      <c r="M146">
        <v>1028391500</v>
      </c>
      <c r="N146">
        <v>1593471300</v>
      </c>
      <c r="O146">
        <v>2621862800</v>
      </c>
      <c r="P146">
        <v>774600</v>
      </c>
      <c r="Q146">
        <v>2116302400</v>
      </c>
      <c r="R146">
        <v>2117077000</v>
      </c>
      <c r="S146">
        <v>8546800</v>
      </c>
      <c r="T146">
        <v>482394600</v>
      </c>
      <c r="U146">
        <v>8265959300</v>
      </c>
      <c r="V146">
        <v>15137751500</v>
      </c>
      <c r="W146">
        <v>3726900</v>
      </c>
      <c r="X146">
        <v>5757168300</v>
      </c>
    </row>
    <row r="147" spans="1:24" x14ac:dyDescent="0.3">
      <c r="A147">
        <v>146</v>
      </c>
      <c r="B147">
        <v>1048576</v>
      </c>
      <c r="C147">
        <v>3</v>
      </c>
      <c r="D147">
        <v>64</v>
      </c>
      <c r="E147">
        <v>0.8</v>
      </c>
      <c r="F147">
        <v>14</v>
      </c>
      <c r="G147">
        <v>32767</v>
      </c>
      <c r="H147">
        <v>116308</v>
      </c>
      <c r="I147">
        <v>3967381100</v>
      </c>
      <c r="J147">
        <v>17802372900</v>
      </c>
      <c r="K147">
        <v>4.4871849845733198</v>
      </c>
      <c r="L147">
        <v>25989200</v>
      </c>
      <c r="M147">
        <v>1041226500</v>
      </c>
      <c r="N147">
        <v>906640400</v>
      </c>
      <c r="O147">
        <v>1947866900</v>
      </c>
      <c r="P147">
        <v>406500</v>
      </c>
      <c r="Q147">
        <v>1005798000</v>
      </c>
      <c r="R147">
        <v>1006204500</v>
      </c>
      <c r="S147">
        <v>7936100</v>
      </c>
      <c r="T147">
        <v>475822600</v>
      </c>
      <c r="U147">
        <v>4628601000</v>
      </c>
      <c r="V147">
        <v>7024068100</v>
      </c>
      <c r="W147">
        <v>3854900</v>
      </c>
      <c r="X147">
        <v>3967381100</v>
      </c>
    </row>
    <row r="148" spans="1:24" x14ac:dyDescent="0.3">
      <c r="A148">
        <v>147</v>
      </c>
      <c r="B148">
        <v>1048576</v>
      </c>
      <c r="C148">
        <v>3</v>
      </c>
      <c r="D148">
        <v>64</v>
      </c>
      <c r="E148">
        <v>0.95</v>
      </c>
      <c r="F148">
        <v>14</v>
      </c>
      <c r="G148">
        <v>32767</v>
      </c>
      <c r="H148">
        <v>65536</v>
      </c>
      <c r="I148">
        <v>2946087400</v>
      </c>
      <c r="J148">
        <v>12181469200</v>
      </c>
      <c r="K148">
        <v>4.1347955936405603</v>
      </c>
      <c r="L148">
        <v>10177500</v>
      </c>
      <c r="M148">
        <v>1051248200</v>
      </c>
      <c r="N148">
        <v>306514200</v>
      </c>
      <c r="O148">
        <v>1357762400</v>
      </c>
      <c r="P148">
        <v>167300</v>
      </c>
      <c r="Q148">
        <v>578910900</v>
      </c>
      <c r="R148">
        <v>579078200</v>
      </c>
      <c r="S148">
        <v>8471200</v>
      </c>
      <c r="T148">
        <v>773309000</v>
      </c>
      <c r="U148">
        <v>1594063400</v>
      </c>
      <c r="V148">
        <v>3965795800</v>
      </c>
      <c r="W148">
        <v>3721700</v>
      </c>
      <c r="X148">
        <v>2946087400</v>
      </c>
    </row>
    <row r="149" spans="1:24" x14ac:dyDescent="0.3">
      <c r="A149">
        <v>148</v>
      </c>
      <c r="B149">
        <v>1048576</v>
      </c>
      <c r="C149">
        <v>4</v>
      </c>
      <c r="D149">
        <v>125</v>
      </c>
      <c r="E149">
        <v>0.5</v>
      </c>
      <c r="F149">
        <v>14</v>
      </c>
      <c r="G149">
        <v>32767</v>
      </c>
      <c r="H149">
        <v>722028</v>
      </c>
      <c r="I149">
        <v>25253516700</v>
      </c>
      <c r="J149">
        <v>139840141300</v>
      </c>
      <c r="K149">
        <v>5.5374521877976699</v>
      </c>
      <c r="L149">
        <v>141076800</v>
      </c>
      <c r="M149">
        <v>2823631100</v>
      </c>
      <c r="N149">
        <v>14495549600</v>
      </c>
      <c r="O149">
        <v>17319180700</v>
      </c>
      <c r="P149">
        <v>2088000</v>
      </c>
      <c r="Q149">
        <v>6267316700</v>
      </c>
      <c r="R149">
        <v>6269404700</v>
      </c>
      <c r="S149">
        <v>8615900</v>
      </c>
      <c r="T149">
        <v>496222400</v>
      </c>
      <c r="U149">
        <v>83584198300</v>
      </c>
      <c r="V149">
        <v>43225109100</v>
      </c>
      <c r="W149">
        <v>3719000</v>
      </c>
      <c r="X149">
        <v>25253516700</v>
      </c>
    </row>
    <row r="150" spans="1:24" x14ac:dyDescent="0.3">
      <c r="A150">
        <v>149</v>
      </c>
      <c r="B150">
        <v>1048576</v>
      </c>
      <c r="C150">
        <v>4</v>
      </c>
      <c r="D150">
        <v>125</v>
      </c>
      <c r="E150">
        <v>0.2</v>
      </c>
      <c r="F150">
        <v>14</v>
      </c>
      <c r="G150">
        <v>32767</v>
      </c>
      <c r="H150" s="1">
        <v>9804296</v>
      </c>
      <c r="I150">
        <v>234223404000</v>
      </c>
      <c r="J150">
        <v>1422221480300</v>
      </c>
      <c r="K150">
        <v>6.0720724573706502</v>
      </c>
      <c r="L150">
        <v>1889414800</v>
      </c>
      <c r="M150">
        <v>1035041800</v>
      </c>
      <c r="N150">
        <v>144217959400</v>
      </c>
      <c r="O150">
        <v>145253001200</v>
      </c>
      <c r="P150">
        <v>28603700</v>
      </c>
      <c r="Q150">
        <v>85607081800</v>
      </c>
      <c r="R150">
        <v>85635685500</v>
      </c>
      <c r="S150">
        <v>22539600</v>
      </c>
      <c r="T150">
        <v>566388800</v>
      </c>
      <c r="U150">
        <v>823622845500</v>
      </c>
      <c r="V150">
        <v>584496301200</v>
      </c>
      <c r="W150">
        <v>3796700</v>
      </c>
      <c r="X150">
        <v>234223404000</v>
      </c>
    </row>
    <row r="151" spans="1:24" x14ac:dyDescent="0.3">
      <c r="A151">
        <v>150</v>
      </c>
      <c r="B151">
        <v>1048576</v>
      </c>
      <c r="C151">
        <v>4</v>
      </c>
      <c r="D151">
        <v>125</v>
      </c>
      <c r="E151">
        <v>0.35</v>
      </c>
      <c r="F151">
        <v>14</v>
      </c>
      <c r="G151">
        <v>32767</v>
      </c>
      <c r="H151" s="1">
        <v>1927584</v>
      </c>
      <c r="I151">
        <v>59422022300</v>
      </c>
      <c r="J151">
        <v>349812263100</v>
      </c>
      <c r="K151">
        <v>5.8869127902434197</v>
      </c>
      <c r="L151">
        <v>380458800</v>
      </c>
      <c r="M151">
        <v>2608136400</v>
      </c>
      <c r="N151">
        <v>38383510800</v>
      </c>
      <c r="O151">
        <v>40991647200</v>
      </c>
      <c r="P151">
        <v>5439500</v>
      </c>
      <c r="Q151">
        <v>16714715400</v>
      </c>
      <c r="R151">
        <v>16720154900</v>
      </c>
      <c r="S151">
        <v>8080700</v>
      </c>
      <c r="T151">
        <v>885798900</v>
      </c>
      <c r="U151">
        <v>221098692300</v>
      </c>
      <c r="V151">
        <v>115086326600</v>
      </c>
      <c r="W151">
        <v>3883700</v>
      </c>
      <c r="X151">
        <v>59422022300</v>
      </c>
    </row>
    <row r="152" spans="1:24" x14ac:dyDescent="0.3">
      <c r="A152">
        <v>151</v>
      </c>
      <c r="B152">
        <v>1048576</v>
      </c>
      <c r="C152">
        <v>4</v>
      </c>
      <c r="D152">
        <v>125</v>
      </c>
      <c r="E152">
        <v>0.5</v>
      </c>
      <c r="F152">
        <v>14</v>
      </c>
      <c r="G152">
        <v>32767</v>
      </c>
      <c r="H152">
        <v>720924</v>
      </c>
      <c r="I152">
        <v>24951841300</v>
      </c>
      <c r="J152">
        <v>139756877400</v>
      </c>
      <c r="K152">
        <v>5.6010646957745696</v>
      </c>
      <c r="L152">
        <v>142287800</v>
      </c>
      <c r="M152">
        <v>2806835300</v>
      </c>
      <c r="N152">
        <v>14431226800</v>
      </c>
      <c r="O152">
        <v>17238062100</v>
      </c>
      <c r="P152">
        <v>2077000</v>
      </c>
      <c r="Q152">
        <v>6199238900</v>
      </c>
      <c r="R152">
        <v>6201315900</v>
      </c>
      <c r="S152">
        <v>7829900</v>
      </c>
      <c r="T152">
        <v>494100400</v>
      </c>
      <c r="U152">
        <v>83607989100</v>
      </c>
      <c r="V152">
        <v>43101029900</v>
      </c>
      <c r="W152">
        <v>3747900</v>
      </c>
      <c r="X152">
        <v>24951841300</v>
      </c>
    </row>
    <row r="153" spans="1:24" x14ac:dyDescent="0.3">
      <c r="A153">
        <v>152</v>
      </c>
      <c r="B153">
        <v>1048576</v>
      </c>
      <c r="C153">
        <v>4</v>
      </c>
      <c r="D153">
        <v>125</v>
      </c>
      <c r="E153">
        <v>0.65</v>
      </c>
      <c r="F153">
        <v>14</v>
      </c>
      <c r="G153">
        <v>32767</v>
      </c>
      <c r="H153">
        <v>250680</v>
      </c>
      <c r="I153">
        <v>11798020300</v>
      </c>
      <c r="J153">
        <v>59113975800</v>
      </c>
      <c r="K153">
        <v>5.0104995835614803</v>
      </c>
      <c r="L153">
        <v>48811800</v>
      </c>
      <c r="M153">
        <v>2907959200</v>
      </c>
      <c r="N153">
        <v>5304058800</v>
      </c>
      <c r="O153">
        <v>8212018000</v>
      </c>
      <c r="P153">
        <v>734500</v>
      </c>
      <c r="Q153">
        <v>2176693900</v>
      </c>
      <c r="R153">
        <v>2177428400</v>
      </c>
      <c r="S153">
        <v>7798500</v>
      </c>
      <c r="T153">
        <v>857448200</v>
      </c>
      <c r="U153">
        <v>30744382900</v>
      </c>
      <c r="V153">
        <v>15128919100</v>
      </c>
      <c r="W153">
        <v>3819300</v>
      </c>
      <c r="X153">
        <v>11798020300</v>
      </c>
    </row>
    <row r="154" spans="1:24" x14ac:dyDescent="0.3">
      <c r="A154">
        <v>153</v>
      </c>
      <c r="B154">
        <v>1048576</v>
      </c>
      <c r="C154">
        <v>4</v>
      </c>
      <c r="D154">
        <v>125</v>
      </c>
      <c r="E154">
        <v>0.8</v>
      </c>
      <c r="F154">
        <v>14</v>
      </c>
      <c r="G154">
        <v>32767</v>
      </c>
      <c r="H154">
        <v>116004</v>
      </c>
      <c r="I154">
        <v>8288790000</v>
      </c>
      <c r="J154">
        <v>37333167800</v>
      </c>
      <c r="K154">
        <v>4.5040552119187396</v>
      </c>
      <c r="L154">
        <v>24458300</v>
      </c>
      <c r="M154">
        <v>2951308800</v>
      </c>
      <c r="N154">
        <v>2935784900</v>
      </c>
      <c r="O154">
        <v>5887093700</v>
      </c>
      <c r="P154">
        <v>405600</v>
      </c>
      <c r="Q154">
        <v>1035869900</v>
      </c>
      <c r="R154">
        <v>1036275500</v>
      </c>
      <c r="S154">
        <v>8476100</v>
      </c>
      <c r="T154">
        <v>849380500</v>
      </c>
      <c r="U154">
        <v>16992824400</v>
      </c>
      <c r="V154">
        <v>6980618500</v>
      </c>
      <c r="W154">
        <v>3708200</v>
      </c>
      <c r="X154">
        <v>8288790000</v>
      </c>
    </row>
    <row r="155" spans="1:24" x14ac:dyDescent="0.3">
      <c r="A155">
        <v>154</v>
      </c>
      <c r="B155">
        <v>1048576</v>
      </c>
      <c r="C155">
        <v>4</v>
      </c>
      <c r="D155">
        <v>125</v>
      </c>
      <c r="E155">
        <v>0.95</v>
      </c>
      <c r="F155">
        <v>14</v>
      </c>
      <c r="G155">
        <v>32767</v>
      </c>
      <c r="H155">
        <v>65536</v>
      </c>
      <c r="I155">
        <v>5910437000</v>
      </c>
      <c r="J155">
        <v>23244791200</v>
      </c>
      <c r="K155">
        <v>3.9328379948893701</v>
      </c>
      <c r="L155">
        <v>10310900</v>
      </c>
      <c r="M155">
        <v>2960625900</v>
      </c>
      <c r="N155">
        <v>1011799600</v>
      </c>
      <c r="O155">
        <v>3972425500</v>
      </c>
      <c r="P155">
        <v>165500</v>
      </c>
      <c r="Q155">
        <v>581592300</v>
      </c>
      <c r="R155">
        <v>581757800</v>
      </c>
      <c r="S155">
        <v>8077200</v>
      </c>
      <c r="T155">
        <v>849321200</v>
      </c>
      <c r="U155">
        <v>5849569800</v>
      </c>
      <c r="V155">
        <v>3974415500</v>
      </c>
      <c r="W155">
        <v>3740800</v>
      </c>
      <c r="X155">
        <v>5910437000</v>
      </c>
    </row>
    <row r="156" spans="1:24" x14ac:dyDescent="0.3">
      <c r="A156">
        <v>155</v>
      </c>
      <c r="B156">
        <v>1048576</v>
      </c>
      <c r="C156">
        <v>5</v>
      </c>
      <c r="D156">
        <v>216</v>
      </c>
      <c r="E156">
        <v>0.5</v>
      </c>
      <c r="F156">
        <v>13</v>
      </c>
      <c r="G156">
        <v>16383</v>
      </c>
      <c r="H156">
        <v>310760</v>
      </c>
      <c r="I156">
        <v>45689451200</v>
      </c>
      <c r="J156">
        <v>225356141100</v>
      </c>
      <c r="K156">
        <v>4.9323451077039797</v>
      </c>
      <c r="L156">
        <v>63537500</v>
      </c>
      <c r="M156">
        <v>5772049700</v>
      </c>
      <c r="N156">
        <v>27732915100</v>
      </c>
      <c r="O156">
        <v>33504964800</v>
      </c>
      <c r="P156">
        <v>878600</v>
      </c>
      <c r="Q156">
        <v>10452603000</v>
      </c>
      <c r="R156">
        <v>10453481600</v>
      </c>
      <c r="S156">
        <v>7973500</v>
      </c>
      <c r="T156">
        <v>832094200</v>
      </c>
      <c r="U156">
        <v>131123827400</v>
      </c>
      <c r="V156">
        <v>76466538600</v>
      </c>
      <c r="W156">
        <v>3941200</v>
      </c>
      <c r="X156">
        <v>45689451200</v>
      </c>
    </row>
    <row r="157" spans="1:24" x14ac:dyDescent="0.3">
      <c r="A157">
        <v>156</v>
      </c>
      <c r="B157">
        <v>1048576</v>
      </c>
      <c r="C157">
        <v>5</v>
      </c>
      <c r="D157">
        <v>216</v>
      </c>
      <c r="E157">
        <v>0.2</v>
      </c>
      <c r="F157">
        <v>13</v>
      </c>
      <c r="G157">
        <v>16383</v>
      </c>
      <c r="H157" s="1">
        <v>3778020</v>
      </c>
      <c r="I157">
        <v>432002084500</v>
      </c>
      <c r="J157">
        <v>2347893211300</v>
      </c>
      <c r="K157">
        <v>5.4349117644130196</v>
      </c>
      <c r="L157">
        <v>840513700</v>
      </c>
      <c r="M157">
        <v>4956048200</v>
      </c>
      <c r="N157">
        <v>296846835100</v>
      </c>
      <c r="O157">
        <v>301802883300</v>
      </c>
      <c r="P157">
        <v>9818600</v>
      </c>
      <c r="Q157">
        <v>127647493500</v>
      </c>
      <c r="R157">
        <v>127657312100</v>
      </c>
      <c r="S157">
        <v>22195700</v>
      </c>
      <c r="T157">
        <v>509923000</v>
      </c>
      <c r="U157">
        <v>1387502902700</v>
      </c>
      <c r="V157">
        <v>942353248000</v>
      </c>
      <c r="W157">
        <v>3759300</v>
      </c>
      <c r="X157">
        <v>432002084500</v>
      </c>
    </row>
    <row r="158" spans="1:24" x14ac:dyDescent="0.3">
      <c r="A158">
        <v>157</v>
      </c>
      <c r="B158">
        <v>1048576</v>
      </c>
      <c r="C158">
        <v>5</v>
      </c>
      <c r="D158">
        <v>216</v>
      </c>
      <c r="E158">
        <v>0.35</v>
      </c>
      <c r="F158">
        <v>13</v>
      </c>
      <c r="G158">
        <v>16383</v>
      </c>
      <c r="H158">
        <v>864912</v>
      </c>
      <c r="I158">
        <v>110295775300</v>
      </c>
      <c r="J158">
        <v>580302897000</v>
      </c>
      <c r="K158">
        <v>5.2613338581790599</v>
      </c>
      <c r="L158">
        <v>176881600</v>
      </c>
      <c r="M158">
        <v>5710413900</v>
      </c>
      <c r="N158">
        <v>73822136200</v>
      </c>
      <c r="O158">
        <v>79532550100</v>
      </c>
      <c r="P158">
        <v>2408300</v>
      </c>
      <c r="Q158">
        <v>28950049500</v>
      </c>
      <c r="R158">
        <v>28952457800</v>
      </c>
      <c r="S158">
        <v>21776700</v>
      </c>
      <c r="T158">
        <v>812586700</v>
      </c>
      <c r="U158">
        <v>348895276300</v>
      </c>
      <c r="V158">
        <v>213586101100</v>
      </c>
      <c r="W158">
        <v>3723300</v>
      </c>
      <c r="X158">
        <v>110295775300</v>
      </c>
    </row>
    <row r="159" spans="1:24" x14ac:dyDescent="0.3">
      <c r="A159">
        <v>158</v>
      </c>
      <c r="B159">
        <v>1048576</v>
      </c>
      <c r="C159">
        <v>5</v>
      </c>
      <c r="D159">
        <v>216</v>
      </c>
      <c r="E159">
        <v>0.5</v>
      </c>
      <c r="F159">
        <v>13</v>
      </c>
      <c r="G159">
        <v>16383</v>
      </c>
      <c r="H159">
        <v>310488</v>
      </c>
      <c r="I159">
        <v>45475918000</v>
      </c>
      <c r="J159">
        <v>225983728500</v>
      </c>
      <c r="K159">
        <v>4.9693054794407798</v>
      </c>
      <c r="L159">
        <v>68121000</v>
      </c>
      <c r="M159">
        <v>5842524800</v>
      </c>
      <c r="N159">
        <v>27519070600</v>
      </c>
      <c r="O159">
        <v>33361595400</v>
      </c>
      <c r="P159">
        <v>848300</v>
      </c>
      <c r="Q159">
        <v>10411364500</v>
      </c>
      <c r="R159">
        <v>10412212800</v>
      </c>
      <c r="S159">
        <v>7975300</v>
      </c>
      <c r="T159">
        <v>840378600</v>
      </c>
      <c r="U159">
        <v>131531646900</v>
      </c>
      <c r="V159">
        <v>76814605300</v>
      </c>
      <c r="W159">
        <v>3757700</v>
      </c>
      <c r="X159">
        <v>45475918000</v>
      </c>
    </row>
    <row r="160" spans="1:24" x14ac:dyDescent="0.3">
      <c r="A160">
        <v>159</v>
      </c>
      <c r="B160">
        <v>1048576</v>
      </c>
      <c r="C160">
        <v>5</v>
      </c>
      <c r="D160">
        <v>216</v>
      </c>
      <c r="E160">
        <v>0.65</v>
      </c>
      <c r="F160">
        <v>13</v>
      </c>
      <c r="G160">
        <v>16383</v>
      </c>
      <c r="H160">
        <v>103396</v>
      </c>
      <c r="I160">
        <v>22114893300</v>
      </c>
      <c r="J160">
        <v>96723877600</v>
      </c>
      <c r="K160">
        <v>4.3736985880008703</v>
      </c>
      <c r="L160">
        <v>24764000</v>
      </c>
      <c r="M160">
        <v>5798897900</v>
      </c>
      <c r="N160">
        <v>11119809700</v>
      </c>
      <c r="O160">
        <v>16918707600</v>
      </c>
      <c r="P160">
        <v>403400</v>
      </c>
      <c r="Q160">
        <v>3500209000</v>
      </c>
      <c r="R160">
        <v>3500612400</v>
      </c>
      <c r="S160">
        <v>7794200</v>
      </c>
      <c r="T160">
        <v>836683200</v>
      </c>
      <c r="U160">
        <v>53284766900</v>
      </c>
      <c r="V160">
        <v>25567643100</v>
      </c>
      <c r="W160">
        <v>3793300</v>
      </c>
      <c r="X160">
        <v>22114893300</v>
      </c>
    </row>
    <row r="161" spans="1:24" x14ac:dyDescent="0.3">
      <c r="A161">
        <v>160</v>
      </c>
      <c r="B161">
        <v>1048576</v>
      </c>
      <c r="C161">
        <v>5</v>
      </c>
      <c r="D161">
        <v>216</v>
      </c>
      <c r="E161">
        <v>0.8</v>
      </c>
      <c r="F161">
        <v>13</v>
      </c>
      <c r="G161">
        <v>16383</v>
      </c>
      <c r="H161">
        <v>59384</v>
      </c>
      <c r="I161">
        <v>15258911600</v>
      </c>
      <c r="J161">
        <v>60299698200</v>
      </c>
      <c r="K161">
        <v>3.9517692860872198</v>
      </c>
      <c r="L161">
        <v>12081300</v>
      </c>
      <c r="M161">
        <v>5837670300</v>
      </c>
      <c r="N161">
        <v>5724225900</v>
      </c>
      <c r="O161">
        <v>11561896200</v>
      </c>
      <c r="P161">
        <v>161200</v>
      </c>
      <c r="Q161">
        <v>2024308300</v>
      </c>
      <c r="R161">
        <v>2024469500</v>
      </c>
      <c r="S161">
        <v>7784300</v>
      </c>
      <c r="T161">
        <v>836527900</v>
      </c>
      <c r="U161">
        <v>27686353100</v>
      </c>
      <c r="V161">
        <v>14839544000</v>
      </c>
      <c r="W161">
        <v>3731700</v>
      </c>
      <c r="X161">
        <v>15258911600</v>
      </c>
    </row>
    <row r="162" spans="1:24" x14ac:dyDescent="0.3">
      <c r="A162">
        <v>161</v>
      </c>
      <c r="B162">
        <v>1048576</v>
      </c>
      <c r="C162">
        <v>5</v>
      </c>
      <c r="D162">
        <v>216</v>
      </c>
      <c r="E162">
        <v>0.95</v>
      </c>
      <c r="F162">
        <v>13</v>
      </c>
      <c r="G162">
        <v>16383</v>
      </c>
      <c r="H162">
        <v>16384</v>
      </c>
      <c r="I162">
        <v>11692650800</v>
      </c>
      <c r="J162">
        <v>39389743000</v>
      </c>
      <c r="K162">
        <v>3.3687607432867099</v>
      </c>
      <c r="L162">
        <v>5125700</v>
      </c>
      <c r="M162">
        <v>5839590800</v>
      </c>
      <c r="N162">
        <v>3616125800</v>
      </c>
      <c r="O162">
        <v>9455716600</v>
      </c>
      <c r="P162">
        <v>124100</v>
      </c>
      <c r="Q162">
        <v>577383200</v>
      </c>
      <c r="R162">
        <v>577507300</v>
      </c>
      <c r="S162">
        <v>8455900</v>
      </c>
      <c r="T162">
        <v>837957200</v>
      </c>
      <c r="U162">
        <v>17285034900</v>
      </c>
      <c r="V162">
        <v>4100106700</v>
      </c>
      <c r="W162">
        <v>3705600</v>
      </c>
      <c r="X162">
        <v>11692650800</v>
      </c>
    </row>
    <row r="163" spans="1:24" x14ac:dyDescent="0.3">
      <c r="A163">
        <v>162</v>
      </c>
      <c r="B163">
        <v>1048576</v>
      </c>
      <c r="C163">
        <v>6</v>
      </c>
      <c r="D163">
        <v>343</v>
      </c>
      <c r="E163">
        <v>0.5</v>
      </c>
      <c r="F163">
        <v>12</v>
      </c>
      <c r="G163">
        <v>8191</v>
      </c>
      <c r="H163">
        <v>180976</v>
      </c>
      <c r="I163">
        <v>70563608400</v>
      </c>
      <c r="J163">
        <v>353444370300</v>
      </c>
      <c r="K163">
        <v>5.0088760809459902</v>
      </c>
      <c r="L163">
        <v>31870100</v>
      </c>
      <c r="M163">
        <v>13866911900</v>
      </c>
      <c r="N163">
        <v>30461019700</v>
      </c>
      <c r="O163">
        <v>44327931600</v>
      </c>
      <c r="P163">
        <v>581300</v>
      </c>
      <c r="Q163">
        <v>24212235500</v>
      </c>
      <c r="R163">
        <v>24212816800</v>
      </c>
      <c r="S163">
        <v>7948800</v>
      </c>
      <c r="T163">
        <v>818392900</v>
      </c>
      <c r="U163">
        <v>143631430600</v>
      </c>
      <c r="V163">
        <v>187739974400</v>
      </c>
      <c r="W163">
        <v>3905900</v>
      </c>
      <c r="X163">
        <v>70563608400</v>
      </c>
    </row>
    <row r="164" spans="1:24" x14ac:dyDescent="0.3">
      <c r="A164">
        <v>163</v>
      </c>
      <c r="B164">
        <v>1048576</v>
      </c>
      <c r="C164">
        <v>6</v>
      </c>
      <c r="D164">
        <v>343</v>
      </c>
      <c r="E164">
        <v>0.2</v>
      </c>
      <c r="F164">
        <v>12</v>
      </c>
      <c r="G164">
        <v>8191</v>
      </c>
      <c r="H164" s="1">
        <v>2277964</v>
      </c>
      <c r="I164">
        <v>552363083300</v>
      </c>
      <c r="J164">
        <v>3474006114200</v>
      </c>
      <c r="K164">
        <v>6.2893524553544298</v>
      </c>
      <c r="L164">
        <v>408309200</v>
      </c>
      <c r="M164">
        <v>13469909300</v>
      </c>
      <c r="N164">
        <v>230075583700</v>
      </c>
      <c r="O164">
        <v>243545493000</v>
      </c>
      <c r="P164">
        <v>6007500</v>
      </c>
      <c r="Q164">
        <v>306389244600</v>
      </c>
      <c r="R164">
        <v>306395252100</v>
      </c>
      <c r="S164">
        <v>22805800</v>
      </c>
      <c r="T164">
        <v>499382600</v>
      </c>
      <c r="U164">
        <v>1086520577600</v>
      </c>
      <c r="V164">
        <v>2365287862300</v>
      </c>
      <c r="W164">
        <v>4246700</v>
      </c>
      <c r="X164">
        <v>552363083300</v>
      </c>
    </row>
    <row r="165" spans="1:24" x14ac:dyDescent="0.3">
      <c r="A165">
        <v>164</v>
      </c>
      <c r="B165">
        <v>1048576</v>
      </c>
      <c r="C165">
        <v>6</v>
      </c>
      <c r="D165">
        <v>343</v>
      </c>
      <c r="E165">
        <v>0.35</v>
      </c>
      <c r="F165">
        <v>12</v>
      </c>
      <c r="G165">
        <v>8191</v>
      </c>
      <c r="H165">
        <v>510488</v>
      </c>
      <c r="I165">
        <v>151527868600</v>
      </c>
      <c r="J165">
        <v>865022214300</v>
      </c>
      <c r="K165">
        <v>5.7086674701632996</v>
      </c>
      <c r="L165">
        <v>86295500</v>
      </c>
      <c r="M165">
        <v>13827095000</v>
      </c>
      <c r="N165">
        <v>66361120100</v>
      </c>
      <c r="O165">
        <v>80188215100</v>
      </c>
      <c r="P165">
        <v>1505700</v>
      </c>
      <c r="Q165">
        <v>68906958300</v>
      </c>
      <c r="R165">
        <v>68908464000</v>
      </c>
      <c r="S165">
        <v>7907900</v>
      </c>
      <c r="T165">
        <v>494024900</v>
      </c>
      <c r="U165">
        <v>313342217400</v>
      </c>
      <c r="V165">
        <v>529954044200</v>
      </c>
      <c r="W165">
        <v>3751600</v>
      </c>
      <c r="X165">
        <v>151527868600</v>
      </c>
    </row>
    <row r="166" spans="1:24" x14ac:dyDescent="0.3">
      <c r="A166">
        <v>165</v>
      </c>
      <c r="B166">
        <v>1048576</v>
      </c>
      <c r="C166">
        <v>6</v>
      </c>
      <c r="D166">
        <v>343</v>
      </c>
      <c r="E166">
        <v>0.5</v>
      </c>
      <c r="F166">
        <v>12</v>
      </c>
      <c r="G166">
        <v>8191</v>
      </c>
      <c r="H166">
        <v>182116</v>
      </c>
      <c r="I166">
        <v>70769959800</v>
      </c>
      <c r="J166">
        <v>358101851600</v>
      </c>
      <c r="K166">
        <v>5.0600827330129396</v>
      </c>
      <c r="L166">
        <v>76672000</v>
      </c>
      <c r="M166">
        <v>13806168800</v>
      </c>
      <c r="N166">
        <v>30425590500</v>
      </c>
      <c r="O166">
        <v>44231759300</v>
      </c>
      <c r="P166">
        <v>583500</v>
      </c>
      <c r="Q166">
        <v>24437322500</v>
      </c>
      <c r="R166">
        <v>24437906000</v>
      </c>
      <c r="S166">
        <v>8476100</v>
      </c>
      <c r="T166">
        <v>495537700</v>
      </c>
      <c r="U166">
        <v>144052812600</v>
      </c>
      <c r="V166">
        <v>192585402700</v>
      </c>
      <c r="W166">
        <v>3804500</v>
      </c>
      <c r="X166">
        <v>70769959800</v>
      </c>
    </row>
    <row r="167" spans="1:24" x14ac:dyDescent="0.3">
      <c r="A167">
        <v>166</v>
      </c>
      <c r="B167">
        <v>1048576</v>
      </c>
      <c r="C167">
        <v>6</v>
      </c>
      <c r="D167">
        <v>343</v>
      </c>
      <c r="E167">
        <v>0.65</v>
      </c>
      <c r="F167">
        <v>12</v>
      </c>
      <c r="G167">
        <v>8191</v>
      </c>
      <c r="H167">
        <v>73024</v>
      </c>
      <c r="I167">
        <v>36652974700</v>
      </c>
      <c r="J167">
        <v>149904442500</v>
      </c>
      <c r="K167">
        <v>4.0898301905083798</v>
      </c>
      <c r="L167">
        <v>12064000</v>
      </c>
      <c r="M167">
        <v>13859165500</v>
      </c>
      <c r="N167">
        <v>11051818600</v>
      </c>
      <c r="O167">
        <v>24910984100</v>
      </c>
      <c r="P167">
        <v>252700</v>
      </c>
      <c r="Q167">
        <v>9730776100</v>
      </c>
      <c r="R167">
        <v>9731028800</v>
      </c>
      <c r="S167">
        <v>8064100</v>
      </c>
      <c r="T167">
        <v>483687000</v>
      </c>
      <c r="U167">
        <v>52511164400</v>
      </c>
      <c r="V167">
        <v>75910872900</v>
      </c>
      <c r="W167">
        <v>3770500</v>
      </c>
      <c r="X167">
        <v>36652974700</v>
      </c>
    </row>
    <row r="168" spans="1:24" x14ac:dyDescent="0.3">
      <c r="A168">
        <v>167</v>
      </c>
      <c r="B168">
        <v>1048576</v>
      </c>
      <c r="C168">
        <v>6</v>
      </c>
      <c r="D168">
        <v>343</v>
      </c>
      <c r="E168">
        <v>0.8</v>
      </c>
      <c r="F168">
        <v>12</v>
      </c>
      <c r="G168">
        <v>8191</v>
      </c>
      <c r="H168">
        <v>35884</v>
      </c>
      <c r="I168">
        <v>26720050400</v>
      </c>
      <c r="J168">
        <v>87119170000</v>
      </c>
      <c r="K168">
        <v>3.2604418291067199</v>
      </c>
      <c r="L168">
        <v>6993600</v>
      </c>
      <c r="M168">
        <v>13920054900</v>
      </c>
      <c r="N168">
        <v>5984898700</v>
      </c>
      <c r="O168">
        <v>19904953600</v>
      </c>
      <c r="P168">
        <v>188000</v>
      </c>
      <c r="Q168">
        <v>4845830800</v>
      </c>
      <c r="R168">
        <v>4846018800</v>
      </c>
      <c r="S168">
        <v>7881600</v>
      </c>
      <c r="T168">
        <v>454491600</v>
      </c>
      <c r="U168">
        <v>28021073100</v>
      </c>
      <c r="V168">
        <v>37235081800</v>
      </c>
      <c r="W168">
        <v>3780400</v>
      </c>
      <c r="X168">
        <v>26720050400</v>
      </c>
    </row>
    <row r="169" spans="1:24" x14ac:dyDescent="0.3">
      <c r="A169">
        <v>168</v>
      </c>
      <c r="B169">
        <v>1048576</v>
      </c>
      <c r="C169">
        <v>6</v>
      </c>
      <c r="D169">
        <v>343</v>
      </c>
      <c r="E169">
        <v>0.95</v>
      </c>
      <c r="F169">
        <v>12</v>
      </c>
      <c r="G169">
        <v>8191</v>
      </c>
      <c r="H169">
        <v>24576</v>
      </c>
      <c r="I169">
        <v>21182925300</v>
      </c>
      <c r="J169">
        <v>56646571300</v>
      </c>
      <c r="K169">
        <v>2.6741618779158798</v>
      </c>
      <c r="L169">
        <v>3350300</v>
      </c>
      <c r="M169">
        <v>13927612600</v>
      </c>
      <c r="N169">
        <v>1936182100</v>
      </c>
      <c r="O169">
        <v>15863794700</v>
      </c>
      <c r="P169">
        <v>162700</v>
      </c>
      <c r="Q169">
        <v>3334907700</v>
      </c>
      <c r="R169">
        <v>3335070400</v>
      </c>
      <c r="S169">
        <v>7854200</v>
      </c>
      <c r="T169">
        <v>801277400</v>
      </c>
      <c r="U169">
        <v>9109924900</v>
      </c>
      <c r="V169">
        <v>25605749900</v>
      </c>
      <c r="W169">
        <v>4162400</v>
      </c>
      <c r="X169">
        <v>21182925300</v>
      </c>
    </row>
    <row r="170" spans="1:24" x14ac:dyDescent="0.3">
      <c r="A170">
        <v>169</v>
      </c>
      <c r="B170">
        <v>1048576</v>
      </c>
      <c r="C170">
        <v>7</v>
      </c>
      <c r="D170">
        <v>512</v>
      </c>
      <c r="E170">
        <v>0.5</v>
      </c>
      <c r="F170">
        <v>11</v>
      </c>
      <c r="G170">
        <v>4095</v>
      </c>
      <c r="H170">
        <v>90556</v>
      </c>
      <c r="I170">
        <v>92070181600</v>
      </c>
      <c r="J170">
        <v>553427746700</v>
      </c>
      <c r="K170">
        <v>6.01093358438645</v>
      </c>
      <c r="L170">
        <v>16836200</v>
      </c>
      <c r="M170">
        <v>16687443200</v>
      </c>
      <c r="N170">
        <v>24642522700</v>
      </c>
      <c r="O170">
        <v>41329965900</v>
      </c>
      <c r="P170">
        <v>276900</v>
      </c>
      <c r="Q170">
        <v>48725586600</v>
      </c>
      <c r="R170">
        <v>48725863500</v>
      </c>
      <c r="S170">
        <v>8482900</v>
      </c>
      <c r="T170">
        <v>766781900</v>
      </c>
      <c r="U170">
        <v>132014607400</v>
      </c>
      <c r="V170">
        <v>395611478300</v>
      </c>
      <c r="W170">
        <v>3754800</v>
      </c>
      <c r="X170">
        <v>92070181600</v>
      </c>
    </row>
    <row r="171" spans="1:24" x14ac:dyDescent="0.3">
      <c r="A171">
        <v>170</v>
      </c>
      <c r="B171">
        <v>1048576</v>
      </c>
      <c r="C171">
        <v>7</v>
      </c>
      <c r="D171">
        <v>512</v>
      </c>
      <c r="E171">
        <v>0.2</v>
      </c>
      <c r="F171">
        <v>11</v>
      </c>
      <c r="G171">
        <v>4095</v>
      </c>
      <c r="H171">
        <v>957428</v>
      </c>
      <c r="I171">
        <v>688429758400</v>
      </c>
      <c r="J171">
        <v>5021842661600</v>
      </c>
      <c r="K171">
        <v>7.2946333308882698</v>
      </c>
      <c r="L171">
        <v>140488500</v>
      </c>
      <c r="M171">
        <v>16494484600</v>
      </c>
      <c r="N171">
        <v>151357489500</v>
      </c>
      <c r="O171">
        <v>167851974100</v>
      </c>
      <c r="P171">
        <v>2359300</v>
      </c>
      <c r="Q171">
        <v>518429961300</v>
      </c>
      <c r="R171">
        <v>518432320600</v>
      </c>
      <c r="S171">
        <v>22386000</v>
      </c>
      <c r="T171">
        <v>727550600</v>
      </c>
      <c r="U171">
        <v>801438395900</v>
      </c>
      <c r="V171">
        <v>4194484237100</v>
      </c>
      <c r="W171">
        <v>3795400</v>
      </c>
      <c r="X171">
        <v>688429758400</v>
      </c>
    </row>
    <row r="172" spans="1:24" x14ac:dyDescent="0.3">
      <c r="A172">
        <v>171</v>
      </c>
      <c r="B172">
        <v>1048576</v>
      </c>
      <c r="C172">
        <v>7</v>
      </c>
      <c r="D172">
        <v>512</v>
      </c>
      <c r="E172">
        <v>0.35</v>
      </c>
      <c r="F172">
        <v>11</v>
      </c>
      <c r="G172">
        <v>4095</v>
      </c>
      <c r="H172">
        <v>216892</v>
      </c>
      <c r="I172">
        <v>196819403900</v>
      </c>
      <c r="J172">
        <v>1316963069500</v>
      </c>
      <c r="K172">
        <v>6.6912257806101403</v>
      </c>
      <c r="L172">
        <v>36258600</v>
      </c>
      <c r="M172">
        <v>16496040000</v>
      </c>
      <c r="N172">
        <v>61989432500</v>
      </c>
      <c r="O172">
        <v>78485472500</v>
      </c>
      <c r="P172">
        <v>643000</v>
      </c>
      <c r="Q172">
        <v>116274666000</v>
      </c>
      <c r="R172">
        <v>116275309000</v>
      </c>
      <c r="S172">
        <v>7743600</v>
      </c>
      <c r="T172">
        <v>741748900</v>
      </c>
      <c r="U172">
        <v>341110953900</v>
      </c>
      <c r="V172">
        <v>950113899800</v>
      </c>
      <c r="W172">
        <v>3787700</v>
      </c>
      <c r="X172">
        <v>196819403900</v>
      </c>
    </row>
    <row r="173" spans="1:24" x14ac:dyDescent="0.3">
      <c r="A173">
        <v>172</v>
      </c>
      <c r="B173">
        <v>1048576</v>
      </c>
      <c r="C173">
        <v>7</v>
      </c>
      <c r="D173">
        <v>512</v>
      </c>
      <c r="E173">
        <v>0.5</v>
      </c>
      <c r="F173">
        <v>11</v>
      </c>
      <c r="G173">
        <v>4095</v>
      </c>
      <c r="H173">
        <v>90612</v>
      </c>
      <c r="I173">
        <v>91522106000</v>
      </c>
      <c r="J173">
        <v>551461428500</v>
      </c>
      <c r="K173">
        <v>6.0254451367192097</v>
      </c>
      <c r="L173">
        <v>14853600</v>
      </c>
      <c r="M173">
        <v>16563851800</v>
      </c>
      <c r="N173">
        <v>24285291600</v>
      </c>
      <c r="O173">
        <v>40849143400</v>
      </c>
      <c r="P173">
        <v>277900</v>
      </c>
      <c r="Q173">
        <v>48674723600</v>
      </c>
      <c r="R173">
        <v>48675001500</v>
      </c>
      <c r="S173">
        <v>8487600</v>
      </c>
      <c r="T173">
        <v>721951400</v>
      </c>
      <c r="U173">
        <v>129199327600</v>
      </c>
      <c r="V173">
        <v>396720897300</v>
      </c>
      <c r="W173">
        <v>3849200</v>
      </c>
      <c r="X173">
        <v>91522106000</v>
      </c>
    </row>
    <row r="174" spans="1:24" x14ac:dyDescent="0.3">
      <c r="A174">
        <v>173</v>
      </c>
      <c r="B174">
        <v>1048576</v>
      </c>
      <c r="C174">
        <v>7</v>
      </c>
      <c r="D174">
        <v>512</v>
      </c>
      <c r="E174">
        <v>0.65</v>
      </c>
      <c r="F174">
        <v>11</v>
      </c>
      <c r="G174">
        <v>4095</v>
      </c>
      <c r="H174">
        <v>31436</v>
      </c>
      <c r="I174">
        <v>46035645000</v>
      </c>
      <c r="J174">
        <v>219136023600</v>
      </c>
      <c r="K174">
        <v>4.7601380104482001</v>
      </c>
      <c r="L174">
        <v>5674000</v>
      </c>
      <c r="M174">
        <v>16582752500</v>
      </c>
      <c r="N174">
        <v>10518111300</v>
      </c>
      <c r="O174">
        <v>27100863800</v>
      </c>
      <c r="P174">
        <v>189200</v>
      </c>
      <c r="Q174">
        <v>16931128000</v>
      </c>
      <c r="R174">
        <v>16931317200</v>
      </c>
      <c r="S174">
        <v>8345600</v>
      </c>
      <c r="T174">
        <v>796080200</v>
      </c>
      <c r="U174">
        <v>56247373800</v>
      </c>
      <c r="V174">
        <v>137452525200</v>
      </c>
      <c r="W174">
        <v>5576100</v>
      </c>
      <c r="X174">
        <v>46035645000</v>
      </c>
    </row>
    <row r="175" spans="1:24" x14ac:dyDescent="0.3">
      <c r="A175">
        <v>174</v>
      </c>
      <c r="B175">
        <v>1048576</v>
      </c>
      <c r="C175">
        <v>7</v>
      </c>
      <c r="D175">
        <v>512</v>
      </c>
      <c r="E175">
        <v>0.8</v>
      </c>
      <c r="F175">
        <v>11</v>
      </c>
      <c r="G175">
        <v>4095</v>
      </c>
      <c r="H175">
        <v>15468</v>
      </c>
      <c r="I175">
        <v>33245344400</v>
      </c>
      <c r="J175">
        <v>127422068700</v>
      </c>
      <c r="K175">
        <v>3.8327793259377301</v>
      </c>
      <c r="L175">
        <v>3465500</v>
      </c>
      <c r="M175">
        <v>16575331300</v>
      </c>
      <c r="N175">
        <v>6424211600</v>
      </c>
      <c r="O175">
        <v>22999542900</v>
      </c>
      <c r="P175">
        <v>161100</v>
      </c>
      <c r="Q175">
        <v>8269785500</v>
      </c>
      <c r="R175">
        <v>8269946600</v>
      </c>
      <c r="S175">
        <v>8542600</v>
      </c>
      <c r="T175">
        <v>721167000</v>
      </c>
      <c r="U175">
        <v>34246869000</v>
      </c>
      <c r="V175">
        <v>67604751800</v>
      </c>
      <c r="W175">
        <v>3823400</v>
      </c>
      <c r="X175">
        <v>33245344400</v>
      </c>
    </row>
    <row r="176" spans="1:24" x14ac:dyDescent="0.3">
      <c r="A176">
        <v>175</v>
      </c>
      <c r="B176">
        <v>1048576</v>
      </c>
      <c r="C176">
        <v>7</v>
      </c>
      <c r="D176">
        <v>512</v>
      </c>
      <c r="E176">
        <v>0.95</v>
      </c>
      <c r="F176">
        <v>11</v>
      </c>
      <c r="G176">
        <v>4095</v>
      </c>
      <c r="H176">
        <v>8192</v>
      </c>
      <c r="I176">
        <v>25388284300</v>
      </c>
      <c r="J176">
        <v>73126635400</v>
      </c>
      <c r="K176">
        <v>2.8803299402157698</v>
      </c>
      <c r="L176">
        <v>1356800</v>
      </c>
      <c r="M176">
        <v>16693867900</v>
      </c>
      <c r="N176">
        <v>2259910200</v>
      </c>
      <c r="O176">
        <v>18953778100</v>
      </c>
      <c r="P176">
        <v>133900</v>
      </c>
      <c r="Q176">
        <v>4437197100</v>
      </c>
      <c r="R176">
        <v>4437331000</v>
      </c>
      <c r="S176">
        <v>7836400</v>
      </c>
      <c r="T176">
        <v>718709000</v>
      </c>
      <c r="U176">
        <v>11883253300</v>
      </c>
      <c r="V176">
        <v>35862893500</v>
      </c>
      <c r="W176">
        <v>3724600</v>
      </c>
      <c r="X176">
        <v>25388284300</v>
      </c>
    </row>
    <row r="177" spans="1:24" x14ac:dyDescent="0.3">
      <c r="A177">
        <v>1</v>
      </c>
      <c r="B177">
        <v>65536</v>
      </c>
      <c r="C177">
        <v>3</v>
      </c>
      <c r="D177">
        <v>64</v>
      </c>
      <c r="E177">
        <v>0.2</v>
      </c>
      <c r="F177">
        <v>10</v>
      </c>
      <c r="G177">
        <v>2047</v>
      </c>
      <c r="H177">
        <v>321924</v>
      </c>
      <c r="I177">
        <v>4718345100</v>
      </c>
      <c r="J177">
        <v>26260279900</v>
      </c>
      <c r="K177">
        <v>5.5655699919024499</v>
      </c>
      <c r="L177">
        <v>51296100</v>
      </c>
      <c r="M177">
        <v>136600000</v>
      </c>
      <c r="N177">
        <v>1376070400</v>
      </c>
      <c r="O177">
        <v>1512670400</v>
      </c>
      <c r="P177">
        <v>825100</v>
      </c>
      <c r="Q177">
        <v>2705000700</v>
      </c>
      <c r="R177">
        <v>2705825800</v>
      </c>
      <c r="S177">
        <v>850300</v>
      </c>
      <c r="T177">
        <v>27277600</v>
      </c>
      <c r="U177">
        <v>6975459400</v>
      </c>
      <c r="V177">
        <v>18915356100</v>
      </c>
      <c r="W177">
        <v>138900</v>
      </c>
      <c r="X177">
        <v>4718345100</v>
      </c>
    </row>
    <row r="178" spans="1:24" x14ac:dyDescent="0.3">
      <c r="A178">
        <v>2</v>
      </c>
      <c r="B178">
        <v>65536</v>
      </c>
      <c r="C178">
        <v>3</v>
      </c>
      <c r="D178">
        <v>64</v>
      </c>
      <c r="E178">
        <v>0.35</v>
      </c>
      <c r="F178">
        <v>10</v>
      </c>
      <c r="G178">
        <v>2047</v>
      </c>
      <c r="H178">
        <v>86512</v>
      </c>
      <c r="I178">
        <v>1951467200</v>
      </c>
      <c r="J178">
        <v>8155939000</v>
      </c>
      <c r="K178">
        <v>4.1793882059611303</v>
      </c>
      <c r="L178">
        <v>15942900</v>
      </c>
      <c r="M178">
        <v>153390000</v>
      </c>
      <c r="N178">
        <v>599422800</v>
      </c>
      <c r="O178">
        <v>752812800</v>
      </c>
      <c r="P178">
        <v>187300</v>
      </c>
      <c r="Q178">
        <v>730133000</v>
      </c>
      <c r="R178">
        <v>730320300</v>
      </c>
      <c r="S178">
        <v>729000</v>
      </c>
      <c r="T178">
        <v>26587400</v>
      </c>
      <c r="U178">
        <v>2719280600</v>
      </c>
      <c r="V178">
        <v>5070603500</v>
      </c>
      <c r="W178">
        <v>146400</v>
      </c>
      <c r="X178">
        <v>1951467200</v>
      </c>
    </row>
    <row r="179" spans="1:24" x14ac:dyDescent="0.3">
      <c r="A179">
        <v>3</v>
      </c>
      <c r="B179">
        <v>65536</v>
      </c>
      <c r="C179">
        <v>3</v>
      </c>
      <c r="D179">
        <v>64</v>
      </c>
      <c r="E179">
        <v>0.5</v>
      </c>
      <c r="F179">
        <v>10</v>
      </c>
      <c r="G179">
        <v>2047</v>
      </c>
      <c r="H179">
        <v>33624</v>
      </c>
      <c r="I179">
        <v>785511000</v>
      </c>
      <c r="J179">
        <v>3491279300</v>
      </c>
      <c r="K179">
        <v>4.4445963201024501</v>
      </c>
      <c r="L179">
        <v>6157600</v>
      </c>
      <c r="M179">
        <v>168124200</v>
      </c>
      <c r="N179">
        <v>280689400</v>
      </c>
      <c r="O179">
        <v>448813600</v>
      </c>
      <c r="P179">
        <v>113300</v>
      </c>
      <c r="Q179">
        <v>299387600</v>
      </c>
      <c r="R179">
        <v>299500900</v>
      </c>
      <c r="S179">
        <v>678800</v>
      </c>
      <c r="T179">
        <v>14971500</v>
      </c>
      <c r="U179">
        <v>1163488300</v>
      </c>
      <c r="V179">
        <v>1977649500</v>
      </c>
      <c r="W179">
        <v>138700</v>
      </c>
      <c r="X179">
        <v>785511000</v>
      </c>
    </row>
    <row r="180" spans="1:24" x14ac:dyDescent="0.3">
      <c r="A180">
        <v>4</v>
      </c>
      <c r="B180">
        <v>65536</v>
      </c>
      <c r="C180">
        <v>3</v>
      </c>
      <c r="D180">
        <v>64</v>
      </c>
      <c r="E180">
        <v>0.65</v>
      </c>
      <c r="F180">
        <v>10</v>
      </c>
      <c r="G180">
        <v>2047</v>
      </c>
      <c r="H180">
        <v>12012</v>
      </c>
      <c r="I180">
        <v>502825200</v>
      </c>
      <c r="J180">
        <v>1593074800</v>
      </c>
      <c r="K180">
        <v>3.1682477330093999</v>
      </c>
      <c r="L180">
        <v>2671700</v>
      </c>
      <c r="M180">
        <v>206495500</v>
      </c>
      <c r="N180">
        <v>136768400</v>
      </c>
      <c r="O180">
        <v>343263900</v>
      </c>
      <c r="P180">
        <v>71500</v>
      </c>
      <c r="Q180">
        <v>123835700</v>
      </c>
      <c r="R180">
        <v>123907200</v>
      </c>
      <c r="S180">
        <v>684700</v>
      </c>
      <c r="T180">
        <v>27569000</v>
      </c>
      <c r="U180">
        <v>546353500</v>
      </c>
      <c r="V180">
        <v>707681500</v>
      </c>
      <c r="W180">
        <v>139800</v>
      </c>
      <c r="X180">
        <v>502825200</v>
      </c>
    </row>
    <row r="181" spans="1:24" x14ac:dyDescent="0.3">
      <c r="A181">
        <v>5</v>
      </c>
      <c r="B181">
        <v>65536</v>
      </c>
      <c r="C181">
        <v>3</v>
      </c>
      <c r="D181">
        <v>64</v>
      </c>
      <c r="E181">
        <v>0.8</v>
      </c>
      <c r="F181">
        <v>10</v>
      </c>
      <c r="G181">
        <v>2047</v>
      </c>
      <c r="H181">
        <v>6776</v>
      </c>
      <c r="I181">
        <v>329584700</v>
      </c>
      <c r="J181">
        <v>1094893200</v>
      </c>
      <c r="K181">
        <v>3.3220389174618798</v>
      </c>
      <c r="L181">
        <v>1573700</v>
      </c>
      <c r="M181">
        <v>140050300</v>
      </c>
      <c r="N181">
        <v>81252100</v>
      </c>
      <c r="O181">
        <v>221302400</v>
      </c>
      <c r="P181">
        <v>51700</v>
      </c>
      <c r="Q181">
        <v>73651000</v>
      </c>
      <c r="R181">
        <v>73702700</v>
      </c>
      <c r="S181">
        <v>670100</v>
      </c>
      <c r="T181">
        <v>14534200</v>
      </c>
      <c r="U181">
        <v>330840900</v>
      </c>
      <c r="V181">
        <v>403337500</v>
      </c>
      <c r="W181">
        <v>151800</v>
      </c>
      <c r="X181">
        <v>329584700</v>
      </c>
    </row>
    <row r="182" spans="1:24" x14ac:dyDescent="0.3">
      <c r="A182">
        <v>6</v>
      </c>
      <c r="B182">
        <v>65536</v>
      </c>
      <c r="C182">
        <v>3</v>
      </c>
      <c r="D182">
        <v>64</v>
      </c>
      <c r="E182">
        <v>0.95</v>
      </c>
      <c r="F182">
        <v>10</v>
      </c>
      <c r="G182">
        <v>2047</v>
      </c>
      <c r="H182">
        <v>2052</v>
      </c>
      <c r="I182">
        <v>291771100</v>
      </c>
      <c r="J182">
        <v>982167300</v>
      </c>
      <c r="K182">
        <v>3.3662254417932398</v>
      </c>
      <c r="L182">
        <v>733300</v>
      </c>
      <c r="M182">
        <v>181201600</v>
      </c>
      <c r="N182">
        <v>50049400</v>
      </c>
      <c r="O182">
        <v>231251000</v>
      </c>
      <c r="P182">
        <v>70900</v>
      </c>
      <c r="Q182">
        <v>24794600</v>
      </c>
      <c r="R182">
        <v>24865500</v>
      </c>
      <c r="S182">
        <v>666400</v>
      </c>
      <c r="T182">
        <v>14904500</v>
      </c>
      <c r="U182">
        <v>197643600</v>
      </c>
      <c r="V182">
        <v>123107600</v>
      </c>
      <c r="W182">
        <v>145700</v>
      </c>
      <c r="X182">
        <v>291771100</v>
      </c>
    </row>
    <row r="183" spans="1:24" x14ac:dyDescent="0.3">
      <c r="A183">
        <v>7</v>
      </c>
      <c r="B183">
        <v>65536</v>
      </c>
      <c r="C183">
        <v>4</v>
      </c>
      <c r="D183">
        <v>125</v>
      </c>
      <c r="E183">
        <v>0.2</v>
      </c>
      <c r="F183">
        <v>10</v>
      </c>
      <c r="G183">
        <v>2047</v>
      </c>
      <c r="H183">
        <v>322784</v>
      </c>
      <c r="I183">
        <v>7628332600</v>
      </c>
      <c r="J183">
        <v>45252937300</v>
      </c>
      <c r="K183">
        <v>5.9322187000603499</v>
      </c>
      <c r="L183">
        <v>56942200</v>
      </c>
      <c r="M183">
        <v>324246600</v>
      </c>
      <c r="N183">
        <v>4363605500</v>
      </c>
      <c r="O183">
        <v>4687852100</v>
      </c>
      <c r="P183">
        <v>3318400</v>
      </c>
      <c r="Q183">
        <v>2825332100</v>
      </c>
      <c r="R183">
        <v>2828650500</v>
      </c>
      <c r="S183">
        <v>683400</v>
      </c>
      <c r="T183">
        <v>22696500</v>
      </c>
      <c r="U183">
        <v>25508747500</v>
      </c>
      <c r="V183">
        <v>18957249800</v>
      </c>
      <c r="W183">
        <v>147000</v>
      </c>
      <c r="X183">
        <v>7628332600</v>
      </c>
    </row>
    <row r="184" spans="1:24" x14ac:dyDescent="0.3">
      <c r="A184">
        <v>8</v>
      </c>
      <c r="B184">
        <v>65536</v>
      </c>
      <c r="C184">
        <v>4</v>
      </c>
      <c r="D184">
        <v>125</v>
      </c>
      <c r="E184">
        <v>0.35</v>
      </c>
      <c r="F184">
        <v>10</v>
      </c>
      <c r="G184">
        <v>2047</v>
      </c>
      <c r="H184">
        <v>86728</v>
      </c>
      <c r="I184">
        <v>3332434900</v>
      </c>
      <c r="J184">
        <v>15985515200</v>
      </c>
      <c r="K184">
        <v>4.7969474812546196</v>
      </c>
      <c r="L184">
        <v>16485100</v>
      </c>
      <c r="M184">
        <v>301841500</v>
      </c>
      <c r="N184">
        <v>1775427000</v>
      </c>
      <c r="O184">
        <v>2077268500</v>
      </c>
      <c r="P184">
        <v>175600</v>
      </c>
      <c r="Q184">
        <v>755758400</v>
      </c>
      <c r="R184">
        <v>755934000</v>
      </c>
      <c r="S184">
        <v>683200</v>
      </c>
      <c r="T184">
        <v>20722300</v>
      </c>
      <c r="U184">
        <v>10120619000</v>
      </c>
      <c r="V184">
        <v>5091017100</v>
      </c>
      <c r="W184">
        <v>162600</v>
      </c>
      <c r="X184">
        <v>3332434900</v>
      </c>
    </row>
    <row r="185" spans="1:24" x14ac:dyDescent="0.3">
      <c r="A185">
        <v>9</v>
      </c>
      <c r="B185">
        <v>65536</v>
      </c>
      <c r="C185">
        <v>4</v>
      </c>
      <c r="D185">
        <v>125</v>
      </c>
      <c r="E185">
        <v>0.5</v>
      </c>
      <c r="F185">
        <v>10</v>
      </c>
      <c r="G185">
        <v>2047</v>
      </c>
      <c r="H185">
        <v>33668</v>
      </c>
      <c r="I185">
        <v>1876305500</v>
      </c>
      <c r="J185">
        <v>7081613900</v>
      </c>
      <c r="K185">
        <v>3.77423287412417</v>
      </c>
      <c r="L185">
        <v>6337300</v>
      </c>
      <c r="M185">
        <v>309511800</v>
      </c>
      <c r="N185">
        <v>783607600</v>
      </c>
      <c r="O185">
        <v>1093119400</v>
      </c>
      <c r="P185">
        <v>114500</v>
      </c>
      <c r="Q185">
        <v>294983400</v>
      </c>
      <c r="R185">
        <v>295097900</v>
      </c>
      <c r="S185">
        <v>670900</v>
      </c>
      <c r="T185">
        <v>22211800</v>
      </c>
      <c r="U185">
        <v>4348376700</v>
      </c>
      <c r="V185">
        <v>1976196900</v>
      </c>
      <c r="W185">
        <v>147100</v>
      </c>
      <c r="X185">
        <v>1876305500</v>
      </c>
    </row>
    <row r="186" spans="1:24" x14ac:dyDescent="0.3">
      <c r="A186">
        <v>10</v>
      </c>
      <c r="B186">
        <v>65536</v>
      </c>
      <c r="C186">
        <v>4</v>
      </c>
      <c r="D186">
        <v>125</v>
      </c>
      <c r="E186">
        <v>0.65</v>
      </c>
      <c r="F186">
        <v>10</v>
      </c>
      <c r="G186">
        <v>2047</v>
      </c>
      <c r="H186">
        <v>11832</v>
      </c>
      <c r="I186">
        <v>850982300</v>
      </c>
      <c r="J186">
        <v>3827372900</v>
      </c>
      <c r="K186">
        <v>4.4975940157627203</v>
      </c>
      <c r="L186">
        <v>2658500</v>
      </c>
      <c r="M186">
        <v>308845900</v>
      </c>
      <c r="N186">
        <v>380890400</v>
      </c>
      <c r="O186">
        <v>689736300</v>
      </c>
      <c r="P186">
        <v>88400</v>
      </c>
      <c r="Q186">
        <v>104161700</v>
      </c>
      <c r="R186">
        <v>104250100</v>
      </c>
      <c r="S186">
        <v>714300</v>
      </c>
      <c r="T186">
        <v>25348600</v>
      </c>
      <c r="U186">
        <v>2044053800</v>
      </c>
      <c r="V186">
        <v>695878900</v>
      </c>
      <c r="W186">
        <v>144600</v>
      </c>
      <c r="X186">
        <v>850982300</v>
      </c>
    </row>
    <row r="187" spans="1:24" x14ac:dyDescent="0.3">
      <c r="A187">
        <v>11</v>
      </c>
      <c r="B187">
        <v>65536</v>
      </c>
      <c r="C187">
        <v>4</v>
      </c>
      <c r="D187">
        <v>125</v>
      </c>
      <c r="E187">
        <v>0.8</v>
      </c>
      <c r="F187">
        <v>10</v>
      </c>
      <c r="G187">
        <v>2047</v>
      </c>
      <c r="H187">
        <v>6668</v>
      </c>
      <c r="I187">
        <v>655624100</v>
      </c>
      <c r="J187">
        <v>2394381800</v>
      </c>
      <c r="K187">
        <v>3.6520649561234801</v>
      </c>
      <c r="L187">
        <v>1506700</v>
      </c>
      <c r="M187">
        <v>300834300</v>
      </c>
      <c r="N187">
        <v>233598900</v>
      </c>
      <c r="O187">
        <v>534433200</v>
      </c>
      <c r="P187">
        <v>79500</v>
      </c>
      <c r="Q187">
        <v>63559800</v>
      </c>
      <c r="R187">
        <v>63639300</v>
      </c>
      <c r="S187">
        <v>680600</v>
      </c>
      <c r="T187">
        <v>17308800</v>
      </c>
      <c r="U187">
        <v>1197815500</v>
      </c>
      <c r="V187">
        <v>397387200</v>
      </c>
      <c r="W187">
        <v>164800</v>
      </c>
      <c r="X187">
        <v>655624100</v>
      </c>
    </row>
    <row r="188" spans="1:24" x14ac:dyDescent="0.3">
      <c r="A188">
        <v>12</v>
      </c>
      <c r="B188">
        <v>65536</v>
      </c>
      <c r="C188">
        <v>4</v>
      </c>
      <c r="D188">
        <v>125</v>
      </c>
      <c r="E188">
        <v>0.95</v>
      </c>
      <c r="F188">
        <v>10</v>
      </c>
      <c r="G188">
        <v>2047</v>
      </c>
      <c r="H188">
        <v>2048</v>
      </c>
      <c r="I188">
        <v>597843700</v>
      </c>
      <c r="J188">
        <v>1668236500</v>
      </c>
      <c r="K188">
        <v>2.79042247998933</v>
      </c>
      <c r="L188">
        <v>736300</v>
      </c>
      <c r="M188">
        <v>365486000</v>
      </c>
      <c r="N188">
        <v>151192400</v>
      </c>
      <c r="O188">
        <v>516678400</v>
      </c>
      <c r="P188">
        <v>84600</v>
      </c>
      <c r="Q188">
        <v>22755900</v>
      </c>
      <c r="R188">
        <v>22840500</v>
      </c>
      <c r="S188">
        <v>625300</v>
      </c>
      <c r="T188">
        <v>24216600</v>
      </c>
      <c r="U188">
        <v>748135700</v>
      </c>
      <c r="V188">
        <v>139193300</v>
      </c>
      <c r="W188">
        <v>142600</v>
      </c>
      <c r="X188">
        <v>597843700</v>
      </c>
    </row>
    <row r="189" spans="1:24" x14ac:dyDescent="0.3">
      <c r="A189">
        <v>13</v>
      </c>
      <c r="B189">
        <v>65536</v>
      </c>
      <c r="C189">
        <v>5</v>
      </c>
      <c r="D189">
        <v>216</v>
      </c>
      <c r="E189">
        <v>0.2</v>
      </c>
      <c r="F189">
        <v>9</v>
      </c>
      <c r="G189">
        <v>1023</v>
      </c>
      <c r="H189">
        <v>161576</v>
      </c>
      <c r="I189">
        <v>8977662300</v>
      </c>
      <c r="J189">
        <v>54046133400</v>
      </c>
      <c r="K189">
        <v>6.0200675402994301</v>
      </c>
      <c r="L189">
        <v>30676100</v>
      </c>
      <c r="M189">
        <v>605201900</v>
      </c>
      <c r="N189">
        <v>2854248200</v>
      </c>
      <c r="O189">
        <v>3459450100</v>
      </c>
      <c r="P189">
        <v>464500</v>
      </c>
      <c r="Q189">
        <v>5412915500</v>
      </c>
      <c r="R189">
        <v>5413380000</v>
      </c>
      <c r="S189">
        <v>801900</v>
      </c>
      <c r="T189">
        <v>18768600</v>
      </c>
      <c r="U189">
        <v>13579965700</v>
      </c>
      <c r="V189">
        <v>39085293300</v>
      </c>
      <c r="W189">
        <v>156300</v>
      </c>
      <c r="X189">
        <v>8977662300</v>
      </c>
    </row>
    <row r="190" spans="1:24" x14ac:dyDescent="0.3">
      <c r="A190">
        <v>14</v>
      </c>
      <c r="B190">
        <v>65536</v>
      </c>
      <c r="C190">
        <v>5</v>
      </c>
      <c r="D190">
        <v>216</v>
      </c>
      <c r="E190">
        <v>0.35</v>
      </c>
      <c r="F190">
        <v>9</v>
      </c>
      <c r="G190">
        <v>1023</v>
      </c>
      <c r="H190">
        <v>48992</v>
      </c>
      <c r="I190">
        <v>4514174500</v>
      </c>
      <c r="J190">
        <v>21812561700</v>
      </c>
      <c r="K190">
        <v>4.8320156210177503</v>
      </c>
      <c r="L190">
        <v>6394700</v>
      </c>
      <c r="M190">
        <v>523376500</v>
      </c>
      <c r="N190">
        <v>1845940100</v>
      </c>
      <c r="O190">
        <v>2369316600</v>
      </c>
      <c r="P190">
        <v>140700</v>
      </c>
      <c r="Q190">
        <v>1636039600</v>
      </c>
      <c r="R190">
        <v>1636180300</v>
      </c>
      <c r="S190">
        <v>747600</v>
      </c>
      <c r="T190">
        <v>14113400</v>
      </c>
      <c r="U190">
        <v>8865315500</v>
      </c>
      <c r="V190">
        <v>11887414600</v>
      </c>
      <c r="W190">
        <v>155400</v>
      </c>
      <c r="X190">
        <v>4514174500</v>
      </c>
    </row>
    <row r="191" spans="1:24" x14ac:dyDescent="0.3">
      <c r="A191">
        <v>15</v>
      </c>
      <c r="B191">
        <v>65536</v>
      </c>
      <c r="C191">
        <v>5</v>
      </c>
      <c r="D191">
        <v>216</v>
      </c>
      <c r="E191">
        <v>0.5</v>
      </c>
      <c r="F191">
        <v>9</v>
      </c>
      <c r="G191">
        <v>1023</v>
      </c>
      <c r="H191">
        <v>19400</v>
      </c>
      <c r="I191">
        <v>2738795000</v>
      </c>
      <c r="J191">
        <v>10822817700</v>
      </c>
      <c r="K191">
        <v>3.9516713372121601</v>
      </c>
      <c r="L191">
        <v>2916100</v>
      </c>
      <c r="M191">
        <v>519740500</v>
      </c>
      <c r="N191">
        <v>1062244100</v>
      </c>
      <c r="O191">
        <v>1581984600</v>
      </c>
      <c r="P191">
        <v>97300</v>
      </c>
      <c r="Q191">
        <v>649118100</v>
      </c>
      <c r="R191">
        <v>649215400</v>
      </c>
      <c r="S191">
        <v>882900</v>
      </c>
      <c r="T191">
        <v>21195300</v>
      </c>
      <c r="U191">
        <v>5067786200</v>
      </c>
      <c r="V191">
        <v>4701218800</v>
      </c>
      <c r="W191">
        <v>154500</v>
      </c>
      <c r="X191">
        <v>2738795000</v>
      </c>
    </row>
    <row r="192" spans="1:24" x14ac:dyDescent="0.3">
      <c r="A192">
        <v>16</v>
      </c>
      <c r="B192">
        <v>65536</v>
      </c>
      <c r="C192">
        <v>5</v>
      </c>
      <c r="D192">
        <v>216</v>
      </c>
      <c r="E192">
        <v>0.65</v>
      </c>
      <c r="F192">
        <v>9</v>
      </c>
      <c r="G192">
        <v>1023</v>
      </c>
      <c r="H192">
        <v>8432</v>
      </c>
      <c r="I192">
        <v>1956346700</v>
      </c>
      <c r="J192">
        <v>5729605900</v>
      </c>
      <c r="K192">
        <v>2.9287272547345502</v>
      </c>
      <c r="L192">
        <v>1457200</v>
      </c>
      <c r="M192">
        <v>523403100</v>
      </c>
      <c r="N192">
        <v>472614000</v>
      </c>
      <c r="O192">
        <v>996017100</v>
      </c>
      <c r="P192">
        <v>64800</v>
      </c>
      <c r="Q192">
        <v>283541300</v>
      </c>
      <c r="R192">
        <v>283606100</v>
      </c>
      <c r="S192">
        <v>686100</v>
      </c>
      <c r="T192">
        <v>14204600</v>
      </c>
      <c r="U192">
        <v>2226872300</v>
      </c>
      <c r="V192">
        <v>2139227700</v>
      </c>
      <c r="W192">
        <v>157500</v>
      </c>
      <c r="X192">
        <v>1956346700</v>
      </c>
    </row>
    <row r="193" spans="1:24" x14ac:dyDescent="0.3">
      <c r="A193">
        <v>17</v>
      </c>
      <c r="B193">
        <v>65536</v>
      </c>
      <c r="C193">
        <v>5</v>
      </c>
      <c r="D193">
        <v>216</v>
      </c>
      <c r="E193">
        <v>0.8</v>
      </c>
      <c r="F193">
        <v>9</v>
      </c>
      <c r="G193">
        <v>1023</v>
      </c>
      <c r="H193">
        <v>4192</v>
      </c>
      <c r="I193">
        <v>1126031000</v>
      </c>
      <c r="J193">
        <v>3564744300</v>
      </c>
      <c r="K193">
        <v>3.1657603565088301</v>
      </c>
      <c r="L193">
        <v>825900</v>
      </c>
      <c r="M193">
        <v>594845600</v>
      </c>
      <c r="N193">
        <v>313684500</v>
      </c>
      <c r="O193">
        <v>908530100</v>
      </c>
      <c r="P193">
        <v>84100</v>
      </c>
      <c r="Q193">
        <v>142596700</v>
      </c>
      <c r="R193">
        <v>142680800</v>
      </c>
      <c r="S193">
        <v>802200</v>
      </c>
      <c r="T193">
        <v>24444000</v>
      </c>
      <c r="U193">
        <v>1470662200</v>
      </c>
      <c r="V193">
        <v>1028277700</v>
      </c>
      <c r="W193">
        <v>145200</v>
      </c>
      <c r="X193">
        <v>1126031000</v>
      </c>
    </row>
    <row r="194" spans="1:24" x14ac:dyDescent="0.3">
      <c r="A194">
        <v>18</v>
      </c>
      <c r="B194">
        <v>65536</v>
      </c>
      <c r="C194">
        <v>5</v>
      </c>
      <c r="D194">
        <v>216</v>
      </c>
      <c r="E194">
        <v>0.95</v>
      </c>
      <c r="F194">
        <v>9</v>
      </c>
      <c r="G194">
        <v>1023</v>
      </c>
      <c r="H194">
        <v>3072</v>
      </c>
      <c r="I194">
        <v>855839900</v>
      </c>
      <c r="J194">
        <v>2267439500</v>
      </c>
      <c r="K194">
        <v>2.64937344005578</v>
      </c>
      <c r="L194">
        <v>480700</v>
      </c>
      <c r="M194">
        <v>578217900</v>
      </c>
      <c r="N194">
        <v>96329100</v>
      </c>
      <c r="O194">
        <v>674547000</v>
      </c>
      <c r="P194">
        <v>98400</v>
      </c>
      <c r="Q194">
        <v>106953800</v>
      </c>
      <c r="R194">
        <v>107052200</v>
      </c>
      <c r="S194">
        <v>685200</v>
      </c>
      <c r="T194">
        <v>22028900</v>
      </c>
      <c r="U194">
        <v>451815900</v>
      </c>
      <c r="V194">
        <v>742020000</v>
      </c>
      <c r="W194">
        <v>142600</v>
      </c>
      <c r="X194">
        <v>855839900</v>
      </c>
    </row>
    <row r="195" spans="1:24" x14ac:dyDescent="0.3">
      <c r="A195">
        <v>19</v>
      </c>
      <c r="B195">
        <v>65536</v>
      </c>
      <c r="C195">
        <v>6</v>
      </c>
      <c r="D195">
        <v>343</v>
      </c>
      <c r="E195">
        <v>0.2</v>
      </c>
      <c r="F195">
        <v>8</v>
      </c>
      <c r="G195">
        <v>511</v>
      </c>
      <c r="H195">
        <v>56128</v>
      </c>
      <c r="I195">
        <v>9591577700</v>
      </c>
      <c r="J195">
        <v>62842146600</v>
      </c>
      <c r="K195">
        <v>6.5518049861598797</v>
      </c>
      <c r="L195">
        <v>6302200</v>
      </c>
      <c r="M195">
        <v>1137003800</v>
      </c>
      <c r="N195">
        <v>824129800</v>
      </c>
      <c r="O195">
        <v>1961133600</v>
      </c>
      <c r="P195">
        <v>142200</v>
      </c>
      <c r="Q195">
        <v>7528215500</v>
      </c>
      <c r="R195">
        <v>7528357700</v>
      </c>
      <c r="S195">
        <v>817900</v>
      </c>
      <c r="T195">
        <v>18670800</v>
      </c>
      <c r="U195">
        <v>3966530500</v>
      </c>
      <c r="V195">
        <v>57241146100</v>
      </c>
      <c r="W195">
        <v>150100</v>
      </c>
      <c r="X195">
        <v>9591577700</v>
      </c>
    </row>
    <row r="196" spans="1:24" x14ac:dyDescent="0.3">
      <c r="A196">
        <v>20</v>
      </c>
      <c r="B196">
        <v>65536</v>
      </c>
      <c r="C196">
        <v>6</v>
      </c>
      <c r="D196">
        <v>343</v>
      </c>
      <c r="E196">
        <v>0.35</v>
      </c>
      <c r="F196">
        <v>8</v>
      </c>
      <c r="G196">
        <v>511</v>
      </c>
      <c r="H196">
        <v>19472</v>
      </c>
      <c r="I196">
        <v>6038839100</v>
      </c>
      <c r="J196">
        <v>30017602000</v>
      </c>
      <c r="K196">
        <v>4.9707570450088596</v>
      </c>
      <c r="L196">
        <v>2707900</v>
      </c>
      <c r="M196">
        <v>1064294100</v>
      </c>
      <c r="N196">
        <v>1833984900</v>
      </c>
      <c r="O196">
        <v>2898279000</v>
      </c>
      <c r="P196">
        <v>83000</v>
      </c>
      <c r="Q196">
        <v>2609430100</v>
      </c>
      <c r="R196">
        <v>2609513100</v>
      </c>
      <c r="S196">
        <v>671000</v>
      </c>
      <c r="T196">
        <v>12414700</v>
      </c>
      <c r="U196">
        <v>8872091900</v>
      </c>
      <c r="V196">
        <v>19846566300</v>
      </c>
      <c r="W196">
        <v>150000</v>
      </c>
      <c r="X196">
        <v>6038839100</v>
      </c>
    </row>
    <row r="197" spans="1:24" x14ac:dyDescent="0.3">
      <c r="A197">
        <v>21</v>
      </c>
      <c r="B197">
        <v>65536</v>
      </c>
      <c r="C197">
        <v>6</v>
      </c>
      <c r="D197">
        <v>343</v>
      </c>
      <c r="E197">
        <v>0.5</v>
      </c>
      <c r="F197">
        <v>8</v>
      </c>
      <c r="G197">
        <v>511</v>
      </c>
      <c r="H197">
        <v>9012</v>
      </c>
      <c r="I197">
        <v>3769850200</v>
      </c>
      <c r="J197">
        <v>15079772800</v>
      </c>
      <c r="K197">
        <v>4.0000986776609802</v>
      </c>
      <c r="L197">
        <v>1517000</v>
      </c>
      <c r="M197">
        <v>1068404300</v>
      </c>
      <c r="N197">
        <v>968135400</v>
      </c>
      <c r="O197">
        <v>2036539700</v>
      </c>
      <c r="P197">
        <v>80700</v>
      </c>
      <c r="Q197">
        <v>1210642500</v>
      </c>
      <c r="R197">
        <v>1210723200</v>
      </c>
      <c r="S197">
        <v>815400</v>
      </c>
      <c r="T197">
        <v>13331500</v>
      </c>
      <c r="U197">
        <v>4572571000</v>
      </c>
      <c r="V197">
        <v>9197560700</v>
      </c>
      <c r="W197">
        <v>148200</v>
      </c>
      <c r="X197">
        <v>3769850200</v>
      </c>
    </row>
    <row r="198" spans="1:24" x14ac:dyDescent="0.3">
      <c r="A198">
        <v>22</v>
      </c>
      <c r="B198">
        <v>65536</v>
      </c>
      <c r="C198">
        <v>6</v>
      </c>
      <c r="D198">
        <v>343</v>
      </c>
      <c r="E198">
        <v>0.65</v>
      </c>
      <c r="F198">
        <v>8</v>
      </c>
      <c r="G198">
        <v>511</v>
      </c>
      <c r="H198">
        <v>3504</v>
      </c>
      <c r="I198">
        <v>2782022600</v>
      </c>
      <c r="J198">
        <v>7736713600</v>
      </c>
      <c r="K198">
        <v>2.7809671999069998</v>
      </c>
      <c r="L198">
        <v>591400</v>
      </c>
      <c r="M198">
        <v>1068337100</v>
      </c>
      <c r="N198">
        <v>536674700</v>
      </c>
      <c r="O198">
        <v>1605011800</v>
      </c>
      <c r="P198">
        <v>90200</v>
      </c>
      <c r="Q198">
        <v>477098700</v>
      </c>
      <c r="R198">
        <v>477188900</v>
      </c>
      <c r="S198">
        <v>738000</v>
      </c>
      <c r="T198">
        <v>18668600</v>
      </c>
      <c r="U198">
        <v>2518804400</v>
      </c>
      <c r="V198">
        <v>3561976700</v>
      </c>
      <c r="W198">
        <v>157100</v>
      </c>
      <c r="X198">
        <v>2782022600</v>
      </c>
    </row>
    <row r="199" spans="1:24" x14ac:dyDescent="0.3">
      <c r="A199">
        <v>23</v>
      </c>
      <c r="B199">
        <v>65536</v>
      </c>
      <c r="C199">
        <v>6</v>
      </c>
      <c r="D199">
        <v>343</v>
      </c>
      <c r="E199">
        <v>0.8</v>
      </c>
      <c r="F199">
        <v>8</v>
      </c>
      <c r="G199">
        <v>511</v>
      </c>
      <c r="H199">
        <v>1836</v>
      </c>
      <c r="I199">
        <v>1877522700</v>
      </c>
      <c r="J199">
        <v>4962981700</v>
      </c>
      <c r="K199">
        <v>2.6433670815271602</v>
      </c>
      <c r="L199">
        <v>399100</v>
      </c>
      <c r="M199">
        <v>1150579000</v>
      </c>
      <c r="N199">
        <v>381611100</v>
      </c>
      <c r="O199">
        <v>1532190100</v>
      </c>
      <c r="P199">
        <v>93200</v>
      </c>
      <c r="Q199">
        <v>249495500</v>
      </c>
      <c r="R199">
        <v>249588700</v>
      </c>
      <c r="S199">
        <v>800000</v>
      </c>
      <c r="T199">
        <v>12800600</v>
      </c>
      <c r="U199">
        <v>1800312700</v>
      </c>
      <c r="V199">
        <v>1865232700</v>
      </c>
      <c r="W199">
        <v>152100</v>
      </c>
      <c r="X199">
        <v>1877522700</v>
      </c>
    </row>
    <row r="200" spans="1:24" x14ac:dyDescent="0.3">
      <c r="A200">
        <v>24</v>
      </c>
      <c r="B200">
        <v>65536</v>
      </c>
      <c r="C200">
        <v>6</v>
      </c>
      <c r="D200">
        <v>343</v>
      </c>
      <c r="E200">
        <v>0.95</v>
      </c>
      <c r="F200">
        <v>8</v>
      </c>
      <c r="G200">
        <v>511</v>
      </c>
      <c r="H200">
        <v>1024</v>
      </c>
      <c r="I200">
        <v>1531890800</v>
      </c>
      <c r="J200">
        <v>3126457400</v>
      </c>
      <c r="K200">
        <v>2.0409140129309402</v>
      </c>
      <c r="L200">
        <v>182900</v>
      </c>
      <c r="M200">
        <v>1148773100</v>
      </c>
      <c r="N200">
        <v>144086900</v>
      </c>
      <c r="O200">
        <v>1292860000</v>
      </c>
      <c r="P200">
        <v>68600</v>
      </c>
      <c r="Q200">
        <v>142033500</v>
      </c>
      <c r="R200">
        <v>142102100</v>
      </c>
      <c r="S200">
        <v>692300</v>
      </c>
      <c r="T200">
        <v>12903000</v>
      </c>
      <c r="U200">
        <v>671225600</v>
      </c>
      <c r="V200">
        <v>1071315600</v>
      </c>
      <c r="W200">
        <v>148900</v>
      </c>
      <c r="X200">
        <v>1531890800</v>
      </c>
    </row>
    <row r="201" spans="1:24" x14ac:dyDescent="0.3">
      <c r="A201">
        <v>25</v>
      </c>
      <c r="B201">
        <v>65536</v>
      </c>
      <c r="C201">
        <v>7</v>
      </c>
      <c r="D201">
        <v>512</v>
      </c>
      <c r="E201">
        <v>0.2</v>
      </c>
      <c r="F201">
        <v>7</v>
      </c>
      <c r="G201">
        <v>255</v>
      </c>
      <c r="H201">
        <v>15768</v>
      </c>
      <c r="I201">
        <v>10186611400</v>
      </c>
      <c r="J201">
        <v>69172648100</v>
      </c>
      <c r="K201">
        <v>6.7905454899359299</v>
      </c>
      <c r="L201">
        <v>1617200</v>
      </c>
      <c r="M201">
        <v>1361578400</v>
      </c>
      <c r="N201">
        <v>146963500</v>
      </c>
      <c r="O201">
        <v>1508541900</v>
      </c>
      <c r="P201">
        <v>64700</v>
      </c>
      <c r="Q201">
        <v>8580761500</v>
      </c>
      <c r="R201">
        <v>8580826200</v>
      </c>
      <c r="S201">
        <v>754800</v>
      </c>
      <c r="T201">
        <v>10936000</v>
      </c>
      <c r="U201">
        <v>750165400</v>
      </c>
      <c r="V201">
        <v>66562090600</v>
      </c>
      <c r="W201">
        <v>184200</v>
      </c>
      <c r="X201">
        <v>10186611400</v>
      </c>
    </row>
    <row r="202" spans="1:24" x14ac:dyDescent="0.3">
      <c r="A202">
        <v>26</v>
      </c>
      <c r="B202">
        <v>65536</v>
      </c>
      <c r="C202">
        <v>7</v>
      </c>
      <c r="D202">
        <v>512</v>
      </c>
      <c r="E202">
        <v>0.35</v>
      </c>
      <c r="F202">
        <v>7</v>
      </c>
      <c r="G202">
        <v>255</v>
      </c>
      <c r="H202">
        <v>7612</v>
      </c>
      <c r="I202">
        <v>7290772900</v>
      </c>
      <c r="J202">
        <v>40726633600</v>
      </c>
      <c r="K202">
        <v>5.5860515968066897</v>
      </c>
      <c r="L202">
        <v>1087300</v>
      </c>
      <c r="M202">
        <v>1278406900</v>
      </c>
      <c r="N202">
        <v>1349623900</v>
      </c>
      <c r="O202">
        <v>2628030800</v>
      </c>
      <c r="P202">
        <v>84000</v>
      </c>
      <c r="Q202">
        <v>4133444700</v>
      </c>
      <c r="R202">
        <v>4133528700</v>
      </c>
      <c r="S202">
        <v>703500</v>
      </c>
      <c r="T202">
        <v>16881400</v>
      </c>
      <c r="U202">
        <v>7130761400</v>
      </c>
      <c r="V202">
        <v>32051465100</v>
      </c>
      <c r="W202">
        <v>154600</v>
      </c>
      <c r="X202">
        <v>7290772900</v>
      </c>
    </row>
    <row r="203" spans="1:24" x14ac:dyDescent="0.3">
      <c r="A203">
        <v>27</v>
      </c>
      <c r="B203">
        <v>65536</v>
      </c>
      <c r="C203">
        <v>7</v>
      </c>
      <c r="D203">
        <v>512</v>
      </c>
      <c r="E203">
        <v>0.5</v>
      </c>
      <c r="F203">
        <v>7</v>
      </c>
      <c r="G203">
        <v>255</v>
      </c>
      <c r="H203">
        <v>3396</v>
      </c>
      <c r="I203">
        <v>4517871700</v>
      </c>
      <c r="J203">
        <v>20501040100</v>
      </c>
      <c r="K203">
        <v>4.5377650055887999</v>
      </c>
      <c r="L203">
        <v>546600</v>
      </c>
      <c r="M203">
        <v>1280905500</v>
      </c>
      <c r="N203">
        <v>868436700</v>
      </c>
      <c r="O203">
        <v>2149342200</v>
      </c>
      <c r="P203">
        <v>100100</v>
      </c>
      <c r="Q203">
        <v>1842057200</v>
      </c>
      <c r="R203">
        <v>1842157300</v>
      </c>
      <c r="S203">
        <v>749100</v>
      </c>
      <c r="T203">
        <v>17103000</v>
      </c>
      <c r="U203">
        <v>4651664500</v>
      </c>
      <c r="V203">
        <v>14303592600</v>
      </c>
      <c r="W203">
        <v>156000</v>
      </c>
      <c r="X203">
        <v>4517871700</v>
      </c>
    </row>
    <row r="204" spans="1:24" x14ac:dyDescent="0.3">
      <c r="A204">
        <v>28</v>
      </c>
      <c r="B204">
        <v>65536</v>
      </c>
      <c r="C204">
        <v>7</v>
      </c>
      <c r="D204">
        <v>512</v>
      </c>
      <c r="E204">
        <v>0.65</v>
      </c>
      <c r="F204">
        <v>7</v>
      </c>
      <c r="G204">
        <v>255</v>
      </c>
      <c r="H204">
        <v>1408</v>
      </c>
      <c r="I204">
        <v>3157096100</v>
      </c>
      <c r="J204">
        <v>10901703400</v>
      </c>
      <c r="K204">
        <v>3.4530793661935002</v>
      </c>
      <c r="L204">
        <v>320300</v>
      </c>
      <c r="M204">
        <v>1282847800</v>
      </c>
      <c r="N204">
        <v>586826700</v>
      </c>
      <c r="O204">
        <v>1869674500</v>
      </c>
      <c r="P204">
        <v>79900</v>
      </c>
      <c r="Q204">
        <v>764950500</v>
      </c>
      <c r="R204">
        <v>765030400</v>
      </c>
      <c r="S204">
        <v>714500</v>
      </c>
      <c r="T204">
        <v>11465300</v>
      </c>
      <c r="U204">
        <v>3056726200</v>
      </c>
      <c r="V204">
        <v>5935855500</v>
      </c>
      <c r="W204">
        <v>151400</v>
      </c>
      <c r="X204">
        <v>3157096100</v>
      </c>
    </row>
    <row r="205" spans="1:24" x14ac:dyDescent="0.3">
      <c r="A205">
        <v>29</v>
      </c>
      <c r="B205">
        <v>65536</v>
      </c>
      <c r="C205">
        <v>7</v>
      </c>
      <c r="D205">
        <v>512</v>
      </c>
      <c r="E205">
        <v>0.8</v>
      </c>
      <c r="F205">
        <v>7</v>
      </c>
      <c r="G205">
        <v>255</v>
      </c>
      <c r="H205">
        <v>896</v>
      </c>
      <c r="I205">
        <v>2871157800</v>
      </c>
      <c r="J205">
        <v>7445120700</v>
      </c>
      <c r="K205">
        <v>2.59307262735611</v>
      </c>
      <c r="L205">
        <v>194400</v>
      </c>
      <c r="M205">
        <v>1279134000</v>
      </c>
      <c r="N205">
        <v>404765700</v>
      </c>
      <c r="O205">
        <v>1683899700</v>
      </c>
      <c r="P205">
        <v>54600</v>
      </c>
      <c r="Q205">
        <v>490953700</v>
      </c>
      <c r="R205">
        <v>491008300</v>
      </c>
      <c r="S205">
        <v>726600</v>
      </c>
      <c r="T205">
        <v>11515700</v>
      </c>
      <c r="U205">
        <v>2146003800</v>
      </c>
      <c r="V205">
        <v>3762289100</v>
      </c>
      <c r="W205">
        <v>155500</v>
      </c>
      <c r="X205">
        <v>2871157800</v>
      </c>
    </row>
    <row r="206" spans="1:24" x14ac:dyDescent="0.3">
      <c r="A206">
        <v>30</v>
      </c>
      <c r="B206">
        <v>65536</v>
      </c>
      <c r="C206">
        <v>7</v>
      </c>
      <c r="D206">
        <v>512</v>
      </c>
      <c r="E206">
        <v>0.95</v>
      </c>
      <c r="F206">
        <v>7</v>
      </c>
      <c r="G206">
        <v>255</v>
      </c>
      <c r="H206">
        <v>256</v>
      </c>
      <c r="I206">
        <v>1775951800</v>
      </c>
      <c r="J206">
        <v>4119476200</v>
      </c>
      <c r="K206">
        <v>2.3195878401654801</v>
      </c>
      <c r="L206">
        <v>119300</v>
      </c>
      <c r="M206">
        <v>1254408900</v>
      </c>
      <c r="N206">
        <v>283024500</v>
      </c>
      <c r="O206">
        <v>1537433400</v>
      </c>
      <c r="P206">
        <v>60400</v>
      </c>
      <c r="Q206">
        <v>141894700</v>
      </c>
      <c r="R206">
        <v>141955100</v>
      </c>
      <c r="S206">
        <v>764700</v>
      </c>
      <c r="T206">
        <v>11517500</v>
      </c>
      <c r="U206">
        <v>1478903200</v>
      </c>
      <c r="V206">
        <v>1076155800</v>
      </c>
      <c r="W206">
        <v>185200</v>
      </c>
      <c r="X206">
        <v>1775951800</v>
      </c>
    </row>
    <row r="207" spans="1:24" x14ac:dyDescent="0.3">
      <c r="A207">
        <v>31</v>
      </c>
      <c r="B207">
        <v>131072</v>
      </c>
      <c r="C207">
        <v>3</v>
      </c>
      <c r="D207">
        <v>64</v>
      </c>
      <c r="E207">
        <v>0.2</v>
      </c>
      <c r="F207">
        <v>11</v>
      </c>
      <c r="G207">
        <v>4095</v>
      </c>
      <c r="H207">
        <v>910736</v>
      </c>
      <c r="I207">
        <v>10931142800</v>
      </c>
      <c r="J207">
        <v>69137185800</v>
      </c>
      <c r="K207">
        <v>6.32479028633675</v>
      </c>
      <c r="L207">
        <v>146717300</v>
      </c>
      <c r="M207">
        <v>282097900</v>
      </c>
      <c r="N207">
        <v>2773137100</v>
      </c>
      <c r="O207">
        <v>3055235000</v>
      </c>
      <c r="P207">
        <v>2468500</v>
      </c>
      <c r="Q207">
        <v>7663445600</v>
      </c>
      <c r="R207">
        <v>7665914100</v>
      </c>
      <c r="S207">
        <v>1258900</v>
      </c>
      <c r="T207">
        <v>36875400</v>
      </c>
      <c r="U207">
        <v>14189536900</v>
      </c>
      <c r="V207">
        <v>53855680600</v>
      </c>
      <c r="W207">
        <v>339700</v>
      </c>
      <c r="X207">
        <v>10931142800</v>
      </c>
    </row>
    <row r="208" spans="1:24" x14ac:dyDescent="0.3">
      <c r="A208">
        <v>32</v>
      </c>
      <c r="B208">
        <v>131072</v>
      </c>
      <c r="C208">
        <v>3</v>
      </c>
      <c r="D208">
        <v>64</v>
      </c>
      <c r="E208">
        <v>0.35</v>
      </c>
      <c r="F208">
        <v>11</v>
      </c>
      <c r="G208">
        <v>4095</v>
      </c>
      <c r="H208">
        <v>209024</v>
      </c>
      <c r="I208">
        <v>3620662700</v>
      </c>
      <c r="J208">
        <v>18576520700</v>
      </c>
      <c r="K208">
        <v>5.1306962949075503</v>
      </c>
      <c r="L208">
        <v>37327000</v>
      </c>
      <c r="M208">
        <v>186780600</v>
      </c>
      <c r="N208">
        <v>1116227900</v>
      </c>
      <c r="O208">
        <v>1303008500</v>
      </c>
      <c r="P208">
        <v>596800</v>
      </c>
      <c r="Q208">
        <v>1765642300</v>
      </c>
      <c r="R208">
        <v>1766239100</v>
      </c>
      <c r="S208">
        <v>1392000</v>
      </c>
      <c r="T208">
        <v>36997400</v>
      </c>
      <c r="U208">
        <v>5486248700</v>
      </c>
      <c r="V208">
        <v>12362333200</v>
      </c>
      <c r="W208">
        <v>334800</v>
      </c>
      <c r="X208">
        <v>3620662700</v>
      </c>
    </row>
    <row r="209" spans="1:24" x14ac:dyDescent="0.3">
      <c r="A209">
        <v>33</v>
      </c>
      <c r="B209">
        <v>131072</v>
      </c>
      <c r="C209">
        <v>3</v>
      </c>
      <c r="D209">
        <v>64</v>
      </c>
      <c r="E209">
        <v>0.5</v>
      </c>
      <c r="F209">
        <v>11</v>
      </c>
      <c r="G209">
        <v>4095</v>
      </c>
      <c r="H209">
        <v>82448</v>
      </c>
      <c r="I209">
        <v>1919080100</v>
      </c>
      <c r="J209">
        <v>8227653400</v>
      </c>
      <c r="K209">
        <v>4.2872902491146601</v>
      </c>
      <c r="L209">
        <v>14654700</v>
      </c>
      <c r="M209">
        <v>212648500</v>
      </c>
      <c r="N209">
        <v>503017900</v>
      </c>
      <c r="O209">
        <v>715666400</v>
      </c>
      <c r="P209">
        <v>244500</v>
      </c>
      <c r="Q209">
        <v>700078000</v>
      </c>
      <c r="R209">
        <v>700322500</v>
      </c>
      <c r="S209">
        <v>1264300</v>
      </c>
      <c r="T209">
        <v>39151000</v>
      </c>
      <c r="U209">
        <v>2292806500</v>
      </c>
      <c r="V209">
        <v>4889280700</v>
      </c>
      <c r="W209">
        <v>339200</v>
      </c>
      <c r="X209">
        <v>1919080100</v>
      </c>
    </row>
    <row r="210" spans="1:24" x14ac:dyDescent="0.3">
      <c r="A210">
        <v>34</v>
      </c>
      <c r="B210">
        <v>131072</v>
      </c>
      <c r="C210">
        <v>3</v>
      </c>
      <c r="D210">
        <v>64</v>
      </c>
      <c r="E210">
        <v>0.65</v>
      </c>
      <c r="F210">
        <v>11</v>
      </c>
      <c r="G210">
        <v>4095</v>
      </c>
      <c r="H210">
        <v>29760</v>
      </c>
      <c r="I210">
        <v>858851300</v>
      </c>
      <c r="J210">
        <v>3438693800</v>
      </c>
      <c r="K210">
        <v>4.0038290679655404</v>
      </c>
      <c r="L210">
        <v>5276100</v>
      </c>
      <c r="M210">
        <v>298045400</v>
      </c>
      <c r="N210">
        <v>221237000</v>
      </c>
      <c r="O210">
        <v>519282400</v>
      </c>
      <c r="P210">
        <v>175600</v>
      </c>
      <c r="Q210">
        <v>270486500</v>
      </c>
      <c r="R210">
        <v>270662100</v>
      </c>
      <c r="S210">
        <v>1288000</v>
      </c>
      <c r="T210">
        <v>38252300</v>
      </c>
      <c r="U210">
        <v>923159600</v>
      </c>
      <c r="V210">
        <v>1792216400</v>
      </c>
      <c r="W210">
        <v>377200</v>
      </c>
      <c r="X210">
        <v>858851300</v>
      </c>
    </row>
    <row r="211" spans="1:24" x14ac:dyDescent="0.3">
      <c r="A211">
        <v>35</v>
      </c>
      <c r="B211">
        <v>131072</v>
      </c>
      <c r="C211">
        <v>3</v>
      </c>
      <c r="D211">
        <v>64</v>
      </c>
      <c r="E211">
        <v>0.8</v>
      </c>
      <c r="F211">
        <v>11</v>
      </c>
      <c r="G211">
        <v>4095</v>
      </c>
      <c r="H211">
        <v>14448</v>
      </c>
      <c r="I211">
        <v>553972000</v>
      </c>
      <c r="J211">
        <v>2487858900</v>
      </c>
      <c r="K211">
        <v>4.4909470153726101</v>
      </c>
      <c r="L211">
        <v>9493800</v>
      </c>
      <c r="M211">
        <v>206284200</v>
      </c>
      <c r="N211">
        <v>131585400</v>
      </c>
      <c r="O211">
        <v>337869600</v>
      </c>
      <c r="P211">
        <v>144000</v>
      </c>
      <c r="Q211">
        <v>141025500</v>
      </c>
      <c r="R211">
        <v>141169500</v>
      </c>
      <c r="S211">
        <v>1192200</v>
      </c>
      <c r="T211">
        <v>37862400</v>
      </c>
      <c r="U211">
        <v>556002000</v>
      </c>
      <c r="V211">
        <v>863227900</v>
      </c>
      <c r="W211">
        <v>363400</v>
      </c>
      <c r="X211">
        <v>553972000</v>
      </c>
    </row>
    <row r="212" spans="1:24" x14ac:dyDescent="0.3">
      <c r="A212">
        <v>36</v>
      </c>
      <c r="B212">
        <v>131072</v>
      </c>
      <c r="C212">
        <v>3</v>
      </c>
      <c r="D212">
        <v>64</v>
      </c>
      <c r="E212">
        <v>0.95</v>
      </c>
      <c r="F212">
        <v>11</v>
      </c>
      <c r="G212">
        <v>4095</v>
      </c>
      <c r="H212">
        <v>8192</v>
      </c>
      <c r="I212">
        <v>492793000</v>
      </c>
      <c r="J212">
        <v>1398803700</v>
      </c>
      <c r="K212">
        <v>2.8385218540035999</v>
      </c>
      <c r="L212">
        <v>1415100</v>
      </c>
      <c r="M212">
        <v>283520900</v>
      </c>
      <c r="N212">
        <v>50094300</v>
      </c>
      <c r="O212">
        <v>333615200</v>
      </c>
      <c r="P212">
        <v>138200</v>
      </c>
      <c r="Q212">
        <v>88794000</v>
      </c>
      <c r="R212">
        <v>88932200</v>
      </c>
      <c r="S212">
        <v>1216000</v>
      </c>
      <c r="T212">
        <v>43032800</v>
      </c>
      <c r="U212">
        <v>197373900</v>
      </c>
      <c r="V212">
        <v>492190100</v>
      </c>
      <c r="W212">
        <v>353400</v>
      </c>
      <c r="X212">
        <v>492793000</v>
      </c>
    </row>
    <row r="213" spans="1:24" x14ac:dyDescent="0.3">
      <c r="A213">
        <v>37</v>
      </c>
      <c r="B213">
        <v>131072</v>
      </c>
      <c r="C213">
        <v>4</v>
      </c>
      <c r="D213">
        <v>125</v>
      </c>
      <c r="E213">
        <v>0.2</v>
      </c>
      <c r="F213">
        <v>11</v>
      </c>
      <c r="G213">
        <v>4095</v>
      </c>
      <c r="H213">
        <v>913476</v>
      </c>
      <c r="I213">
        <v>17842141300</v>
      </c>
      <c r="J213">
        <v>108123109400</v>
      </c>
      <c r="K213">
        <v>6.0599850422661996</v>
      </c>
      <c r="L213">
        <v>145105000</v>
      </c>
      <c r="M213">
        <v>529236700</v>
      </c>
      <c r="N213">
        <v>9032156000</v>
      </c>
      <c r="O213">
        <v>9561392700</v>
      </c>
      <c r="P213">
        <v>5007100</v>
      </c>
      <c r="Q213">
        <v>8019966900</v>
      </c>
      <c r="R213">
        <v>8024974000</v>
      </c>
      <c r="S213">
        <v>1421100</v>
      </c>
      <c r="T213">
        <v>42756300</v>
      </c>
      <c r="U213">
        <v>51928482400</v>
      </c>
      <c r="V213">
        <v>54182712500</v>
      </c>
      <c r="W213">
        <v>428000</v>
      </c>
      <c r="X213">
        <v>17842141300</v>
      </c>
    </row>
    <row r="214" spans="1:24" x14ac:dyDescent="0.3">
      <c r="A214">
        <v>38</v>
      </c>
      <c r="B214">
        <v>131072</v>
      </c>
      <c r="C214">
        <v>4</v>
      </c>
      <c r="D214">
        <v>125</v>
      </c>
      <c r="E214">
        <v>0.35</v>
      </c>
      <c r="F214">
        <v>11</v>
      </c>
      <c r="G214">
        <v>4095</v>
      </c>
      <c r="H214">
        <v>209052</v>
      </c>
      <c r="I214">
        <v>6406505200</v>
      </c>
      <c r="J214">
        <v>34610917900</v>
      </c>
      <c r="K214">
        <v>5.4024646542080301</v>
      </c>
      <c r="L214">
        <v>36193200</v>
      </c>
      <c r="M214">
        <v>470145900</v>
      </c>
      <c r="N214">
        <v>3514478100</v>
      </c>
      <c r="O214">
        <v>3984624000</v>
      </c>
      <c r="P214">
        <v>636400</v>
      </c>
      <c r="Q214">
        <v>1833050800</v>
      </c>
      <c r="R214">
        <v>1833687200</v>
      </c>
      <c r="S214">
        <v>1339100</v>
      </c>
      <c r="T214">
        <v>42458900</v>
      </c>
      <c r="U214">
        <v>20110634900</v>
      </c>
      <c r="V214">
        <v>12564911800</v>
      </c>
      <c r="W214">
        <v>368500</v>
      </c>
      <c r="X214">
        <v>6406505200</v>
      </c>
    </row>
    <row r="215" spans="1:24" x14ac:dyDescent="0.3">
      <c r="A215">
        <v>39</v>
      </c>
      <c r="B215">
        <v>131072</v>
      </c>
      <c r="C215">
        <v>4</v>
      </c>
      <c r="D215">
        <v>125</v>
      </c>
      <c r="E215">
        <v>0.5</v>
      </c>
      <c r="F215">
        <v>11</v>
      </c>
      <c r="G215">
        <v>4095</v>
      </c>
      <c r="H215">
        <v>81756</v>
      </c>
      <c r="I215">
        <v>3262337100</v>
      </c>
      <c r="J215">
        <v>15037385700</v>
      </c>
      <c r="K215">
        <v>4.6093905194530604</v>
      </c>
      <c r="L215">
        <v>13974500</v>
      </c>
      <c r="M215">
        <v>483422100</v>
      </c>
      <c r="N215">
        <v>1496852400</v>
      </c>
      <c r="O215">
        <v>1980274500</v>
      </c>
      <c r="P215">
        <v>247500</v>
      </c>
      <c r="Q215">
        <v>713944500</v>
      </c>
      <c r="R215">
        <v>714192000</v>
      </c>
      <c r="S215">
        <v>1345200</v>
      </c>
      <c r="T215">
        <v>39180700</v>
      </c>
      <c r="U215">
        <v>8574527700</v>
      </c>
      <c r="V215">
        <v>4868052000</v>
      </c>
      <c r="W215">
        <v>352700</v>
      </c>
      <c r="X215">
        <v>3262337100</v>
      </c>
    </row>
    <row r="216" spans="1:24" x14ac:dyDescent="0.3">
      <c r="A216">
        <v>40</v>
      </c>
      <c r="B216">
        <v>131072</v>
      </c>
      <c r="C216">
        <v>4</v>
      </c>
      <c r="D216">
        <v>125</v>
      </c>
      <c r="E216">
        <v>0.65</v>
      </c>
      <c r="F216">
        <v>11</v>
      </c>
      <c r="G216">
        <v>4095</v>
      </c>
      <c r="H216">
        <v>30148</v>
      </c>
      <c r="I216">
        <v>2097067300</v>
      </c>
      <c r="J216">
        <v>7190185300</v>
      </c>
      <c r="K216">
        <v>3.4286860035440898</v>
      </c>
      <c r="L216">
        <v>5749000</v>
      </c>
      <c r="M216">
        <v>492050400</v>
      </c>
      <c r="N216">
        <v>616771800</v>
      </c>
      <c r="O216">
        <v>1108822200</v>
      </c>
      <c r="P216">
        <v>158900</v>
      </c>
      <c r="Q216">
        <v>265926500</v>
      </c>
      <c r="R216">
        <v>266085400</v>
      </c>
      <c r="S216">
        <v>1228100</v>
      </c>
      <c r="T216">
        <v>41973100</v>
      </c>
      <c r="U216">
        <v>3510738800</v>
      </c>
      <c r="V216">
        <v>1795990500</v>
      </c>
      <c r="W216">
        <v>398400</v>
      </c>
      <c r="X216">
        <v>2097067300</v>
      </c>
    </row>
    <row r="217" spans="1:24" x14ac:dyDescent="0.3">
      <c r="A217">
        <v>41</v>
      </c>
      <c r="B217">
        <v>131072</v>
      </c>
      <c r="C217">
        <v>4</v>
      </c>
      <c r="D217">
        <v>125</v>
      </c>
      <c r="E217">
        <v>0.8</v>
      </c>
      <c r="F217">
        <v>11</v>
      </c>
      <c r="G217">
        <v>4095</v>
      </c>
      <c r="H217">
        <v>14640</v>
      </c>
      <c r="I217">
        <v>1109641000</v>
      </c>
      <c r="J217">
        <v>4560724000</v>
      </c>
      <c r="K217">
        <v>4.1100896596286498</v>
      </c>
      <c r="L217">
        <v>2913900</v>
      </c>
      <c r="M217">
        <v>490236000</v>
      </c>
      <c r="N217">
        <v>368353900</v>
      </c>
      <c r="O217">
        <v>858589900</v>
      </c>
      <c r="P217">
        <v>149500</v>
      </c>
      <c r="Q217">
        <v>131501200</v>
      </c>
      <c r="R217">
        <v>131650700</v>
      </c>
      <c r="S217">
        <v>1312900</v>
      </c>
      <c r="T217">
        <v>42432400</v>
      </c>
      <c r="U217">
        <v>2101870400</v>
      </c>
      <c r="V217">
        <v>880870800</v>
      </c>
      <c r="W217">
        <v>439700</v>
      </c>
      <c r="X217">
        <v>1109641000</v>
      </c>
    </row>
    <row r="218" spans="1:24" x14ac:dyDescent="0.3">
      <c r="A218">
        <v>42</v>
      </c>
      <c r="B218">
        <v>131072</v>
      </c>
      <c r="C218">
        <v>4</v>
      </c>
      <c r="D218">
        <v>125</v>
      </c>
      <c r="E218">
        <v>0.95</v>
      </c>
      <c r="F218">
        <v>11</v>
      </c>
      <c r="G218">
        <v>4095</v>
      </c>
      <c r="H218">
        <v>8192</v>
      </c>
      <c r="I218">
        <v>801252900</v>
      </c>
      <c r="J218">
        <v>3127537600</v>
      </c>
      <c r="K218">
        <v>3.90330893030153</v>
      </c>
      <c r="L218">
        <v>1377000</v>
      </c>
      <c r="M218">
        <v>484992500</v>
      </c>
      <c r="N218">
        <v>133679300</v>
      </c>
      <c r="O218">
        <v>618671800</v>
      </c>
      <c r="P218">
        <v>150900</v>
      </c>
      <c r="Q218">
        <v>73283700</v>
      </c>
      <c r="R218">
        <v>73434600</v>
      </c>
      <c r="S218">
        <v>1215700</v>
      </c>
      <c r="T218">
        <v>40284800</v>
      </c>
      <c r="U218">
        <v>737650900</v>
      </c>
      <c r="V218">
        <v>494144300</v>
      </c>
      <c r="W218">
        <v>367900</v>
      </c>
      <c r="X218">
        <v>801252900</v>
      </c>
    </row>
    <row r="219" spans="1:24" x14ac:dyDescent="0.3">
      <c r="A219">
        <v>43</v>
      </c>
      <c r="B219">
        <v>131072</v>
      </c>
      <c r="C219">
        <v>5</v>
      </c>
      <c r="D219">
        <v>216</v>
      </c>
      <c r="E219">
        <v>0.2</v>
      </c>
      <c r="F219">
        <v>10</v>
      </c>
      <c r="G219">
        <v>2047</v>
      </c>
      <c r="H219">
        <v>330688</v>
      </c>
      <c r="I219">
        <v>27554753300</v>
      </c>
      <c r="J219">
        <v>155101820900</v>
      </c>
      <c r="K219">
        <v>5.6288589925426704</v>
      </c>
      <c r="L219">
        <v>63039800</v>
      </c>
      <c r="M219">
        <v>856329100</v>
      </c>
      <c r="N219">
        <v>15287868500</v>
      </c>
      <c r="O219">
        <v>16144197600</v>
      </c>
      <c r="P219">
        <v>971900</v>
      </c>
      <c r="Q219">
        <v>11196644400</v>
      </c>
      <c r="R219">
        <v>11197616300</v>
      </c>
      <c r="S219">
        <v>1310200</v>
      </c>
      <c r="T219">
        <v>37067100</v>
      </c>
      <c r="U219">
        <v>72045491600</v>
      </c>
      <c r="V219">
        <v>80928874600</v>
      </c>
      <c r="W219">
        <v>359500</v>
      </c>
      <c r="X219">
        <v>27554753300</v>
      </c>
    </row>
    <row r="220" spans="1:24" x14ac:dyDescent="0.3">
      <c r="A220">
        <v>44</v>
      </c>
      <c r="B220">
        <v>131072</v>
      </c>
      <c r="C220">
        <v>5</v>
      </c>
      <c r="D220">
        <v>216</v>
      </c>
      <c r="E220">
        <v>0.35</v>
      </c>
      <c r="F220">
        <v>10</v>
      </c>
      <c r="G220">
        <v>2047</v>
      </c>
      <c r="H220">
        <v>89840</v>
      </c>
      <c r="I220">
        <v>10631469200</v>
      </c>
      <c r="J220">
        <v>53864533100</v>
      </c>
      <c r="K220">
        <v>5.0665182851679598</v>
      </c>
      <c r="L220">
        <v>15686400</v>
      </c>
      <c r="M220">
        <v>860044900</v>
      </c>
      <c r="N220">
        <v>6150159800</v>
      </c>
      <c r="O220">
        <v>7010204700</v>
      </c>
      <c r="P220">
        <v>184100</v>
      </c>
      <c r="Q220">
        <v>3014781800</v>
      </c>
      <c r="R220">
        <v>3014965900</v>
      </c>
      <c r="S220">
        <v>1352900</v>
      </c>
      <c r="T220">
        <v>34655300</v>
      </c>
      <c r="U220">
        <v>29512048100</v>
      </c>
      <c r="V220">
        <v>21850963400</v>
      </c>
      <c r="W220">
        <v>414000</v>
      </c>
      <c r="X220">
        <v>10631469200</v>
      </c>
    </row>
    <row r="221" spans="1:24" x14ac:dyDescent="0.3">
      <c r="A221">
        <v>45</v>
      </c>
      <c r="B221">
        <v>131072</v>
      </c>
      <c r="C221">
        <v>5</v>
      </c>
      <c r="D221">
        <v>216</v>
      </c>
      <c r="E221">
        <v>0.5</v>
      </c>
      <c r="F221">
        <v>10</v>
      </c>
      <c r="G221">
        <v>2047</v>
      </c>
      <c r="H221">
        <v>34680</v>
      </c>
      <c r="I221">
        <v>5355589000</v>
      </c>
      <c r="J221">
        <v>23414599000</v>
      </c>
      <c r="K221">
        <v>4.3719932578844203</v>
      </c>
      <c r="L221">
        <v>6234300</v>
      </c>
      <c r="M221">
        <v>872175000</v>
      </c>
      <c r="N221">
        <v>2717793100</v>
      </c>
      <c r="O221">
        <v>3589968100</v>
      </c>
      <c r="P221">
        <v>116400</v>
      </c>
      <c r="Q221">
        <v>1169704300</v>
      </c>
      <c r="R221">
        <v>1169820700</v>
      </c>
      <c r="S221">
        <v>1407200</v>
      </c>
      <c r="T221">
        <v>38293000</v>
      </c>
      <c r="U221">
        <v>12823209100</v>
      </c>
      <c r="V221">
        <v>8431174700</v>
      </c>
      <c r="W221">
        <v>433000</v>
      </c>
      <c r="X221">
        <v>5355589000</v>
      </c>
    </row>
    <row r="222" spans="1:24" x14ac:dyDescent="0.3">
      <c r="A222">
        <v>46</v>
      </c>
      <c r="B222">
        <v>131072</v>
      </c>
      <c r="C222">
        <v>5</v>
      </c>
      <c r="D222">
        <v>216</v>
      </c>
      <c r="E222">
        <v>0.65</v>
      </c>
      <c r="F222">
        <v>10</v>
      </c>
      <c r="G222">
        <v>2047</v>
      </c>
      <c r="H222">
        <v>12468</v>
      </c>
      <c r="I222">
        <v>3156962500</v>
      </c>
      <c r="J222">
        <v>11685804500</v>
      </c>
      <c r="K222">
        <v>3.7015975007622002</v>
      </c>
      <c r="L222">
        <v>2651800</v>
      </c>
      <c r="M222">
        <v>873757300</v>
      </c>
      <c r="N222">
        <v>1272769300</v>
      </c>
      <c r="O222">
        <v>2146526600</v>
      </c>
      <c r="P222">
        <v>84300</v>
      </c>
      <c r="Q222">
        <v>423840100</v>
      </c>
      <c r="R222">
        <v>423924400</v>
      </c>
      <c r="S222">
        <v>1229400</v>
      </c>
      <c r="T222">
        <v>39934300</v>
      </c>
      <c r="U222">
        <v>6072272600</v>
      </c>
      <c r="V222">
        <v>3137764600</v>
      </c>
      <c r="W222">
        <v>379900</v>
      </c>
      <c r="X222">
        <v>3156962500</v>
      </c>
    </row>
    <row r="223" spans="1:24" x14ac:dyDescent="0.3">
      <c r="A223">
        <v>47</v>
      </c>
      <c r="B223">
        <v>131072</v>
      </c>
      <c r="C223">
        <v>5</v>
      </c>
      <c r="D223">
        <v>216</v>
      </c>
      <c r="E223">
        <v>0.8</v>
      </c>
      <c r="F223">
        <v>10</v>
      </c>
      <c r="G223">
        <v>2047</v>
      </c>
      <c r="H223">
        <v>7352</v>
      </c>
      <c r="I223">
        <v>2593786000</v>
      </c>
      <c r="J223">
        <v>7384552800</v>
      </c>
      <c r="K223">
        <v>2.8470169859811101</v>
      </c>
      <c r="L223">
        <v>1667900</v>
      </c>
      <c r="M223">
        <v>870917300</v>
      </c>
      <c r="N223">
        <v>721372200</v>
      </c>
      <c r="O223">
        <v>1592289500</v>
      </c>
      <c r="P223">
        <v>80400</v>
      </c>
      <c r="Q223">
        <v>251501700</v>
      </c>
      <c r="R223">
        <v>251582100</v>
      </c>
      <c r="S223">
        <v>1353200</v>
      </c>
      <c r="T223">
        <v>38306700</v>
      </c>
      <c r="U223">
        <v>3443164500</v>
      </c>
      <c r="V223">
        <v>1823869200</v>
      </c>
      <c r="W223">
        <v>350800</v>
      </c>
      <c r="X223">
        <v>2593786000</v>
      </c>
    </row>
    <row r="224" spans="1:24" x14ac:dyDescent="0.3">
      <c r="A224">
        <v>48</v>
      </c>
      <c r="B224">
        <v>131072</v>
      </c>
      <c r="C224">
        <v>5</v>
      </c>
      <c r="D224">
        <v>216</v>
      </c>
      <c r="E224">
        <v>0.95</v>
      </c>
      <c r="F224">
        <v>10</v>
      </c>
      <c r="G224">
        <v>2047</v>
      </c>
      <c r="H224">
        <v>2048</v>
      </c>
      <c r="I224">
        <v>1618549900</v>
      </c>
      <c r="J224">
        <v>5138995300</v>
      </c>
      <c r="K224">
        <v>3.1750613929172</v>
      </c>
      <c r="L224">
        <v>894100</v>
      </c>
      <c r="M224">
        <v>958357800</v>
      </c>
      <c r="N224">
        <v>438394200</v>
      </c>
      <c r="O224">
        <v>1396752000</v>
      </c>
      <c r="P224">
        <v>85800</v>
      </c>
      <c r="Q224">
        <v>73166700</v>
      </c>
      <c r="R224">
        <v>73252500</v>
      </c>
      <c r="S224">
        <v>1216800</v>
      </c>
      <c r="T224">
        <v>44131200</v>
      </c>
      <c r="U224">
        <v>2147990500</v>
      </c>
      <c r="V224">
        <v>509667400</v>
      </c>
      <c r="W224">
        <v>419000</v>
      </c>
      <c r="X224">
        <v>1618549900</v>
      </c>
    </row>
    <row r="225" spans="1:24" x14ac:dyDescent="0.3">
      <c r="A225">
        <v>49</v>
      </c>
      <c r="B225">
        <v>131072</v>
      </c>
      <c r="C225">
        <v>6</v>
      </c>
      <c r="D225">
        <v>343</v>
      </c>
      <c r="E225">
        <v>0.2</v>
      </c>
      <c r="F225">
        <v>9</v>
      </c>
      <c r="G225">
        <v>1023</v>
      </c>
      <c r="H225">
        <v>161964</v>
      </c>
      <c r="I225">
        <v>31164823700</v>
      </c>
      <c r="J225">
        <v>203537567500</v>
      </c>
      <c r="K225">
        <v>6.5310033343779104</v>
      </c>
      <c r="L225">
        <v>20758900</v>
      </c>
      <c r="M225">
        <v>1925524700</v>
      </c>
      <c r="N225">
        <v>7169018100</v>
      </c>
      <c r="O225">
        <v>9094542800</v>
      </c>
      <c r="P225">
        <v>470000</v>
      </c>
      <c r="Q225">
        <v>21851462700</v>
      </c>
      <c r="R225">
        <v>21851932700</v>
      </c>
      <c r="S225">
        <v>1307800</v>
      </c>
      <c r="T225">
        <v>34136700</v>
      </c>
      <c r="U225">
        <v>33827847200</v>
      </c>
      <c r="V225">
        <v>167050179200</v>
      </c>
      <c r="W225">
        <v>369000</v>
      </c>
      <c r="X225">
        <v>31164823700</v>
      </c>
    </row>
    <row r="226" spans="1:24" x14ac:dyDescent="0.3">
      <c r="A226">
        <v>50</v>
      </c>
      <c r="B226">
        <v>131072</v>
      </c>
      <c r="C226">
        <v>6</v>
      </c>
      <c r="D226">
        <v>343</v>
      </c>
      <c r="E226">
        <v>0.35</v>
      </c>
      <c r="F226">
        <v>9</v>
      </c>
      <c r="G226">
        <v>1023</v>
      </c>
      <c r="H226">
        <v>49356</v>
      </c>
      <c r="I226">
        <v>13781640900</v>
      </c>
      <c r="J226">
        <v>75815032700</v>
      </c>
      <c r="K226">
        <v>5.5011615271444203</v>
      </c>
      <c r="L226">
        <v>6535100</v>
      </c>
      <c r="M226">
        <v>1904813900</v>
      </c>
      <c r="N226">
        <v>4629578000</v>
      </c>
      <c r="O226">
        <v>6534391900</v>
      </c>
      <c r="P226">
        <v>158100</v>
      </c>
      <c r="Q226">
        <v>6610098200</v>
      </c>
      <c r="R226">
        <v>6610256300</v>
      </c>
      <c r="S226">
        <v>1538400</v>
      </c>
      <c r="T226">
        <v>36168200</v>
      </c>
      <c r="U226">
        <v>21949698000</v>
      </c>
      <c r="V226">
        <v>50862052000</v>
      </c>
      <c r="W226">
        <v>525700</v>
      </c>
      <c r="X226">
        <v>13781640900</v>
      </c>
    </row>
    <row r="227" spans="1:24" x14ac:dyDescent="0.3">
      <c r="A227">
        <v>51</v>
      </c>
      <c r="B227">
        <v>131072</v>
      </c>
      <c r="C227">
        <v>6</v>
      </c>
      <c r="D227">
        <v>343</v>
      </c>
      <c r="E227">
        <v>0.5</v>
      </c>
      <c r="F227">
        <v>9</v>
      </c>
      <c r="G227">
        <v>1023</v>
      </c>
      <c r="H227">
        <v>19224</v>
      </c>
      <c r="I227">
        <v>7841373500</v>
      </c>
      <c r="J227">
        <v>35116600700</v>
      </c>
      <c r="K227">
        <v>4.4783736803252596</v>
      </c>
      <c r="L227">
        <v>3277300</v>
      </c>
      <c r="M227">
        <v>1917334900</v>
      </c>
      <c r="N227">
        <v>2704875900</v>
      </c>
      <c r="O227">
        <v>4622210800</v>
      </c>
      <c r="P227">
        <v>124100</v>
      </c>
      <c r="Q227">
        <v>2587032200</v>
      </c>
      <c r="R227">
        <v>2587156300</v>
      </c>
      <c r="S227">
        <v>1287900</v>
      </c>
      <c r="T227">
        <v>33506800</v>
      </c>
      <c r="U227">
        <v>12714141400</v>
      </c>
      <c r="V227">
        <v>19727062700</v>
      </c>
      <c r="W227">
        <v>444700</v>
      </c>
      <c r="X227">
        <v>7841373500</v>
      </c>
    </row>
    <row r="228" spans="1:24" x14ac:dyDescent="0.3">
      <c r="A228">
        <v>52</v>
      </c>
      <c r="B228">
        <v>131072</v>
      </c>
      <c r="C228">
        <v>6</v>
      </c>
      <c r="D228">
        <v>343</v>
      </c>
      <c r="E228">
        <v>0.65</v>
      </c>
      <c r="F228">
        <v>9</v>
      </c>
      <c r="G228">
        <v>1023</v>
      </c>
      <c r="H228">
        <v>8644</v>
      </c>
      <c r="I228">
        <v>4883397000</v>
      </c>
      <c r="J228">
        <v>17511773300</v>
      </c>
      <c r="K228">
        <v>3.5859819097239001</v>
      </c>
      <c r="L228">
        <v>1482200</v>
      </c>
      <c r="M228">
        <v>1920093300</v>
      </c>
      <c r="N228">
        <v>1167508800</v>
      </c>
      <c r="O228">
        <v>3087602100</v>
      </c>
      <c r="P228">
        <v>66100</v>
      </c>
      <c r="Q228">
        <v>1166540000</v>
      </c>
      <c r="R228">
        <v>1166606100</v>
      </c>
      <c r="S228">
        <v>1425300</v>
      </c>
      <c r="T228">
        <v>34690200</v>
      </c>
      <c r="U228">
        <v>5558357900</v>
      </c>
      <c r="V228">
        <v>8962661500</v>
      </c>
      <c r="W228">
        <v>394000</v>
      </c>
      <c r="X228">
        <v>4883397000</v>
      </c>
    </row>
    <row r="229" spans="1:24" x14ac:dyDescent="0.3">
      <c r="A229">
        <v>53</v>
      </c>
      <c r="B229">
        <v>131072</v>
      </c>
      <c r="C229">
        <v>6</v>
      </c>
      <c r="D229">
        <v>343</v>
      </c>
      <c r="E229">
        <v>0.8</v>
      </c>
      <c r="F229">
        <v>9</v>
      </c>
      <c r="G229">
        <v>1023</v>
      </c>
      <c r="H229">
        <v>4528</v>
      </c>
      <c r="I229">
        <v>3871207300</v>
      </c>
      <c r="J229">
        <v>10649217900</v>
      </c>
      <c r="K229">
        <v>2.75087771714007</v>
      </c>
      <c r="L229">
        <v>906100</v>
      </c>
      <c r="M229">
        <v>1920431400</v>
      </c>
      <c r="N229">
        <v>709876500</v>
      </c>
      <c r="O229">
        <v>2630307900</v>
      </c>
      <c r="P229">
        <v>75000</v>
      </c>
      <c r="Q229">
        <v>613405500</v>
      </c>
      <c r="R229">
        <v>613480500</v>
      </c>
      <c r="S229">
        <v>1327900</v>
      </c>
      <c r="T229">
        <v>35129100</v>
      </c>
      <c r="U229">
        <v>3334183200</v>
      </c>
      <c r="V229">
        <v>4644742100</v>
      </c>
      <c r="W229">
        <v>422000</v>
      </c>
      <c r="X229">
        <v>3871207300</v>
      </c>
    </row>
    <row r="230" spans="1:24" x14ac:dyDescent="0.3">
      <c r="A230">
        <v>54</v>
      </c>
      <c r="B230">
        <v>131072</v>
      </c>
      <c r="C230">
        <v>6</v>
      </c>
      <c r="D230">
        <v>343</v>
      </c>
      <c r="E230">
        <v>0.95</v>
      </c>
      <c r="F230">
        <v>9</v>
      </c>
      <c r="G230">
        <v>1023</v>
      </c>
      <c r="H230">
        <v>3072</v>
      </c>
      <c r="I230">
        <v>3362178600</v>
      </c>
      <c r="J230">
        <v>7222858700</v>
      </c>
      <c r="K230">
        <v>2.1482674061395701</v>
      </c>
      <c r="L230">
        <v>537200</v>
      </c>
      <c r="M230">
        <v>1921603400</v>
      </c>
      <c r="N230">
        <v>236644300</v>
      </c>
      <c r="O230">
        <v>2158247700</v>
      </c>
      <c r="P230">
        <v>62200</v>
      </c>
      <c r="Q230">
        <v>420211200</v>
      </c>
      <c r="R230">
        <v>420273400</v>
      </c>
      <c r="S230">
        <v>1215400</v>
      </c>
      <c r="T230">
        <v>36345100</v>
      </c>
      <c r="U230">
        <v>1122655400</v>
      </c>
      <c r="V230">
        <v>3152944400</v>
      </c>
      <c r="W230">
        <v>371500</v>
      </c>
      <c r="X230">
        <v>3362178600</v>
      </c>
    </row>
    <row r="231" spans="1:24" x14ac:dyDescent="0.3">
      <c r="A231">
        <v>55</v>
      </c>
      <c r="B231">
        <v>131072</v>
      </c>
      <c r="C231">
        <v>7</v>
      </c>
      <c r="D231">
        <v>512</v>
      </c>
      <c r="E231">
        <v>0.2</v>
      </c>
      <c r="F231">
        <v>8</v>
      </c>
      <c r="G231">
        <v>511</v>
      </c>
      <c r="H231">
        <v>56364</v>
      </c>
      <c r="I231">
        <v>34709843500</v>
      </c>
      <c r="J231">
        <v>251009310300</v>
      </c>
      <c r="K231">
        <v>7.2316462706033198</v>
      </c>
      <c r="L231">
        <v>11061500</v>
      </c>
      <c r="M231">
        <v>2300865900</v>
      </c>
      <c r="N231">
        <v>1603466300</v>
      </c>
      <c r="O231">
        <v>3904332200</v>
      </c>
      <c r="P231">
        <v>143100</v>
      </c>
      <c r="Q231">
        <v>30600188400</v>
      </c>
      <c r="R231">
        <v>30600331500</v>
      </c>
      <c r="S231">
        <v>1441200</v>
      </c>
      <c r="T231">
        <v>38066500</v>
      </c>
      <c r="U231">
        <v>8456749800</v>
      </c>
      <c r="V231">
        <v>239455676600</v>
      </c>
      <c r="W231">
        <v>386700</v>
      </c>
      <c r="X231">
        <v>34709843500</v>
      </c>
    </row>
    <row r="232" spans="1:24" x14ac:dyDescent="0.3">
      <c r="A232">
        <v>56</v>
      </c>
      <c r="B232">
        <v>131072</v>
      </c>
      <c r="C232">
        <v>7</v>
      </c>
      <c r="D232">
        <v>512</v>
      </c>
      <c r="E232">
        <v>0.35</v>
      </c>
      <c r="F232">
        <v>8</v>
      </c>
      <c r="G232">
        <v>511</v>
      </c>
      <c r="H232">
        <v>19516</v>
      </c>
      <c r="I232">
        <v>17013198500</v>
      </c>
      <c r="J232">
        <v>105656872300</v>
      </c>
      <c r="K232">
        <v>6.2102885768363896</v>
      </c>
      <c r="L232">
        <v>2774500</v>
      </c>
      <c r="M232">
        <v>2286631900</v>
      </c>
      <c r="N232">
        <v>3605137500</v>
      </c>
      <c r="O232">
        <v>5891769400</v>
      </c>
      <c r="P232">
        <v>119400</v>
      </c>
      <c r="Q232">
        <v>10484972800</v>
      </c>
      <c r="R232">
        <v>10485092200</v>
      </c>
      <c r="S232">
        <v>1325600</v>
      </c>
      <c r="T232">
        <v>30485000</v>
      </c>
      <c r="U232">
        <v>19267025900</v>
      </c>
      <c r="V232">
        <v>82936256000</v>
      </c>
      <c r="W232">
        <v>410500</v>
      </c>
      <c r="X232">
        <v>17013198500</v>
      </c>
    </row>
    <row r="233" spans="1:24" x14ac:dyDescent="0.3">
      <c r="A233">
        <v>57</v>
      </c>
      <c r="B233">
        <v>131072</v>
      </c>
      <c r="C233">
        <v>7</v>
      </c>
      <c r="D233">
        <v>512</v>
      </c>
      <c r="E233">
        <v>0.5</v>
      </c>
      <c r="F233">
        <v>8</v>
      </c>
      <c r="G233">
        <v>511</v>
      </c>
      <c r="H233">
        <v>9084</v>
      </c>
      <c r="I233">
        <v>9765186000</v>
      </c>
      <c r="J233">
        <v>51952949800</v>
      </c>
      <c r="K233">
        <v>5.32022122261675</v>
      </c>
      <c r="L233">
        <v>1416500</v>
      </c>
      <c r="M233">
        <v>2295453200</v>
      </c>
      <c r="N233">
        <v>1920834600</v>
      </c>
      <c r="O233">
        <v>4216287800</v>
      </c>
      <c r="P233">
        <v>92600</v>
      </c>
      <c r="Q233">
        <v>4907752400</v>
      </c>
      <c r="R233">
        <v>4907845000</v>
      </c>
      <c r="S233">
        <v>1405400</v>
      </c>
      <c r="T233">
        <v>31487400</v>
      </c>
      <c r="U233">
        <v>10266862400</v>
      </c>
      <c r="V233">
        <v>38583221000</v>
      </c>
      <c r="W233">
        <v>386900</v>
      </c>
      <c r="X233">
        <v>9765186000</v>
      </c>
    </row>
    <row r="234" spans="1:24" x14ac:dyDescent="0.3">
      <c r="A234">
        <v>58</v>
      </c>
      <c r="B234">
        <v>131072</v>
      </c>
      <c r="C234">
        <v>7</v>
      </c>
      <c r="D234">
        <v>512</v>
      </c>
      <c r="E234">
        <v>0.65</v>
      </c>
      <c r="F234">
        <v>8</v>
      </c>
      <c r="G234">
        <v>511</v>
      </c>
      <c r="H234">
        <v>3580</v>
      </c>
      <c r="I234">
        <v>5897620300</v>
      </c>
      <c r="J234">
        <v>24224710900</v>
      </c>
      <c r="K234">
        <v>4.1075399343698002</v>
      </c>
      <c r="L234">
        <v>703300</v>
      </c>
      <c r="M234">
        <v>2304134100</v>
      </c>
      <c r="N234">
        <v>1025381900</v>
      </c>
      <c r="O234">
        <v>3329516000</v>
      </c>
      <c r="P234">
        <v>90400</v>
      </c>
      <c r="Q234">
        <v>1935272000</v>
      </c>
      <c r="R234">
        <v>1935362400</v>
      </c>
      <c r="S234">
        <v>1308200</v>
      </c>
      <c r="T234">
        <v>33490800</v>
      </c>
      <c r="U234">
        <v>5393653900</v>
      </c>
      <c r="V234">
        <v>15366033100</v>
      </c>
      <c r="W234">
        <v>716800</v>
      </c>
      <c r="X234">
        <v>5897620300</v>
      </c>
    </row>
    <row r="235" spans="1:24" x14ac:dyDescent="0.3">
      <c r="A235">
        <v>59</v>
      </c>
      <c r="B235">
        <v>131072</v>
      </c>
      <c r="C235">
        <v>7</v>
      </c>
      <c r="D235">
        <v>512</v>
      </c>
      <c r="E235">
        <v>0.8</v>
      </c>
      <c r="F235">
        <v>8</v>
      </c>
      <c r="G235">
        <v>511</v>
      </c>
      <c r="H235">
        <v>1956</v>
      </c>
      <c r="I235">
        <v>4806637900</v>
      </c>
      <c r="J235">
        <v>15649692300</v>
      </c>
      <c r="K235">
        <v>3.2558500610166599</v>
      </c>
      <c r="L235">
        <v>446900</v>
      </c>
      <c r="M235">
        <v>2301125300</v>
      </c>
      <c r="N235">
        <v>809258900</v>
      </c>
      <c r="O235">
        <v>3110384200</v>
      </c>
      <c r="P235">
        <v>98000</v>
      </c>
      <c r="Q235">
        <v>1062116000</v>
      </c>
      <c r="R235">
        <v>1062214000</v>
      </c>
      <c r="S235">
        <v>1210800</v>
      </c>
      <c r="T235">
        <v>26190400</v>
      </c>
      <c r="U235">
        <v>4286178200</v>
      </c>
      <c r="V235">
        <v>8299698900</v>
      </c>
      <c r="W235">
        <v>372700</v>
      </c>
      <c r="X235">
        <v>4806637900</v>
      </c>
    </row>
    <row r="236" spans="1:24" x14ac:dyDescent="0.3">
      <c r="A236">
        <v>60</v>
      </c>
      <c r="B236">
        <v>131072</v>
      </c>
      <c r="C236">
        <v>7</v>
      </c>
      <c r="D236">
        <v>512</v>
      </c>
      <c r="E236">
        <v>0.95</v>
      </c>
      <c r="F236">
        <v>8</v>
      </c>
      <c r="G236">
        <v>511</v>
      </c>
      <c r="H236">
        <v>1024</v>
      </c>
      <c r="I236">
        <v>3767286400</v>
      </c>
      <c r="J236">
        <v>9200007900</v>
      </c>
      <c r="K236">
        <v>2.44207817595179</v>
      </c>
      <c r="L236">
        <v>188600</v>
      </c>
      <c r="M236">
        <v>2297944400</v>
      </c>
      <c r="N236">
        <v>278699800</v>
      </c>
      <c r="O236">
        <v>2576644200</v>
      </c>
      <c r="P236">
        <v>64700</v>
      </c>
      <c r="Q236">
        <v>561491800</v>
      </c>
      <c r="R236">
        <v>561556500</v>
      </c>
      <c r="S236">
        <v>1304900</v>
      </c>
      <c r="T236">
        <v>30006800</v>
      </c>
      <c r="U236">
        <v>1468066100</v>
      </c>
      <c r="V236">
        <v>4351246700</v>
      </c>
      <c r="W236">
        <v>372200</v>
      </c>
      <c r="X236">
        <v>3767286400</v>
      </c>
    </row>
    <row r="237" spans="1:24" x14ac:dyDescent="0.3">
      <c r="A237">
        <v>61</v>
      </c>
      <c r="B237">
        <v>262144</v>
      </c>
      <c r="C237">
        <v>3</v>
      </c>
      <c r="D237">
        <v>64</v>
      </c>
      <c r="E237">
        <v>0.2</v>
      </c>
      <c r="F237">
        <v>12</v>
      </c>
      <c r="G237">
        <v>8191</v>
      </c>
      <c r="H237" s="1">
        <v>2186204</v>
      </c>
      <c r="I237">
        <v>27050199400</v>
      </c>
      <c r="J237">
        <v>173474614300</v>
      </c>
      <c r="K237">
        <v>6.4130623118437997</v>
      </c>
      <c r="L237">
        <v>362806900</v>
      </c>
      <c r="M237">
        <v>51537100</v>
      </c>
      <c r="N237">
        <v>8005513200</v>
      </c>
      <c r="O237">
        <v>8057050300</v>
      </c>
      <c r="P237">
        <v>9305300</v>
      </c>
      <c r="Q237">
        <v>18487109000</v>
      </c>
      <c r="R237">
        <v>18496414300</v>
      </c>
      <c r="S237">
        <v>2241900</v>
      </c>
      <c r="T237">
        <v>124976700</v>
      </c>
      <c r="U237">
        <v>40790080100</v>
      </c>
      <c r="V237">
        <v>130723807400</v>
      </c>
      <c r="W237">
        <v>847600</v>
      </c>
      <c r="X237">
        <v>27050199400</v>
      </c>
    </row>
    <row r="238" spans="1:24" x14ac:dyDescent="0.3">
      <c r="A238">
        <v>62</v>
      </c>
      <c r="B238">
        <v>262144</v>
      </c>
      <c r="C238">
        <v>3</v>
      </c>
      <c r="D238">
        <v>64</v>
      </c>
      <c r="E238">
        <v>0.35</v>
      </c>
      <c r="F238">
        <v>12</v>
      </c>
      <c r="G238">
        <v>8191</v>
      </c>
      <c r="H238">
        <v>489424</v>
      </c>
      <c r="I238">
        <v>7393155700</v>
      </c>
      <c r="J238">
        <v>42844322500</v>
      </c>
      <c r="K238">
        <v>5.7951332608888499</v>
      </c>
      <c r="L238">
        <v>149728700</v>
      </c>
      <c r="M238">
        <v>164830500</v>
      </c>
      <c r="N238">
        <v>2350496800</v>
      </c>
      <c r="O238">
        <v>2515327300</v>
      </c>
      <c r="P238">
        <v>1305000</v>
      </c>
      <c r="Q238">
        <v>4138729500</v>
      </c>
      <c r="R238">
        <v>4140034500</v>
      </c>
      <c r="S238">
        <v>2171800</v>
      </c>
      <c r="T238">
        <v>75717700</v>
      </c>
      <c r="U238">
        <v>12161267600</v>
      </c>
      <c r="V238">
        <v>29241686200</v>
      </c>
      <c r="W238">
        <v>863100</v>
      </c>
      <c r="X238">
        <v>7393155700</v>
      </c>
    </row>
    <row r="239" spans="1:24" x14ac:dyDescent="0.3">
      <c r="A239">
        <v>63</v>
      </c>
      <c r="B239">
        <v>262144</v>
      </c>
      <c r="C239">
        <v>3</v>
      </c>
      <c r="D239">
        <v>64</v>
      </c>
      <c r="E239">
        <v>0.5</v>
      </c>
      <c r="F239">
        <v>12</v>
      </c>
      <c r="G239">
        <v>8191</v>
      </c>
      <c r="H239">
        <v>172600</v>
      </c>
      <c r="I239">
        <v>3429426100</v>
      </c>
      <c r="J239">
        <v>17289683400</v>
      </c>
      <c r="K239">
        <v>5.0415675672381397</v>
      </c>
      <c r="L239">
        <v>38249400</v>
      </c>
      <c r="M239">
        <v>278926400</v>
      </c>
      <c r="N239">
        <v>1062364400</v>
      </c>
      <c r="O239">
        <v>1341290800</v>
      </c>
      <c r="P239">
        <v>551500</v>
      </c>
      <c r="Q239">
        <v>1465037800</v>
      </c>
      <c r="R239">
        <v>1465589300</v>
      </c>
      <c r="S239">
        <v>2233800</v>
      </c>
      <c r="T239">
        <v>77968900</v>
      </c>
      <c r="U239">
        <v>5294382800</v>
      </c>
      <c r="V239">
        <v>10277881900</v>
      </c>
      <c r="W239">
        <v>841800</v>
      </c>
      <c r="X239">
        <v>3429426100</v>
      </c>
    </row>
    <row r="240" spans="1:24" x14ac:dyDescent="0.3">
      <c r="A240">
        <v>64</v>
      </c>
      <c r="B240">
        <v>262144</v>
      </c>
      <c r="C240">
        <v>3</v>
      </c>
      <c r="D240">
        <v>64</v>
      </c>
      <c r="E240">
        <v>0.65</v>
      </c>
      <c r="F240">
        <v>12</v>
      </c>
      <c r="G240">
        <v>8191</v>
      </c>
      <c r="H240">
        <v>68468</v>
      </c>
      <c r="I240">
        <v>1884563400</v>
      </c>
      <c r="J240">
        <v>7777317000</v>
      </c>
      <c r="K240">
        <v>4.1268534664315304</v>
      </c>
      <c r="L240">
        <v>11708200</v>
      </c>
      <c r="M240">
        <v>302040600</v>
      </c>
      <c r="N240">
        <v>399922500</v>
      </c>
      <c r="O240">
        <v>701963100</v>
      </c>
      <c r="P240">
        <v>204100</v>
      </c>
      <c r="Q240">
        <v>584553500</v>
      </c>
      <c r="R240">
        <v>584757600</v>
      </c>
      <c r="S240">
        <v>2054100</v>
      </c>
      <c r="T240">
        <v>89269800</v>
      </c>
      <c r="U240">
        <v>1948511100</v>
      </c>
      <c r="V240">
        <v>4112442000</v>
      </c>
      <c r="W240">
        <v>856800</v>
      </c>
      <c r="X240">
        <v>1884563400</v>
      </c>
    </row>
    <row r="241" spans="1:24" x14ac:dyDescent="0.3">
      <c r="A241">
        <v>65</v>
      </c>
      <c r="B241">
        <v>262144</v>
      </c>
      <c r="C241">
        <v>3</v>
      </c>
      <c r="D241">
        <v>64</v>
      </c>
      <c r="E241">
        <v>0.8</v>
      </c>
      <c r="F241">
        <v>12</v>
      </c>
      <c r="G241">
        <v>8191</v>
      </c>
      <c r="H241">
        <v>31876</v>
      </c>
      <c r="I241">
        <v>1027081200</v>
      </c>
      <c r="J241">
        <v>4691995400</v>
      </c>
      <c r="K241">
        <v>4.5682808720478896</v>
      </c>
      <c r="L241">
        <v>6270800</v>
      </c>
      <c r="M241">
        <v>372961700</v>
      </c>
      <c r="N241">
        <v>236321800</v>
      </c>
      <c r="O241">
        <v>609283500</v>
      </c>
      <c r="P241">
        <v>155800</v>
      </c>
      <c r="Q241">
        <v>277144400</v>
      </c>
      <c r="R241">
        <v>277300200</v>
      </c>
      <c r="S241">
        <v>2149100</v>
      </c>
      <c r="T241">
        <v>81185700</v>
      </c>
      <c r="U241">
        <v>1086226400</v>
      </c>
      <c r="V241">
        <v>1909262000</v>
      </c>
      <c r="W241">
        <v>859800</v>
      </c>
      <c r="X241">
        <v>1027081200</v>
      </c>
    </row>
    <row r="242" spans="1:24" x14ac:dyDescent="0.3">
      <c r="A242">
        <v>66</v>
      </c>
      <c r="B242">
        <v>262144</v>
      </c>
      <c r="C242">
        <v>3</v>
      </c>
      <c r="D242">
        <v>64</v>
      </c>
      <c r="E242">
        <v>0.95</v>
      </c>
      <c r="F242">
        <v>12</v>
      </c>
      <c r="G242">
        <v>8191</v>
      </c>
      <c r="H242">
        <v>24488</v>
      </c>
      <c r="I242">
        <v>877539700</v>
      </c>
      <c r="J242">
        <v>3598857900</v>
      </c>
      <c r="K242">
        <v>4.1010770224982398</v>
      </c>
      <c r="L242">
        <v>3154900</v>
      </c>
      <c r="M242">
        <v>430987300</v>
      </c>
      <c r="N242">
        <v>78156300</v>
      </c>
      <c r="O242">
        <v>509143600</v>
      </c>
      <c r="P242">
        <v>123800</v>
      </c>
      <c r="Q242">
        <v>230104000</v>
      </c>
      <c r="R242">
        <v>230227800</v>
      </c>
      <c r="S242">
        <v>2081100</v>
      </c>
      <c r="T242">
        <v>84019000</v>
      </c>
      <c r="U242">
        <v>345523500</v>
      </c>
      <c r="V242">
        <v>1463939600</v>
      </c>
      <c r="W242">
        <v>816400</v>
      </c>
      <c r="X242">
        <v>877539700</v>
      </c>
    </row>
    <row r="243" spans="1:24" x14ac:dyDescent="0.3">
      <c r="A243">
        <v>67</v>
      </c>
      <c r="B243">
        <v>262144</v>
      </c>
      <c r="C243">
        <v>4</v>
      </c>
      <c r="D243">
        <v>125</v>
      </c>
      <c r="E243">
        <v>0.2</v>
      </c>
      <c r="F243">
        <v>12</v>
      </c>
      <c r="G243">
        <v>8191</v>
      </c>
      <c r="H243" s="1">
        <v>2184384</v>
      </c>
      <c r="I243">
        <v>46717566000</v>
      </c>
      <c r="J243">
        <v>285383248600</v>
      </c>
      <c r="K243">
        <v>6.1086925761500499</v>
      </c>
      <c r="L243">
        <v>366388800</v>
      </c>
      <c r="M243">
        <v>559967100</v>
      </c>
      <c r="N243">
        <v>26361556700</v>
      </c>
      <c r="O243">
        <v>26921523800</v>
      </c>
      <c r="P243">
        <v>8280900</v>
      </c>
      <c r="Q243">
        <v>19193256100</v>
      </c>
      <c r="R243">
        <v>19201537000</v>
      </c>
      <c r="S243">
        <v>2433400</v>
      </c>
      <c r="T243">
        <v>423154300</v>
      </c>
      <c r="U243">
        <v>151724757800</v>
      </c>
      <c r="V243">
        <v>129972664300</v>
      </c>
      <c r="W243">
        <v>918700</v>
      </c>
      <c r="X243">
        <v>46717566000</v>
      </c>
    </row>
    <row r="244" spans="1:24" x14ac:dyDescent="0.3">
      <c r="A244">
        <v>68</v>
      </c>
      <c r="B244">
        <v>262144</v>
      </c>
      <c r="C244">
        <v>4</v>
      </c>
      <c r="D244">
        <v>125</v>
      </c>
      <c r="E244">
        <v>0.35</v>
      </c>
      <c r="F244">
        <v>12</v>
      </c>
      <c r="G244">
        <v>8191</v>
      </c>
      <c r="H244">
        <v>489204</v>
      </c>
      <c r="I244">
        <v>13345192000</v>
      </c>
      <c r="J244">
        <v>76759098300</v>
      </c>
      <c r="K244">
        <v>5.7518167067210397</v>
      </c>
      <c r="L244">
        <v>84717400</v>
      </c>
      <c r="M244">
        <v>722686800</v>
      </c>
      <c r="N244">
        <v>7581527900</v>
      </c>
      <c r="O244">
        <v>8304214700</v>
      </c>
      <c r="P244">
        <v>1241400</v>
      </c>
      <c r="Q244">
        <v>4265882700</v>
      </c>
      <c r="R244">
        <v>4267124100</v>
      </c>
      <c r="S244">
        <v>2102100</v>
      </c>
      <c r="T244">
        <v>87932600</v>
      </c>
      <c r="U244">
        <v>43884434700</v>
      </c>
      <c r="V244">
        <v>29275653600</v>
      </c>
      <c r="W244">
        <v>875900</v>
      </c>
      <c r="X244">
        <v>13345192000</v>
      </c>
    </row>
    <row r="245" spans="1:24" x14ac:dyDescent="0.3">
      <c r="A245">
        <v>69</v>
      </c>
      <c r="B245">
        <v>262144</v>
      </c>
      <c r="C245">
        <v>4</v>
      </c>
      <c r="D245">
        <v>125</v>
      </c>
      <c r="E245">
        <v>0.5</v>
      </c>
      <c r="F245">
        <v>12</v>
      </c>
      <c r="G245">
        <v>8191</v>
      </c>
      <c r="H245">
        <v>172964</v>
      </c>
      <c r="I245">
        <v>6414230300</v>
      </c>
      <c r="J245">
        <v>33362223000</v>
      </c>
      <c r="K245">
        <v>5.20128237366219</v>
      </c>
      <c r="L245">
        <v>38412000</v>
      </c>
      <c r="M245">
        <v>768200300</v>
      </c>
      <c r="N245">
        <v>3409706200</v>
      </c>
      <c r="O245">
        <v>4177906500</v>
      </c>
      <c r="P245">
        <v>554300</v>
      </c>
      <c r="Q245">
        <v>1509171200</v>
      </c>
      <c r="R245">
        <v>1509725500</v>
      </c>
      <c r="S245">
        <v>2311700</v>
      </c>
      <c r="T245">
        <v>85683600</v>
      </c>
      <c r="U245">
        <v>19524238900</v>
      </c>
      <c r="V245">
        <v>10290019000</v>
      </c>
      <c r="W245">
        <v>849400</v>
      </c>
      <c r="X245">
        <v>6414230300</v>
      </c>
    </row>
    <row r="246" spans="1:24" x14ac:dyDescent="0.3">
      <c r="A246">
        <v>70</v>
      </c>
      <c r="B246">
        <v>262144</v>
      </c>
      <c r="C246">
        <v>4</v>
      </c>
      <c r="D246">
        <v>125</v>
      </c>
      <c r="E246">
        <v>0.65</v>
      </c>
      <c r="F246">
        <v>12</v>
      </c>
      <c r="G246">
        <v>8191</v>
      </c>
      <c r="H246">
        <v>69068</v>
      </c>
      <c r="I246">
        <v>3356827200</v>
      </c>
      <c r="J246">
        <v>14986907700</v>
      </c>
      <c r="K246">
        <v>4.4646050592059003</v>
      </c>
      <c r="L246">
        <v>11995900</v>
      </c>
      <c r="M246">
        <v>796324500</v>
      </c>
      <c r="N246">
        <v>1259399600</v>
      </c>
      <c r="O246">
        <v>2055724100</v>
      </c>
      <c r="P246">
        <v>231100</v>
      </c>
      <c r="Q246">
        <v>604254500</v>
      </c>
      <c r="R246">
        <v>604485600</v>
      </c>
      <c r="S246">
        <v>2110800</v>
      </c>
      <c r="T246">
        <v>84370600</v>
      </c>
      <c r="U246">
        <v>7348565300</v>
      </c>
      <c r="V246">
        <v>4125731900</v>
      </c>
      <c r="W246">
        <v>882400</v>
      </c>
      <c r="X246">
        <v>3356827200</v>
      </c>
    </row>
    <row r="247" spans="1:24" x14ac:dyDescent="0.3">
      <c r="A247">
        <v>71</v>
      </c>
      <c r="B247">
        <v>262144</v>
      </c>
      <c r="C247">
        <v>4</v>
      </c>
      <c r="D247">
        <v>125</v>
      </c>
      <c r="E247">
        <v>0.8</v>
      </c>
      <c r="F247">
        <v>12</v>
      </c>
      <c r="G247">
        <v>8191</v>
      </c>
      <c r="H247">
        <v>32464</v>
      </c>
      <c r="I247">
        <v>2679301600</v>
      </c>
      <c r="J247">
        <v>9691604600</v>
      </c>
      <c r="K247">
        <v>3.6172130080465701</v>
      </c>
      <c r="L247">
        <v>5897000</v>
      </c>
      <c r="M247">
        <v>806573000</v>
      </c>
      <c r="N247">
        <v>731186800</v>
      </c>
      <c r="O247">
        <v>1537759800</v>
      </c>
      <c r="P247">
        <v>183100</v>
      </c>
      <c r="Q247">
        <v>290709100</v>
      </c>
      <c r="R247">
        <v>290892200</v>
      </c>
      <c r="S247">
        <v>2141900</v>
      </c>
      <c r="T247">
        <v>92253500</v>
      </c>
      <c r="U247">
        <v>4188698600</v>
      </c>
      <c r="V247">
        <v>1942059600</v>
      </c>
      <c r="W247">
        <v>863700</v>
      </c>
      <c r="X247">
        <v>2679301600</v>
      </c>
    </row>
    <row r="248" spans="1:24" x14ac:dyDescent="0.3">
      <c r="A248">
        <v>72</v>
      </c>
      <c r="B248">
        <v>262144</v>
      </c>
      <c r="C248">
        <v>4</v>
      </c>
      <c r="D248">
        <v>125</v>
      </c>
      <c r="E248">
        <v>0.95</v>
      </c>
      <c r="F248">
        <v>12</v>
      </c>
      <c r="G248">
        <v>8191</v>
      </c>
      <c r="H248">
        <v>24504</v>
      </c>
      <c r="I248">
        <v>1523097600</v>
      </c>
      <c r="J248">
        <v>6185312700</v>
      </c>
      <c r="K248">
        <v>4.0610087626689104</v>
      </c>
      <c r="L248">
        <v>3470100</v>
      </c>
      <c r="M248">
        <v>854894500</v>
      </c>
      <c r="N248">
        <v>218472700</v>
      </c>
      <c r="O248">
        <v>1073367200</v>
      </c>
      <c r="P248">
        <v>147700</v>
      </c>
      <c r="Q248">
        <v>217309200</v>
      </c>
      <c r="R248">
        <v>217456900</v>
      </c>
      <c r="S248">
        <v>2303900</v>
      </c>
      <c r="T248">
        <v>89929700</v>
      </c>
      <c r="U248">
        <v>1249996400</v>
      </c>
      <c r="V248">
        <v>1465470900</v>
      </c>
      <c r="W248">
        <v>866200</v>
      </c>
      <c r="X248">
        <v>1523097600</v>
      </c>
    </row>
    <row r="249" spans="1:24" x14ac:dyDescent="0.3">
      <c r="A249">
        <v>73</v>
      </c>
      <c r="B249">
        <v>262144</v>
      </c>
      <c r="C249">
        <v>5</v>
      </c>
      <c r="D249">
        <v>216</v>
      </c>
      <c r="E249">
        <v>0.2</v>
      </c>
      <c r="F249">
        <v>11</v>
      </c>
      <c r="G249">
        <v>4095</v>
      </c>
      <c r="H249">
        <v>941196</v>
      </c>
      <c r="I249">
        <v>65253475400</v>
      </c>
      <c r="J249">
        <v>384024593000</v>
      </c>
      <c r="K249">
        <v>5.8851209172530901</v>
      </c>
      <c r="L249">
        <v>141765500</v>
      </c>
      <c r="M249">
        <v>1681394400</v>
      </c>
      <c r="N249">
        <v>31300588800</v>
      </c>
      <c r="O249">
        <v>32981983200</v>
      </c>
      <c r="P249">
        <v>2636100</v>
      </c>
      <c r="Q249">
        <v>31823951300</v>
      </c>
      <c r="R249">
        <v>31826587400</v>
      </c>
      <c r="S249">
        <v>2718000</v>
      </c>
      <c r="T249">
        <v>76919100</v>
      </c>
      <c r="U249">
        <v>148204462500</v>
      </c>
      <c r="V249">
        <v>231157636300</v>
      </c>
      <c r="W249">
        <v>892400</v>
      </c>
      <c r="X249">
        <v>65253475400</v>
      </c>
    </row>
    <row r="250" spans="1:24" x14ac:dyDescent="0.3">
      <c r="A250">
        <v>74</v>
      </c>
      <c r="B250">
        <v>262144</v>
      </c>
      <c r="C250">
        <v>5</v>
      </c>
      <c r="D250">
        <v>216</v>
      </c>
      <c r="E250">
        <v>0.35</v>
      </c>
      <c r="F250">
        <v>11</v>
      </c>
      <c r="G250">
        <v>4095</v>
      </c>
      <c r="H250">
        <v>213308</v>
      </c>
      <c r="I250">
        <v>22163129500</v>
      </c>
      <c r="J250">
        <v>116662811000</v>
      </c>
      <c r="K250">
        <v>5.2638239107884104</v>
      </c>
      <c r="L250">
        <v>42547600</v>
      </c>
      <c r="M250">
        <v>1617108400</v>
      </c>
      <c r="N250">
        <v>12572669300</v>
      </c>
      <c r="O250">
        <v>14189777700</v>
      </c>
      <c r="P250">
        <v>671100</v>
      </c>
      <c r="Q250">
        <v>7165855400</v>
      </c>
      <c r="R250">
        <v>7166526500</v>
      </c>
      <c r="S250">
        <v>2100100</v>
      </c>
      <c r="T250">
        <v>81849400</v>
      </c>
      <c r="U250">
        <v>59634459600</v>
      </c>
      <c r="V250">
        <v>52426872100</v>
      </c>
      <c r="W250">
        <v>899300</v>
      </c>
      <c r="X250">
        <v>22163129500</v>
      </c>
    </row>
    <row r="251" spans="1:24" x14ac:dyDescent="0.3">
      <c r="A251">
        <v>75</v>
      </c>
      <c r="B251">
        <v>262144</v>
      </c>
      <c r="C251">
        <v>5</v>
      </c>
      <c r="D251">
        <v>216</v>
      </c>
      <c r="E251">
        <v>0.5</v>
      </c>
      <c r="F251">
        <v>11</v>
      </c>
      <c r="G251">
        <v>4095</v>
      </c>
      <c r="H251">
        <v>85116</v>
      </c>
      <c r="I251">
        <v>10358889400</v>
      </c>
      <c r="J251">
        <v>50488276600</v>
      </c>
      <c r="K251">
        <v>4.8739082589297604</v>
      </c>
      <c r="L251">
        <v>14664700</v>
      </c>
      <c r="M251">
        <v>1534126500</v>
      </c>
      <c r="N251">
        <v>5194120600</v>
      </c>
      <c r="O251">
        <v>6728247100</v>
      </c>
      <c r="P251">
        <v>281600</v>
      </c>
      <c r="Q251">
        <v>2853409300</v>
      </c>
      <c r="R251">
        <v>2853690900</v>
      </c>
      <c r="S251">
        <v>2252400</v>
      </c>
      <c r="T251">
        <v>89590200</v>
      </c>
      <c r="U251">
        <v>24877763900</v>
      </c>
      <c r="V251">
        <v>21023001000</v>
      </c>
      <c r="W251">
        <v>860400</v>
      </c>
      <c r="X251">
        <v>10358889400</v>
      </c>
    </row>
    <row r="252" spans="1:24" x14ac:dyDescent="0.3">
      <c r="A252">
        <v>76</v>
      </c>
      <c r="B252">
        <v>262144</v>
      </c>
      <c r="C252">
        <v>5</v>
      </c>
      <c r="D252">
        <v>216</v>
      </c>
      <c r="E252">
        <v>0.65</v>
      </c>
      <c r="F252">
        <v>11</v>
      </c>
      <c r="G252">
        <v>4095</v>
      </c>
      <c r="H252">
        <v>30816</v>
      </c>
      <c r="I252">
        <v>5509780600</v>
      </c>
      <c r="J252">
        <v>22502529800</v>
      </c>
      <c r="K252">
        <v>4.0841063253952399</v>
      </c>
      <c r="L252">
        <v>6693400</v>
      </c>
      <c r="M252">
        <v>1531693700</v>
      </c>
      <c r="N252">
        <v>2166468300</v>
      </c>
      <c r="O252">
        <v>3698162000</v>
      </c>
      <c r="P252">
        <v>165300</v>
      </c>
      <c r="Q252">
        <v>1042889000</v>
      </c>
      <c r="R252">
        <v>1043054300</v>
      </c>
      <c r="S252">
        <v>2147100</v>
      </c>
      <c r="T252">
        <v>90020700</v>
      </c>
      <c r="U252">
        <v>10275008200</v>
      </c>
      <c r="V252">
        <v>7574137300</v>
      </c>
      <c r="W252">
        <v>858800</v>
      </c>
      <c r="X252">
        <v>5509780600</v>
      </c>
    </row>
    <row r="253" spans="1:24" x14ac:dyDescent="0.3">
      <c r="A253">
        <v>77</v>
      </c>
      <c r="B253">
        <v>262144</v>
      </c>
      <c r="C253">
        <v>5</v>
      </c>
      <c r="D253">
        <v>216</v>
      </c>
      <c r="E253">
        <v>0.8</v>
      </c>
      <c r="F253">
        <v>11</v>
      </c>
      <c r="G253">
        <v>4095</v>
      </c>
      <c r="H253">
        <v>15232</v>
      </c>
      <c r="I253">
        <v>4124199200</v>
      </c>
      <c r="J253">
        <v>14685762300</v>
      </c>
      <c r="K253">
        <v>3.56087608474391</v>
      </c>
      <c r="L253">
        <v>2969400</v>
      </c>
      <c r="M253">
        <v>1539958700</v>
      </c>
      <c r="N253">
        <v>1299469800</v>
      </c>
      <c r="O253">
        <v>2839428500</v>
      </c>
      <c r="P253">
        <v>155000</v>
      </c>
      <c r="Q253">
        <v>519836200</v>
      </c>
      <c r="R253">
        <v>519991200</v>
      </c>
      <c r="S253">
        <v>2248600</v>
      </c>
      <c r="T253">
        <v>84468600</v>
      </c>
      <c r="U253">
        <v>6222623600</v>
      </c>
      <c r="V253">
        <v>3764569200</v>
      </c>
      <c r="W253">
        <v>899800</v>
      </c>
      <c r="X253">
        <v>4124199200</v>
      </c>
    </row>
    <row r="254" spans="1:24" x14ac:dyDescent="0.3">
      <c r="A254">
        <v>78</v>
      </c>
      <c r="B254">
        <v>262144</v>
      </c>
      <c r="C254">
        <v>5</v>
      </c>
      <c r="D254">
        <v>216</v>
      </c>
      <c r="E254">
        <v>0.95</v>
      </c>
      <c r="F254">
        <v>11</v>
      </c>
      <c r="G254">
        <v>4095</v>
      </c>
      <c r="H254">
        <v>8192</v>
      </c>
      <c r="I254">
        <v>3191611800</v>
      </c>
      <c r="J254">
        <v>8728155300</v>
      </c>
      <c r="K254">
        <v>2.7347170793139601</v>
      </c>
      <c r="L254">
        <v>1408000</v>
      </c>
      <c r="M254">
        <v>1520850700</v>
      </c>
      <c r="N254">
        <v>451172800</v>
      </c>
      <c r="O254">
        <v>1972023500</v>
      </c>
      <c r="P254">
        <v>135900</v>
      </c>
      <c r="Q254">
        <v>283822600</v>
      </c>
      <c r="R254">
        <v>283958500</v>
      </c>
      <c r="S254">
        <v>2085900</v>
      </c>
      <c r="T254">
        <v>84318700</v>
      </c>
      <c r="U254">
        <v>2145124200</v>
      </c>
      <c r="V254">
        <v>2014885700</v>
      </c>
      <c r="W254">
        <v>867200</v>
      </c>
      <c r="X254">
        <v>3191611800</v>
      </c>
    </row>
    <row r="255" spans="1:24" x14ac:dyDescent="0.3">
      <c r="A255">
        <v>79</v>
      </c>
      <c r="B255">
        <v>262144</v>
      </c>
      <c r="C255">
        <v>6</v>
      </c>
      <c r="D255">
        <v>343</v>
      </c>
      <c r="E255">
        <v>0.2</v>
      </c>
      <c r="F255">
        <v>10</v>
      </c>
      <c r="G255">
        <v>2047</v>
      </c>
      <c r="H255">
        <v>335160</v>
      </c>
      <c r="I255">
        <v>87340900800</v>
      </c>
      <c r="J255">
        <v>529825357900</v>
      </c>
      <c r="K255">
        <v>6.0661769348272996</v>
      </c>
      <c r="L255">
        <v>56777800</v>
      </c>
      <c r="M255">
        <v>3681392600</v>
      </c>
      <c r="N255">
        <v>37941274700</v>
      </c>
      <c r="O255">
        <v>41622667300</v>
      </c>
      <c r="P255">
        <v>954700</v>
      </c>
      <c r="Q255">
        <v>45265250900</v>
      </c>
      <c r="R255">
        <v>45266205600</v>
      </c>
      <c r="S255">
        <v>2172700</v>
      </c>
      <c r="T255">
        <v>70612400</v>
      </c>
      <c r="U255">
        <v>178159320300</v>
      </c>
      <c r="V255">
        <v>346010346600</v>
      </c>
      <c r="W255">
        <v>866700</v>
      </c>
      <c r="X255">
        <v>87340900800</v>
      </c>
    </row>
    <row r="256" spans="1:24" x14ac:dyDescent="0.3">
      <c r="A256">
        <v>80</v>
      </c>
      <c r="B256">
        <v>262144</v>
      </c>
      <c r="C256">
        <v>6</v>
      </c>
      <c r="D256">
        <v>343</v>
      </c>
      <c r="E256">
        <v>0.35</v>
      </c>
      <c r="F256">
        <v>10</v>
      </c>
      <c r="G256">
        <v>2047</v>
      </c>
      <c r="H256">
        <v>92208</v>
      </c>
      <c r="I256">
        <v>32217878100</v>
      </c>
      <c r="J256">
        <v>173754287900</v>
      </c>
      <c r="K256">
        <v>5.3931015370003497</v>
      </c>
      <c r="L256">
        <v>16248700</v>
      </c>
      <c r="M256">
        <v>3568083000</v>
      </c>
      <c r="N256">
        <v>15398133100</v>
      </c>
      <c r="O256">
        <v>18966216100</v>
      </c>
      <c r="P256">
        <v>204200</v>
      </c>
      <c r="Q256">
        <v>12387335200</v>
      </c>
      <c r="R256">
        <v>12387539400</v>
      </c>
      <c r="S256">
        <v>2496300</v>
      </c>
      <c r="T256">
        <v>77105100</v>
      </c>
      <c r="U256">
        <v>72825636900</v>
      </c>
      <c r="V256">
        <v>95344423000</v>
      </c>
      <c r="W256">
        <v>926900</v>
      </c>
      <c r="X256">
        <v>32217878100</v>
      </c>
    </row>
    <row r="257" spans="1:24" x14ac:dyDescent="0.3">
      <c r="A257">
        <v>81</v>
      </c>
      <c r="B257">
        <v>262144</v>
      </c>
      <c r="C257">
        <v>6</v>
      </c>
      <c r="D257">
        <v>343</v>
      </c>
      <c r="E257">
        <v>0.5</v>
      </c>
      <c r="F257">
        <v>10</v>
      </c>
      <c r="G257">
        <v>2047</v>
      </c>
      <c r="H257">
        <v>34764</v>
      </c>
      <c r="I257">
        <v>15802812500</v>
      </c>
      <c r="J257">
        <v>73499760400</v>
      </c>
      <c r="K257">
        <v>4.6510556522770798</v>
      </c>
      <c r="L257">
        <v>6810700</v>
      </c>
      <c r="M257">
        <v>3573679900</v>
      </c>
      <c r="N257">
        <v>6715821300</v>
      </c>
      <c r="O257">
        <v>10289501200</v>
      </c>
      <c r="P257">
        <v>156000</v>
      </c>
      <c r="Q257">
        <v>4659272300</v>
      </c>
      <c r="R257">
        <v>4659428300</v>
      </c>
      <c r="S257">
        <v>2711300</v>
      </c>
      <c r="T257">
        <v>77656700</v>
      </c>
      <c r="U257">
        <v>31983762200</v>
      </c>
      <c r="V257">
        <v>35810473900</v>
      </c>
      <c r="W257">
        <v>842100</v>
      </c>
      <c r="X257">
        <v>15802812500</v>
      </c>
    </row>
    <row r="258" spans="1:24" x14ac:dyDescent="0.3">
      <c r="A258">
        <v>82</v>
      </c>
      <c r="B258">
        <v>262144</v>
      </c>
      <c r="C258">
        <v>6</v>
      </c>
      <c r="D258">
        <v>343</v>
      </c>
      <c r="E258">
        <v>0.65</v>
      </c>
      <c r="F258">
        <v>10</v>
      </c>
      <c r="G258">
        <v>2047</v>
      </c>
      <c r="H258">
        <v>12300</v>
      </c>
      <c r="I258">
        <v>9213484200</v>
      </c>
      <c r="J258">
        <v>33087045600</v>
      </c>
      <c r="K258">
        <v>3.5911545384752399</v>
      </c>
      <c r="L258">
        <v>2627000</v>
      </c>
      <c r="M258">
        <v>3602975100</v>
      </c>
      <c r="N258">
        <v>3095169500</v>
      </c>
      <c r="O258">
        <v>6698144600</v>
      </c>
      <c r="P258">
        <v>101900</v>
      </c>
      <c r="Q258">
        <v>1665594000</v>
      </c>
      <c r="R258">
        <v>1665695900</v>
      </c>
      <c r="S258">
        <v>2044400</v>
      </c>
      <c r="T258">
        <v>73235700</v>
      </c>
      <c r="U258">
        <v>14509779400</v>
      </c>
      <c r="V258">
        <v>12838328000</v>
      </c>
      <c r="W258">
        <v>919600</v>
      </c>
      <c r="X258">
        <v>9213484200</v>
      </c>
    </row>
    <row r="259" spans="1:24" x14ac:dyDescent="0.3">
      <c r="A259">
        <v>83</v>
      </c>
      <c r="B259">
        <v>262144</v>
      </c>
      <c r="C259">
        <v>6</v>
      </c>
      <c r="D259">
        <v>343</v>
      </c>
      <c r="E259">
        <v>0.8</v>
      </c>
      <c r="F259">
        <v>10</v>
      </c>
      <c r="G259">
        <v>2047</v>
      </c>
      <c r="H259">
        <v>7692</v>
      </c>
      <c r="I259">
        <v>7369009000</v>
      </c>
      <c r="J259">
        <v>22391529900</v>
      </c>
      <c r="K259">
        <v>3.0386080272123399</v>
      </c>
      <c r="L259">
        <v>1912400</v>
      </c>
      <c r="M259">
        <v>3600992700</v>
      </c>
      <c r="N259">
        <v>1873865900</v>
      </c>
      <c r="O259">
        <v>5474858600</v>
      </c>
      <c r="P259">
        <v>81500</v>
      </c>
      <c r="Q259">
        <v>1043094700</v>
      </c>
      <c r="R259">
        <v>1043176200</v>
      </c>
      <c r="S259">
        <v>2108200</v>
      </c>
      <c r="T259">
        <v>86571200</v>
      </c>
      <c r="U259">
        <v>8808121300</v>
      </c>
      <c r="V259">
        <v>7943106000</v>
      </c>
      <c r="W259">
        <v>937500</v>
      </c>
      <c r="X259">
        <v>7369009000</v>
      </c>
    </row>
    <row r="260" spans="1:24" x14ac:dyDescent="0.3">
      <c r="A260">
        <v>84</v>
      </c>
      <c r="B260">
        <v>262144</v>
      </c>
      <c r="C260">
        <v>6</v>
      </c>
      <c r="D260">
        <v>343</v>
      </c>
      <c r="E260">
        <v>0.95</v>
      </c>
      <c r="F260">
        <v>10</v>
      </c>
      <c r="G260">
        <v>2047</v>
      </c>
      <c r="H260">
        <v>2048</v>
      </c>
      <c r="I260">
        <v>5879786900</v>
      </c>
      <c r="J260">
        <v>13204822100</v>
      </c>
      <c r="K260">
        <v>2.2457994353502801</v>
      </c>
      <c r="L260">
        <v>778900</v>
      </c>
      <c r="M260">
        <v>3607237000</v>
      </c>
      <c r="N260">
        <v>1146264300</v>
      </c>
      <c r="O260">
        <v>4753501300</v>
      </c>
      <c r="P260">
        <v>88000</v>
      </c>
      <c r="Q260">
        <v>284942300</v>
      </c>
      <c r="R260">
        <v>285030300</v>
      </c>
      <c r="S260">
        <v>2113900</v>
      </c>
      <c r="T260">
        <v>72569200</v>
      </c>
      <c r="U260">
        <v>5353163400</v>
      </c>
      <c r="V260">
        <v>2139667100</v>
      </c>
      <c r="W260">
        <v>872600</v>
      </c>
      <c r="X260">
        <v>5879786900</v>
      </c>
    </row>
    <row r="261" spans="1:24" x14ac:dyDescent="0.3">
      <c r="A261">
        <v>85</v>
      </c>
      <c r="B261">
        <v>262144</v>
      </c>
      <c r="C261">
        <v>7</v>
      </c>
      <c r="D261">
        <v>512</v>
      </c>
      <c r="E261">
        <v>0.2</v>
      </c>
      <c r="F261">
        <v>9</v>
      </c>
      <c r="G261">
        <v>1023</v>
      </c>
      <c r="H261">
        <v>164568</v>
      </c>
      <c r="I261">
        <v>108191897500</v>
      </c>
      <c r="J261">
        <v>793620440600</v>
      </c>
      <c r="K261">
        <v>7.3353038345593298</v>
      </c>
      <c r="L261">
        <v>22840200</v>
      </c>
      <c r="M261">
        <v>4304292900</v>
      </c>
      <c r="N261">
        <v>13621011200</v>
      </c>
      <c r="O261">
        <v>17925304100</v>
      </c>
      <c r="P261">
        <v>586500</v>
      </c>
      <c r="Q261">
        <v>89233799900</v>
      </c>
      <c r="R261">
        <v>89234386400</v>
      </c>
      <c r="S261">
        <v>2727500</v>
      </c>
      <c r="T261">
        <v>72420400</v>
      </c>
      <c r="U261">
        <v>72393824700</v>
      </c>
      <c r="V261">
        <v>714700981900</v>
      </c>
      <c r="W261">
        <v>863800</v>
      </c>
      <c r="X261">
        <v>108191897500</v>
      </c>
    </row>
    <row r="262" spans="1:24" x14ac:dyDescent="0.3">
      <c r="A262">
        <v>86</v>
      </c>
      <c r="B262">
        <v>262144</v>
      </c>
      <c r="C262">
        <v>7</v>
      </c>
      <c r="D262">
        <v>512</v>
      </c>
      <c r="E262">
        <v>0.35</v>
      </c>
      <c r="F262">
        <v>9</v>
      </c>
      <c r="G262">
        <v>1023</v>
      </c>
      <c r="H262">
        <v>49516</v>
      </c>
      <c r="I262">
        <v>40949939000</v>
      </c>
      <c r="J262">
        <v>267105502600</v>
      </c>
      <c r="K262">
        <v>6.5227326126175598</v>
      </c>
      <c r="L262">
        <v>6913100</v>
      </c>
      <c r="M262">
        <v>4291160300</v>
      </c>
      <c r="N262">
        <v>9137678900</v>
      </c>
      <c r="O262">
        <v>13428839200</v>
      </c>
      <c r="P262">
        <v>189200</v>
      </c>
      <c r="Q262">
        <v>26670121100</v>
      </c>
      <c r="R262">
        <v>26670310300</v>
      </c>
      <c r="S262">
        <v>2155100</v>
      </c>
      <c r="T262">
        <v>64155200</v>
      </c>
      <c r="U262">
        <v>48629466000</v>
      </c>
      <c r="V262">
        <v>211904819200</v>
      </c>
      <c r="W262">
        <v>886900</v>
      </c>
      <c r="X262">
        <v>40949939000</v>
      </c>
    </row>
    <row r="263" spans="1:24" x14ac:dyDescent="0.3">
      <c r="A263">
        <v>87</v>
      </c>
      <c r="B263">
        <v>262144</v>
      </c>
      <c r="C263">
        <v>7</v>
      </c>
      <c r="D263">
        <v>512</v>
      </c>
      <c r="E263">
        <v>0.5</v>
      </c>
      <c r="F263">
        <v>9</v>
      </c>
      <c r="G263">
        <v>1023</v>
      </c>
      <c r="H263">
        <v>19556</v>
      </c>
      <c r="I263">
        <v>20944203000</v>
      </c>
      <c r="J263">
        <v>118529282800</v>
      </c>
      <c r="K263">
        <v>5.6592882908936604</v>
      </c>
      <c r="L263">
        <v>3140400</v>
      </c>
      <c r="M263">
        <v>4288699200</v>
      </c>
      <c r="N263">
        <v>5294006500</v>
      </c>
      <c r="O263">
        <v>9582705700</v>
      </c>
      <c r="P263">
        <v>137800</v>
      </c>
      <c r="Q263">
        <v>10508918500</v>
      </c>
      <c r="R263">
        <v>10509056300</v>
      </c>
      <c r="S263">
        <v>2390800</v>
      </c>
      <c r="T263">
        <v>63545400</v>
      </c>
      <c r="U263">
        <v>28384388300</v>
      </c>
      <c r="V263">
        <v>83618203600</v>
      </c>
      <c r="W263">
        <v>891100</v>
      </c>
      <c r="X263">
        <v>20944203000</v>
      </c>
    </row>
    <row r="264" spans="1:24" x14ac:dyDescent="0.3">
      <c r="A264">
        <v>88</v>
      </c>
      <c r="B264">
        <v>262144</v>
      </c>
      <c r="C264">
        <v>7</v>
      </c>
      <c r="D264">
        <v>512</v>
      </c>
      <c r="E264">
        <v>0.65</v>
      </c>
      <c r="F264">
        <v>9</v>
      </c>
      <c r="G264">
        <v>1023</v>
      </c>
      <c r="H264">
        <v>8788</v>
      </c>
      <c r="I264">
        <v>12150371000</v>
      </c>
      <c r="J264">
        <v>56565772300</v>
      </c>
      <c r="K264">
        <v>4.6554769644482397</v>
      </c>
      <c r="L264">
        <v>1525000</v>
      </c>
      <c r="M264">
        <v>4293691100</v>
      </c>
      <c r="N264">
        <v>2307379000</v>
      </c>
      <c r="O264">
        <v>6601070100</v>
      </c>
      <c r="P264">
        <v>81300</v>
      </c>
      <c r="Q264">
        <v>4706216800</v>
      </c>
      <c r="R264">
        <v>4706298100</v>
      </c>
      <c r="S264">
        <v>2192400</v>
      </c>
      <c r="T264">
        <v>70303200</v>
      </c>
      <c r="U264">
        <v>12333096000</v>
      </c>
      <c r="V264">
        <v>37657042400</v>
      </c>
      <c r="W264">
        <v>883900</v>
      </c>
      <c r="X264">
        <v>12150371000</v>
      </c>
    </row>
    <row r="265" spans="1:24" x14ac:dyDescent="0.3">
      <c r="A265">
        <v>89</v>
      </c>
      <c r="B265">
        <v>262144</v>
      </c>
      <c r="C265">
        <v>7</v>
      </c>
      <c r="D265">
        <v>512</v>
      </c>
      <c r="E265">
        <v>0.8</v>
      </c>
      <c r="F265">
        <v>9</v>
      </c>
      <c r="G265">
        <v>1023</v>
      </c>
      <c r="H265">
        <v>4732</v>
      </c>
      <c r="I265">
        <v>9032240600</v>
      </c>
      <c r="J265">
        <v>34004310400</v>
      </c>
      <c r="K265">
        <v>3.7647702165949801</v>
      </c>
      <c r="L265">
        <v>965200</v>
      </c>
      <c r="M265">
        <v>4326471600</v>
      </c>
      <c r="N265">
        <v>1296021200</v>
      </c>
      <c r="O265">
        <v>5622492800</v>
      </c>
      <c r="P265">
        <v>76300</v>
      </c>
      <c r="Q265">
        <v>2562169500</v>
      </c>
      <c r="R265">
        <v>2562245800</v>
      </c>
      <c r="S265">
        <v>2367100</v>
      </c>
      <c r="T265">
        <v>72534300</v>
      </c>
      <c r="U265">
        <v>6833376200</v>
      </c>
      <c r="V265">
        <v>20512798400</v>
      </c>
      <c r="W265">
        <v>960200</v>
      </c>
      <c r="X265">
        <v>9032240600</v>
      </c>
    </row>
    <row r="266" spans="1:24" x14ac:dyDescent="0.3">
      <c r="A266">
        <v>90</v>
      </c>
      <c r="B266">
        <v>262144</v>
      </c>
      <c r="C266">
        <v>7</v>
      </c>
      <c r="D266">
        <v>512</v>
      </c>
      <c r="E266">
        <v>0.95</v>
      </c>
      <c r="F266">
        <v>9</v>
      </c>
      <c r="G266">
        <v>1023</v>
      </c>
      <c r="H266">
        <v>3072</v>
      </c>
      <c r="I266">
        <v>7307622000</v>
      </c>
      <c r="J266">
        <v>22057325300</v>
      </c>
      <c r="K266">
        <v>3.0183998707103301</v>
      </c>
      <c r="L266">
        <v>435000</v>
      </c>
      <c r="M266">
        <v>4326482600</v>
      </c>
      <c r="N266">
        <v>467728100</v>
      </c>
      <c r="O266">
        <v>4794210700</v>
      </c>
      <c r="P266">
        <v>94000</v>
      </c>
      <c r="Q266">
        <v>1665494300</v>
      </c>
      <c r="R266">
        <v>1665588300</v>
      </c>
      <c r="S266">
        <v>2201000</v>
      </c>
      <c r="T266">
        <v>69343600</v>
      </c>
      <c r="U266">
        <v>2464105700</v>
      </c>
      <c r="V266">
        <v>13093158800</v>
      </c>
      <c r="W266">
        <v>873300</v>
      </c>
      <c r="X266">
        <v>7307622000</v>
      </c>
    </row>
    <row r="267" spans="1:24" x14ac:dyDescent="0.3">
      <c r="A267">
        <v>91</v>
      </c>
      <c r="B267">
        <v>524288</v>
      </c>
      <c r="C267">
        <v>3</v>
      </c>
      <c r="D267">
        <v>64</v>
      </c>
      <c r="E267">
        <v>0.2</v>
      </c>
      <c r="F267">
        <v>13</v>
      </c>
      <c r="G267">
        <v>16383</v>
      </c>
      <c r="H267" s="1">
        <v>3665924</v>
      </c>
      <c r="I267">
        <v>57903077400</v>
      </c>
      <c r="J267">
        <v>351349778500</v>
      </c>
      <c r="K267">
        <v>6.0678947350732599</v>
      </c>
      <c r="L267">
        <v>793407300</v>
      </c>
      <c r="M267">
        <v>20624500</v>
      </c>
      <c r="N267">
        <v>25253935500</v>
      </c>
      <c r="O267">
        <v>25274560000</v>
      </c>
      <c r="P267">
        <v>10059900</v>
      </c>
      <c r="Q267">
        <v>31044368900</v>
      </c>
      <c r="R267">
        <v>31054428800</v>
      </c>
      <c r="S267">
        <v>11193000</v>
      </c>
      <c r="T267">
        <v>193016000</v>
      </c>
      <c r="U267">
        <v>128974150900</v>
      </c>
      <c r="V267">
        <v>218788016400</v>
      </c>
      <c r="W267">
        <v>1815500</v>
      </c>
      <c r="X267">
        <v>57903077400</v>
      </c>
    </row>
    <row r="268" spans="1:24" x14ac:dyDescent="0.3">
      <c r="A268">
        <v>92</v>
      </c>
      <c r="B268">
        <v>524288</v>
      </c>
      <c r="C268">
        <v>3</v>
      </c>
      <c r="D268">
        <v>64</v>
      </c>
      <c r="E268">
        <v>0.35</v>
      </c>
      <c r="F268">
        <v>13</v>
      </c>
      <c r="G268">
        <v>16383</v>
      </c>
      <c r="H268">
        <v>828588</v>
      </c>
      <c r="I268">
        <v>14617888600</v>
      </c>
      <c r="J268">
        <v>85178675300</v>
      </c>
      <c r="K268">
        <v>5.82701631068662</v>
      </c>
      <c r="L268">
        <v>181923000</v>
      </c>
      <c r="M268">
        <v>397266000</v>
      </c>
      <c r="N268">
        <v>6283561100</v>
      </c>
      <c r="O268">
        <v>6680827100</v>
      </c>
      <c r="P268">
        <v>2066900</v>
      </c>
      <c r="Q268">
        <v>6967365400</v>
      </c>
      <c r="R268">
        <v>6969432300</v>
      </c>
      <c r="S268">
        <v>4666800</v>
      </c>
      <c r="T268">
        <v>193250100</v>
      </c>
      <c r="U268">
        <v>32369366800</v>
      </c>
      <c r="V268">
        <v>49608350900</v>
      </c>
      <c r="W268">
        <v>1784000</v>
      </c>
      <c r="X268">
        <v>14617888600</v>
      </c>
    </row>
    <row r="269" spans="1:24" x14ac:dyDescent="0.3">
      <c r="A269">
        <v>93</v>
      </c>
      <c r="B269">
        <v>524288</v>
      </c>
      <c r="C269">
        <v>3</v>
      </c>
      <c r="D269">
        <v>64</v>
      </c>
      <c r="E269">
        <v>0.5</v>
      </c>
      <c r="F269">
        <v>13</v>
      </c>
      <c r="G269">
        <v>16383</v>
      </c>
      <c r="H269">
        <v>301856</v>
      </c>
      <c r="I269">
        <v>6300328400</v>
      </c>
      <c r="J269">
        <v>33420434400</v>
      </c>
      <c r="K269">
        <v>5.3045543467226199</v>
      </c>
      <c r="L269">
        <v>71168400</v>
      </c>
      <c r="M269">
        <v>512983100</v>
      </c>
      <c r="N269">
        <v>2382186100</v>
      </c>
      <c r="O269">
        <v>2895169200</v>
      </c>
      <c r="P269">
        <v>824800</v>
      </c>
      <c r="Q269">
        <v>2556893500</v>
      </c>
      <c r="R269">
        <v>2557718300</v>
      </c>
      <c r="S269">
        <v>4408600</v>
      </c>
      <c r="T269">
        <v>242262800</v>
      </c>
      <c r="U269">
        <v>12126816700</v>
      </c>
      <c r="V269">
        <v>18052516200</v>
      </c>
      <c r="W269">
        <v>1784500</v>
      </c>
      <c r="X269">
        <v>6300328400</v>
      </c>
    </row>
    <row r="270" spans="1:24" x14ac:dyDescent="0.3">
      <c r="A270">
        <v>94</v>
      </c>
      <c r="B270">
        <v>524288</v>
      </c>
      <c r="C270">
        <v>3</v>
      </c>
      <c r="D270">
        <v>64</v>
      </c>
      <c r="E270">
        <v>0.65</v>
      </c>
      <c r="F270">
        <v>13</v>
      </c>
      <c r="G270">
        <v>16383</v>
      </c>
      <c r="H270">
        <v>101908</v>
      </c>
      <c r="I270">
        <v>3202112500</v>
      </c>
      <c r="J270">
        <v>14743173800</v>
      </c>
      <c r="K270">
        <v>4.6042023195624697</v>
      </c>
      <c r="L270">
        <v>27901100</v>
      </c>
      <c r="M270">
        <v>548697800</v>
      </c>
      <c r="N270">
        <v>963685100</v>
      </c>
      <c r="O270">
        <v>1512382900</v>
      </c>
      <c r="P270">
        <v>381400</v>
      </c>
      <c r="Q270">
        <v>874089500</v>
      </c>
      <c r="R270">
        <v>874470900</v>
      </c>
      <c r="S270">
        <v>4002400</v>
      </c>
      <c r="T270">
        <v>500374700</v>
      </c>
      <c r="U270">
        <v>4969582400</v>
      </c>
      <c r="V270">
        <v>6157956900</v>
      </c>
      <c r="W270">
        <v>1792300</v>
      </c>
      <c r="X270">
        <v>3202112500</v>
      </c>
    </row>
    <row r="271" spans="1:24" x14ac:dyDescent="0.3">
      <c r="A271">
        <v>95</v>
      </c>
      <c r="B271">
        <v>524288</v>
      </c>
      <c r="C271">
        <v>3</v>
      </c>
      <c r="D271">
        <v>64</v>
      </c>
      <c r="E271">
        <v>0.8</v>
      </c>
      <c r="F271">
        <v>13</v>
      </c>
      <c r="G271">
        <v>16383</v>
      </c>
      <c r="H271">
        <v>55008</v>
      </c>
      <c r="I271">
        <v>2548461500</v>
      </c>
      <c r="J271">
        <v>9093425800</v>
      </c>
      <c r="K271">
        <v>3.5682021486296698</v>
      </c>
      <c r="L271">
        <v>11965200</v>
      </c>
      <c r="M271">
        <v>564648600</v>
      </c>
      <c r="N271">
        <v>519376600</v>
      </c>
      <c r="O271">
        <v>1084025200</v>
      </c>
      <c r="P271">
        <v>142000</v>
      </c>
      <c r="Q271">
        <v>479672000</v>
      </c>
      <c r="R271">
        <v>479814000</v>
      </c>
      <c r="S271">
        <v>4434700</v>
      </c>
      <c r="T271">
        <v>192434900</v>
      </c>
      <c r="U271">
        <v>2658261500</v>
      </c>
      <c r="V271">
        <v>3317381200</v>
      </c>
      <c r="W271">
        <v>1803000</v>
      </c>
      <c r="X271">
        <v>2548461500</v>
      </c>
    </row>
    <row r="272" spans="1:24" x14ac:dyDescent="0.3">
      <c r="A272">
        <v>96</v>
      </c>
      <c r="B272">
        <v>524288</v>
      </c>
      <c r="C272">
        <v>3</v>
      </c>
      <c r="D272">
        <v>64</v>
      </c>
      <c r="E272">
        <v>0.95</v>
      </c>
      <c r="F272">
        <v>13</v>
      </c>
      <c r="G272">
        <v>16383</v>
      </c>
      <c r="H272">
        <v>16400</v>
      </c>
      <c r="I272">
        <v>1428737800</v>
      </c>
      <c r="J272">
        <v>5906614100</v>
      </c>
      <c r="K272">
        <v>4.13414840707651</v>
      </c>
      <c r="L272">
        <v>11970200</v>
      </c>
      <c r="M272">
        <v>665562300</v>
      </c>
      <c r="N272">
        <v>309907600</v>
      </c>
      <c r="O272">
        <v>975469900</v>
      </c>
      <c r="P272">
        <v>75500</v>
      </c>
      <c r="Q272">
        <v>154654800</v>
      </c>
      <c r="R272">
        <v>154730300</v>
      </c>
      <c r="S272">
        <v>3946700</v>
      </c>
      <c r="T272">
        <v>203226900</v>
      </c>
      <c r="U272">
        <v>1597250700</v>
      </c>
      <c r="V272">
        <v>1020158100</v>
      </c>
      <c r="W272">
        <v>1866300</v>
      </c>
      <c r="X272">
        <v>1428737800</v>
      </c>
    </row>
    <row r="273" spans="1:24" x14ac:dyDescent="0.3">
      <c r="A273">
        <v>97</v>
      </c>
      <c r="B273">
        <v>524288</v>
      </c>
      <c r="C273">
        <v>4</v>
      </c>
      <c r="D273">
        <v>125</v>
      </c>
      <c r="E273">
        <v>0.2</v>
      </c>
      <c r="F273">
        <v>13</v>
      </c>
      <c r="G273">
        <v>16383</v>
      </c>
      <c r="H273" s="1">
        <v>3671112</v>
      </c>
      <c r="I273">
        <v>117801477500</v>
      </c>
      <c r="J273">
        <v>704619644400</v>
      </c>
      <c r="K273">
        <v>5.98141601746888</v>
      </c>
      <c r="L273">
        <v>789563300</v>
      </c>
      <c r="M273">
        <v>785918700</v>
      </c>
      <c r="N273">
        <v>83580980400</v>
      </c>
      <c r="O273">
        <v>84366899100</v>
      </c>
      <c r="P273">
        <v>11417300</v>
      </c>
      <c r="Q273">
        <v>32138864400</v>
      </c>
      <c r="R273">
        <v>32150281700</v>
      </c>
      <c r="S273">
        <v>5114600</v>
      </c>
      <c r="T273">
        <v>511629900</v>
      </c>
      <c r="U273">
        <v>477686576400</v>
      </c>
      <c r="V273">
        <v>219696902000</v>
      </c>
      <c r="W273">
        <v>2084500</v>
      </c>
      <c r="X273">
        <v>117801477500</v>
      </c>
    </row>
    <row r="274" spans="1:24" x14ac:dyDescent="0.3">
      <c r="A274">
        <v>98</v>
      </c>
      <c r="B274">
        <v>524288</v>
      </c>
      <c r="C274">
        <v>4</v>
      </c>
      <c r="D274">
        <v>125</v>
      </c>
      <c r="E274">
        <v>0.35</v>
      </c>
      <c r="F274">
        <v>13</v>
      </c>
      <c r="G274">
        <v>16383</v>
      </c>
      <c r="H274">
        <v>829920</v>
      </c>
      <c r="I274">
        <v>30459863400</v>
      </c>
      <c r="J274">
        <v>176530779700</v>
      </c>
      <c r="K274">
        <v>5.7955210560793198</v>
      </c>
      <c r="L274">
        <v>227467300</v>
      </c>
      <c r="M274">
        <v>1315138900</v>
      </c>
      <c r="N274">
        <v>20911365100</v>
      </c>
      <c r="O274">
        <v>22226504000</v>
      </c>
      <c r="P274">
        <v>2207100</v>
      </c>
      <c r="Q274">
        <v>7222864200</v>
      </c>
      <c r="R274">
        <v>7225071300</v>
      </c>
      <c r="S274">
        <v>4245000</v>
      </c>
      <c r="T274">
        <v>214734500</v>
      </c>
      <c r="U274">
        <v>120331477800</v>
      </c>
      <c r="V274">
        <v>49415836300</v>
      </c>
      <c r="W274">
        <v>1791500</v>
      </c>
      <c r="X274">
        <v>30459863400</v>
      </c>
    </row>
    <row r="275" spans="1:24" x14ac:dyDescent="0.3">
      <c r="A275">
        <v>99</v>
      </c>
      <c r="B275">
        <v>524288</v>
      </c>
      <c r="C275">
        <v>4</v>
      </c>
      <c r="D275">
        <v>125</v>
      </c>
      <c r="E275">
        <v>0.5</v>
      </c>
      <c r="F275">
        <v>13</v>
      </c>
      <c r="G275">
        <v>16383</v>
      </c>
      <c r="H275">
        <v>301884</v>
      </c>
      <c r="I275">
        <v>12751933300</v>
      </c>
      <c r="J275">
        <v>70327555700</v>
      </c>
      <c r="K275">
        <v>5.5150504668966498</v>
      </c>
      <c r="L275">
        <v>66927500</v>
      </c>
      <c r="M275">
        <v>1472894100</v>
      </c>
      <c r="N275">
        <v>7799761400</v>
      </c>
      <c r="O275">
        <v>9272655500</v>
      </c>
      <c r="P275">
        <v>831900</v>
      </c>
      <c r="Q275">
        <v>2622975700</v>
      </c>
      <c r="R275">
        <v>2623807600</v>
      </c>
      <c r="S275">
        <v>4314800</v>
      </c>
      <c r="T275">
        <v>261094300</v>
      </c>
      <c r="U275">
        <v>45324860400</v>
      </c>
      <c r="V275">
        <v>18236653900</v>
      </c>
      <c r="W275">
        <v>1873600</v>
      </c>
      <c r="X275">
        <v>12751933300</v>
      </c>
    </row>
    <row r="276" spans="1:24" x14ac:dyDescent="0.3">
      <c r="A276">
        <v>100</v>
      </c>
      <c r="B276">
        <v>524288</v>
      </c>
      <c r="C276">
        <v>4</v>
      </c>
      <c r="D276">
        <v>125</v>
      </c>
      <c r="E276">
        <v>0.65</v>
      </c>
      <c r="F276">
        <v>13</v>
      </c>
      <c r="G276">
        <v>16383</v>
      </c>
      <c r="H276">
        <v>101392</v>
      </c>
      <c r="I276">
        <v>6390095600</v>
      </c>
      <c r="J276">
        <v>30964295000</v>
      </c>
      <c r="K276">
        <v>4.8456700710393097</v>
      </c>
      <c r="L276">
        <v>28914100</v>
      </c>
      <c r="M276">
        <v>1521631600</v>
      </c>
      <c r="N276">
        <v>3171414800</v>
      </c>
      <c r="O276">
        <v>4693046400</v>
      </c>
      <c r="P276">
        <v>386100</v>
      </c>
      <c r="Q276">
        <v>889764600</v>
      </c>
      <c r="R276">
        <v>890150700</v>
      </c>
      <c r="S276">
        <v>4027300</v>
      </c>
      <c r="T276">
        <v>263095900</v>
      </c>
      <c r="U276">
        <v>18156169700</v>
      </c>
      <c r="V276">
        <v>6105541700</v>
      </c>
      <c r="W276">
        <v>1852200</v>
      </c>
      <c r="X276">
        <v>6390095600</v>
      </c>
    </row>
    <row r="277" spans="1:24" x14ac:dyDescent="0.3">
      <c r="A277">
        <v>101</v>
      </c>
      <c r="B277">
        <v>524288</v>
      </c>
      <c r="C277">
        <v>4</v>
      </c>
      <c r="D277">
        <v>125</v>
      </c>
      <c r="E277">
        <v>0.8</v>
      </c>
      <c r="F277">
        <v>13</v>
      </c>
      <c r="G277">
        <v>16383</v>
      </c>
      <c r="H277">
        <v>54772</v>
      </c>
      <c r="I277">
        <v>4525685900</v>
      </c>
      <c r="J277">
        <v>20248990000</v>
      </c>
      <c r="K277">
        <v>4.4742367118319004</v>
      </c>
      <c r="L277">
        <v>11963000</v>
      </c>
      <c r="M277">
        <v>1536732400</v>
      </c>
      <c r="N277">
        <v>1704463400</v>
      </c>
      <c r="O277">
        <v>3241195800</v>
      </c>
      <c r="P277">
        <v>147700</v>
      </c>
      <c r="Q277">
        <v>491881500</v>
      </c>
      <c r="R277">
        <v>492029200</v>
      </c>
      <c r="S277">
        <v>4356200</v>
      </c>
      <c r="T277">
        <v>534840900</v>
      </c>
      <c r="U277">
        <v>9964121000</v>
      </c>
      <c r="V277">
        <v>3307595600</v>
      </c>
      <c r="W277">
        <v>1946300</v>
      </c>
      <c r="X277">
        <v>4525685900</v>
      </c>
    </row>
    <row r="278" spans="1:24" x14ac:dyDescent="0.3">
      <c r="A278">
        <v>102</v>
      </c>
      <c r="B278">
        <v>524288</v>
      </c>
      <c r="C278">
        <v>4</v>
      </c>
      <c r="D278">
        <v>125</v>
      </c>
      <c r="E278">
        <v>0.95</v>
      </c>
      <c r="F278">
        <v>13</v>
      </c>
      <c r="G278">
        <v>16383</v>
      </c>
      <c r="H278">
        <v>16396</v>
      </c>
      <c r="I278">
        <v>3510116600</v>
      </c>
      <c r="J278">
        <v>13605448800</v>
      </c>
      <c r="K278">
        <v>3.8760674787840301</v>
      </c>
      <c r="L278">
        <v>5558000</v>
      </c>
      <c r="M278">
        <v>1545499400</v>
      </c>
      <c r="N278">
        <v>1026303700</v>
      </c>
      <c r="O278">
        <v>2571803100</v>
      </c>
      <c r="P278">
        <v>95200</v>
      </c>
      <c r="Q278">
        <v>154900600</v>
      </c>
      <c r="R278">
        <v>154995800</v>
      </c>
      <c r="S278">
        <v>4257900</v>
      </c>
      <c r="T278">
        <v>244794100</v>
      </c>
      <c r="U278">
        <v>5868078700</v>
      </c>
      <c r="V278">
        <v>1013848800</v>
      </c>
      <c r="W278">
        <v>1869300</v>
      </c>
      <c r="X278">
        <v>3510116600</v>
      </c>
    </row>
    <row r="279" spans="1:24" x14ac:dyDescent="0.3">
      <c r="A279">
        <v>103</v>
      </c>
      <c r="B279">
        <v>524288</v>
      </c>
      <c r="C279">
        <v>5</v>
      </c>
      <c r="D279">
        <v>216</v>
      </c>
      <c r="E279">
        <v>0.2</v>
      </c>
      <c r="F279">
        <v>12</v>
      </c>
      <c r="G279">
        <v>8191</v>
      </c>
      <c r="H279" s="1">
        <v>2245568</v>
      </c>
      <c r="I279">
        <v>173416211600</v>
      </c>
      <c r="J279">
        <v>1001885948400</v>
      </c>
      <c r="K279">
        <v>5.7773488369757402</v>
      </c>
      <c r="L279">
        <v>703919600</v>
      </c>
      <c r="M279">
        <v>2357997300</v>
      </c>
      <c r="N279">
        <v>93347876000</v>
      </c>
      <c r="O279">
        <v>95705873300</v>
      </c>
      <c r="P279">
        <v>5576400</v>
      </c>
      <c r="Q279">
        <v>75897955300</v>
      </c>
      <c r="R279">
        <v>75903531700</v>
      </c>
      <c r="S279">
        <v>11312800</v>
      </c>
      <c r="T279">
        <v>245916700</v>
      </c>
      <c r="U279">
        <v>439694534400</v>
      </c>
      <c r="V279">
        <v>553036350200</v>
      </c>
      <c r="W279">
        <v>1925900</v>
      </c>
      <c r="X279">
        <v>173416211600</v>
      </c>
    </row>
    <row r="280" spans="1:24" x14ac:dyDescent="0.3">
      <c r="A280">
        <v>104</v>
      </c>
      <c r="B280">
        <v>524288</v>
      </c>
      <c r="C280">
        <v>5</v>
      </c>
      <c r="D280">
        <v>216</v>
      </c>
      <c r="E280">
        <v>0.35</v>
      </c>
      <c r="F280">
        <v>12</v>
      </c>
      <c r="G280">
        <v>8191</v>
      </c>
      <c r="H280">
        <v>504600</v>
      </c>
      <c r="I280">
        <v>47624682600</v>
      </c>
      <c r="J280">
        <v>259918517800</v>
      </c>
      <c r="K280">
        <v>5.4576430457932297</v>
      </c>
      <c r="L280">
        <v>87527500</v>
      </c>
      <c r="M280">
        <v>2908845000</v>
      </c>
      <c r="N280">
        <v>26813231700</v>
      </c>
      <c r="O280">
        <v>29722076700</v>
      </c>
      <c r="P280">
        <v>1350300</v>
      </c>
      <c r="Q280">
        <v>16894717100</v>
      </c>
      <c r="R280">
        <v>16896067400</v>
      </c>
      <c r="S280">
        <v>3975100</v>
      </c>
      <c r="T280">
        <v>193597100</v>
      </c>
      <c r="U280">
        <v>126817962800</v>
      </c>
      <c r="V280">
        <v>124270630900</v>
      </c>
      <c r="W280">
        <v>1899200</v>
      </c>
      <c r="X280">
        <v>47624682600</v>
      </c>
    </row>
    <row r="281" spans="1:24" x14ac:dyDescent="0.3">
      <c r="A281">
        <v>105</v>
      </c>
      <c r="B281">
        <v>524288</v>
      </c>
      <c r="C281">
        <v>5</v>
      </c>
      <c r="D281">
        <v>216</v>
      </c>
      <c r="E281">
        <v>0.5</v>
      </c>
      <c r="F281">
        <v>12</v>
      </c>
      <c r="G281">
        <v>8191</v>
      </c>
      <c r="H281">
        <v>178624</v>
      </c>
      <c r="I281">
        <v>22006903800</v>
      </c>
      <c r="J281">
        <v>110635608200</v>
      </c>
      <c r="K281">
        <v>5.0273136650872203</v>
      </c>
      <c r="L281">
        <v>31999800</v>
      </c>
      <c r="M281">
        <v>2983371200</v>
      </c>
      <c r="N281">
        <v>12059840900</v>
      </c>
      <c r="O281">
        <v>15043212100</v>
      </c>
      <c r="P281">
        <v>571900</v>
      </c>
      <c r="Q281">
        <v>6008167400</v>
      </c>
      <c r="R281">
        <v>6008739300</v>
      </c>
      <c r="S281">
        <v>4394600</v>
      </c>
      <c r="T281">
        <v>246033800</v>
      </c>
      <c r="U281">
        <v>57310907500</v>
      </c>
      <c r="V281">
        <v>44491871600</v>
      </c>
      <c r="W281">
        <v>1809400</v>
      </c>
      <c r="X281">
        <v>22006903800</v>
      </c>
    </row>
    <row r="282" spans="1:24" x14ac:dyDescent="0.3">
      <c r="A282">
        <v>106</v>
      </c>
      <c r="B282">
        <v>524288</v>
      </c>
      <c r="C282">
        <v>5</v>
      </c>
      <c r="D282">
        <v>216</v>
      </c>
      <c r="E282">
        <v>0.65</v>
      </c>
      <c r="F282">
        <v>12</v>
      </c>
      <c r="G282">
        <v>8191</v>
      </c>
      <c r="H282">
        <v>71236</v>
      </c>
      <c r="I282">
        <v>10630357400</v>
      </c>
      <c r="J282">
        <v>47697302000</v>
      </c>
      <c r="K282">
        <v>4.4868954264886698</v>
      </c>
      <c r="L282">
        <v>18915800</v>
      </c>
      <c r="M282">
        <v>2969546400</v>
      </c>
      <c r="N282">
        <v>4319838600</v>
      </c>
      <c r="O282">
        <v>7289385000</v>
      </c>
      <c r="P282">
        <v>236000</v>
      </c>
      <c r="Q282">
        <v>2394171900</v>
      </c>
      <c r="R282">
        <v>2394407900</v>
      </c>
      <c r="S282">
        <v>4063200</v>
      </c>
      <c r="T282">
        <v>529132800</v>
      </c>
      <c r="U282">
        <v>20943735900</v>
      </c>
      <c r="V282">
        <v>17504449500</v>
      </c>
      <c r="W282">
        <v>1836500</v>
      </c>
      <c r="X282">
        <v>10630357400</v>
      </c>
    </row>
    <row r="283" spans="1:24" x14ac:dyDescent="0.3">
      <c r="A283">
        <v>107</v>
      </c>
      <c r="B283">
        <v>524288</v>
      </c>
      <c r="C283">
        <v>5</v>
      </c>
      <c r="D283">
        <v>216</v>
      </c>
      <c r="E283">
        <v>0.8</v>
      </c>
      <c r="F283">
        <v>12</v>
      </c>
      <c r="G283">
        <v>8191</v>
      </c>
      <c r="H283">
        <v>34372</v>
      </c>
      <c r="I283">
        <v>7693017600</v>
      </c>
      <c r="J283">
        <v>29638346100</v>
      </c>
      <c r="K283">
        <v>3.8526294415340998</v>
      </c>
      <c r="L283">
        <v>6198200</v>
      </c>
      <c r="M283">
        <v>3059819700</v>
      </c>
      <c r="N283">
        <v>2528569700</v>
      </c>
      <c r="O283">
        <v>5588389400</v>
      </c>
      <c r="P283">
        <v>192300</v>
      </c>
      <c r="Q283">
        <v>1170001600</v>
      </c>
      <c r="R283">
        <v>1170193900</v>
      </c>
      <c r="S283">
        <v>4448600</v>
      </c>
      <c r="T283">
        <v>191138800</v>
      </c>
      <c r="U283">
        <v>12228191000</v>
      </c>
      <c r="V283">
        <v>8556437600</v>
      </c>
      <c r="W283">
        <v>1819200</v>
      </c>
      <c r="X283">
        <v>7693017600</v>
      </c>
    </row>
    <row r="284" spans="1:24" x14ac:dyDescent="0.3">
      <c r="A284">
        <v>108</v>
      </c>
      <c r="B284">
        <v>524288</v>
      </c>
      <c r="C284">
        <v>5</v>
      </c>
      <c r="D284">
        <v>216</v>
      </c>
      <c r="E284">
        <v>0.95</v>
      </c>
      <c r="F284">
        <v>12</v>
      </c>
      <c r="G284">
        <v>8191</v>
      </c>
      <c r="H284">
        <v>24568</v>
      </c>
      <c r="I284">
        <v>5554327100</v>
      </c>
      <c r="J284">
        <v>18739441200</v>
      </c>
      <c r="K284">
        <v>3.3738454474530299</v>
      </c>
      <c r="L284">
        <v>3132900</v>
      </c>
      <c r="M284">
        <v>3034175400</v>
      </c>
      <c r="N284">
        <v>761986600</v>
      </c>
      <c r="O284">
        <v>3796162000</v>
      </c>
      <c r="P284">
        <v>157800</v>
      </c>
      <c r="Q284">
        <v>841342600</v>
      </c>
      <c r="R284">
        <v>841500400</v>
      </c>
      <c r="S284">
        <v>3992400</v>
      </c>
      <c r="T284">
        <v>188511300</v>
      </c>
      <c r="U284">
        <v>3639273400</v>
      </c>
      <c r="V284">
        <v>6057847800</v>
      </c>
      <c r="W284">
        <v>1928100</v>
      </c>
      <c r="X284">
        <v>5554327100</v>
      </c>
    </row>
    <row r="285" spans="1:24" x14ac:dyDescent="0.3">
      <c r="A285">
        <v>109</v>
      </c>
      <c r="B285">
        <v>524288</v>
      </c>
      <c r="C285">
        <v>6</v>
      </c>
      <c r="D285">
        <v>343</v>
      </c>
      <c r="E285">
        <v>0.2</v>
      </c>
      <c r="F285">
        <v>11</v>
      </c>
      <c r="G285">
        <v>4095</v>
      </c>
      <c r="H285">
        <v>951920</v>
      </c>
      <c r="I285">
        <v>215055366300</v>
      </c>
      <c r="J285">
        <v>1363301524800</v>
      </c>
      <c r="K285">
        <v>6.3393048416109199</v>
      </c>
      <c r="L285">
        <v>145458600</v>
      </c>
      <c r="M285">
        <v>7106017700</v>
      </c>
      <c r="N285">
        <v>78161734500</v>
      </c>
      <c r="O285">
        <v>85267752200</v>
      </c>
      <c r="P285">
        <v>2585200</v>
      </c>
      <c r="Q285">
        <v>128531288800</v>
      </c>
      <c r="R285">
        <v>128533874000</v>
      </c>
      <c r="S285">
        <v>11458800</v>
      </c>
      <c r="T285">
        <v>186390900</v>
      </c>
      <c r="U285">
        <v>365631721500</v>
      </c>
      <c r="V285">
        <v>986715147100</v>
      </c>
      <c r="W285">
        <v>1838700</v>
      </c>
      <c r="X285">
        <v>215055366300</v>
      </c>
    </row>
    <row r="286" spans="1:24" x14ac:dyDescent="0.3">
      <c r="A286">
        <v>110</v>
      </c>
      <c r="B286">
        <v>524288</v>
      </c>
      <c r="C286">
        <v>6</v>
      </c>
      <c r="D286">
        <v>343</v>
      </c>
      <c r="E286">
        <v>0.35</v>
      </c>
      <c r="F286">
        <v>11</v>
      </c>
      <c r="G286">
        <v>4095</v>
      </c>
      <c r="H286">
        <v>215220</v>
      </c>
      <c r="I286">
        <v>68334706800</v>
      </c>
      <c r="J286">
        <v>383328844700</v>
      </c>
      <c r="K286">
        <v>5.6095776604693004</v>
      </c>
      <c r="L286">
        <v>37960400</v>
      </c>
      <c r="M286">
        <v>6998557400</v>
      </c>
      <c r="N286">
        <v>31422087600</v>
      </c>
      <c r="O286">
        <v>38420645000</v>
      </c>
      <c r="P286">
        <v>663900</v>
      </c>
      <c r="Q286">
        <v>28782421300</v>
      </c>
      <c r="R286">
        <v>28783085200</v>
      </c>
      <c r="S286">
        <v>4018300</v>
      </c>
      <c r="T286">
        <v>177534700</v>
      </c>
      <c r="U286">
        <v>149058188800</v>
      </c>
      <c r="V286">
        <v>223229504400</v>
      </c>
      <c r="W286">
        <v>3061700</v>
      </c>
      <c r="X286">
        <v>68334706800</v>
      </c>
    </row>
    <row r="287" spans="1:24" x14ac:dyDescent="0.3">
      <c r="A287">
        <v>111</v>
      </c>
      <c r="B287">
        <v>524288</v>
      </c>
      <c r="C287">
        <v>6</v>
      </c>
      <c r="D287">
        <v>343</v>
      </c>
      <c r="E287">
        <v>0.5</v>
      </c>
      <c r="F287">
        <v>11</v>
      </c>
      <c r="G287">
        <v>4095</v>
      </c>
      <c r="H287">
        <v>87980</v>
      </c>
      <c r="I287">
        <v>32833889600</v>
      </c>
      <c r="J287">
        <v>162842832900</v>
      </c>
      <c r="K287">
        <v>4.9595961637149397</v>
      </c>
      <c r="L287">
        <v>19078700</v>
      </c>
      <c r="M287">
        <v>7025511800</v>
      </c>
      <c r="N287">
        <v>12876643500</v>
      </c>
      <c r="O287">
        <v>19902155300</v>
      </c>
      <c r="P287">
        <v>262400</v>
      </c>
      <c r="Q287">
        <v>11813046600</v>
      </c>
      <c r="R287">
        <v>11813309000</v>
      </c>
      <c r="S287">
        <v>3995100</v>
      </c>
      <c r="T287">
        <v>182872600</v>
      </c>
      <c r="U287">
        <v>60531158900</v>
      </c>
      <c r="V287">
        <v>91113057000</v>
      </c>
      <c r="W287">
        <v>1862800</v>
      </c>
      <c r="X287">
        <v>32833889600</v>
      </c>
    </row>
    <row r="288" spans="1:24" x14ac:dyDescent="0.3">
      <c r="A288">
        <v>112</v>
      </c>
      <c r="B288">
        <v>524288</v>
      </c>
      <c r="C288">
        <v>6</v>
      </c>
      <c r="D288">
        <v>343</v>
      </c>
      <c r="E288">
        <v>0.65</v>
      </c>
      <c r="F288">
        <v>11</v>
      </c>
      <c r="G288">
        <v>4095</v>
      </c>
      <c r="H288">
        <v>31660</v>
      </c>
      <c r="I288">
        <v>17747874400</v>
      </c>
      <c r="J288">
        <v>69234135100</v>
      </c>
      <c r="K288">
        <v>3.9009818043336999</v>
      </c>
      <c r="L288">
        <v>5533900</v>
      </c>
      <c r="M288">
        <v>7036673300</v>
      </c>
      <c r="N288">
        <v>5358411900</v>
      </c>
      <c r="O288">
        <v>12395085200</v>
      </c>
      <c r="P288">
        <v>176800</v>
      </c>
      <c r="Q288">
        <v>4253766200</v>
      </c>
      <c r="R288">
        <v>4253943000</v>
      </c>
      <c r="S288">
        <v>4019300</v>
      </c>
      <c r="T288">
        <v>183403900</v>
      </c>
      <c r="U288">
        <v>25242298800</v>
      </c>
      <c r="V288">
        <v>32936580200</v>
      </c>
      <c r="W288">
        <v>1903900</v>
      </c>
      <c r="X288">
        <v>17747874400</v>
      </c>
    </row>
    <row r="289" spans="1:24" x14ac:dyDescent="0.3">
      <c r="A289">
        <v>113</v>
      </c>
      <c r="B289">
        <v>524288</v>
      </c>
      <c r="C289">
        <v>6</v>
      </c>
      <c r="D289">
        <v>343</v>
      </c>
      <c r="E289">
        <v>0.8</v>
      </c>
      <c r="F289">
        <v>11</v>
      </c>
      <c r="G289">
        <v>4095</v>
      </c>
      <c r="H289">
        <v>15656</v>
      </c>
      <c r="I289">
        <v>13589840300</v>
      </c>
      <c r="J289">
        <v>42856371600</v>
      </c>
      <c r="K289">
        <v>3.1535596190928001</v>
      </c>
      <c r="L289">
        <v>3086000</v>
      </c>
      <c r="M289">
        <v>7089543100</v>
      </c>
      <c r="N289">
        <v>3292839500</v>
      </c>
      <c r="O289">
        <v>10382382600</v>
      </c>
      <c r="P289">
        <v>166100</v>
      </c>
      <c r="Q289">
        <v>2116678200</v>
      </c>
      <c r="R289">
        <v>2116844300</v>
      </c>
      <c r="S289">
        <v>4357400</v>
      </c>
      <c r="T289">
        <v>186812400</v>
      </c>
      <c r="U289">
        <v>15424650300</v>
      </c>
      <c r="V289">
        <v>16402296400</v>
      </c>
      <c r="W289">
        <v>1889400</v>
      </c>
      <c r="X289">
        <v>13589840300</v>
      </c>
    </row>
    <row r="290" spans="1:24" x14ac:dyDescent="0.3">
      <c r="A290">
        <v>114</v>
      </c>
      <c r="B290">
        <v>524288</v>
      </c>
      <c r="C290">
        <v>6</v>
      </c>
      <c r="D290">
        <v>343</v>
      </c>
      <c r="E290">
        <v>0.95</v>
      </c>
      <c r="F290">
        <v>11</v>
      </c>
      <c r="G290">
        <v>4095</v>
      </c>
      <c r="H290">
        <v>8192</v>
      </c>
      <c r="I290">
        <v>10453263700</v>
      </c>
      <c r="J290">
        <v>24946667000</v>
      </c>
      <c r="K290">
        <v>2.3864955210112901</v>
      </c>
      <c r="L290">
        <v>1346500</v>
      </c>
      <c r="M290">
        <v>7091017400</v>
      </c>
      <c r="N290">
        <v>1146375500</v>
      </c>
      <c r="O290">
        <v>8237392900</v>
      </c>
      <c r="P290">
        <v>149800</v>
      </c>
      <c r="Q290">
        <v>1120259500</v>
      </c>
      <c r="R290">
        <v>1120409300</v>
      </c>
      <c r="S290">
        <v>4206500</v>
      </c>
      <c r="T290">
        <v>180620000</v>
      </c>
      <c r="U290">
        <v>5363949700</v>
      </c>
      <c r="V290">
        <v>8475711300</v>
      </c>
      <c r="W290">
        <v>1910500</v>
      </c>
      <c r="X290">
        <v>10453263700</v>
      </c>
    </row>
    <row r="291" spans="1:24" x14ac:dyDescent="0.3">
      <c r="A291">
        <v>115</v>
      </c>
      <c r="B291">
        <v>524288</v>
      </c>
      <c r="C291">
        <v>7</v>
      </c>
      <c r="D291">
        <v>512</v>
      </c>
      <c r="E291">
        <v>0.2</v>
      </c>
      <c r="F291">
        <v>10</v>
      </c>
      <c r="G291">
        <v>2047</v>
      </c>
      <c r="H291">
        <v>338136</v>
      </c>
      <c r="I291">
        <v>266946146500</v>
      </c>
      <c r="J291">
        <v>1870320240700</v>
      </c>
      <c r="K291">
        <v>7.0063578936135702</v>
      </c>
      <c r="L291">
        <v>54280700</v>
      </c>
      <c r="M291">
        <v>8563345800</v>
      </c>
      <c r="N291">
        <v>74019964500</v>
      </c>
      <c r="O291">
        <v>82583310300</v>
      </c>
      <c r="P291">
        <v>920300</v>
      </c>
      <c r="Q291">
        <v>183204237400</v>
      </c>
      <c r="R291">
        <v>183205157700</v>
      </c>
      <c r="S291">
        <v>4418300</v>
      </c>
      <c r="T291">
        <v>164742900</v>
      </c>
      <c r="U291">
        <v>390181013300</v>
      </c>
      <c r="V291">
        <v>1467224739100</v>
      </c>
      <c r="W291">
        <v>2132900</v>
      </c>
      <c r="X291">
        <v>266946146500</v>
      </c>
    </row>
    <row r="292" spans="1:24" x14ac:dyDescent="0.3">
      <c r="A292">
        <v>116</v>
      </c>
      <c r="B292">
        <v>524288</v>
      </c>
      <c r="C292">
        <v>7</v>
      </c>
      <c r="D292">
        <v>512</v>
      </c>
      <c r="E292">
        <v>0.35</v>
      </c>
      <c r="F292">
        <v>10</v>
      </c>
      <c r="G292">
        <v>2047</v>
      </c>
      <c r="H292">
        <v>93304</v>
      </c>
      <c r="I292">
        <v>89446585000</v>
      </c>
      <c r="J292">
        <v>576151837500</v>
      </c>
      <c r="K292">
        <v>6.4412949639161701</v>
      </c>
      <c r="L292">
        <v>20392100</v>
      </c>
      <c r="M292">
        <v>8395691500</v>
      </c>
      <c r="N292">
        <v>29909013700</v>
      </c>
      <c r="O292">
        <v>38304705200</v>
      </c>
      <c r="P292">
        <v>207600</v>
      </c>
      <c r="Q292">
        <v>50029365800</v>
      </c>
      <c r="R292">
        <v>50029573400</v>
      </c>
      <c r="S292">
        <v>10965800</v>
      </c>
      <c r="T292">
        <v>173474800</v>
      </c>
      <c r="U292">
        <v>159725817800</v>
      </c>
      <c r="V292">
        <v>403710500100</v>
      </c>
      <c r="W292">
        <v>1970500</v>
      </c>
      <c r="X292">
        <v>89446585000</v>
      </c>
    </row>
    <row r="293" spans="1:24" x14ac:dyDescent="0.3">
      <c r="A293">
        <v>117</v>
      </c>
      <c r="B293">
        <v>524288</v>
      </c>
      <c r="C293">
        <v>7</v>
      </c>
      <c r="D293">
        <v>512</v>
      </c>
      <c r="E293">
        <v>0.5</v>
      </c>
      <c r="F293">
        <v>10</v>
      </c>
      <c r="G293">
        <v>2047</v>
      </c>
      <c r="H293">
        <v>34876</v>
      </c>
      <c r="I293">
        <v>41593831100</v>
      </c>
      <c r="J293">
        <v>234741714200</v>
      </c>
      <c r="K293">
        <v>5.6436665724691997</v>
      </c>
      <c r="L293">
        <v>6303500</v>
      </c>
      <c r="M293">
        <v>8428029800</v>
      </c>
      <c r="N293">
        <v>13282105800</v>
      </c>
      <c r="O293">
        <v>21710135600</v>
      </c>
      <c r="P293">
        <v>129200</v>
      </c>
      <c r="Q293">
        <v>18772660200</v>
      </c>
      <c r="R293">
        <v>18772789400</v>
      </c>
      <c r="S293">
        <v>4333300</v>
      </c>
      <c r="T293">
        <v>166984800</v>
      </c>
      <c r="U293">
        <v>70335215900</v>
      </c>
      <c r="V293">
        <v>151581057000</v>
      </c>
      <c r="W293">
        <v>1814800</v>
      </c>
      <c r="X293">
        <v>41593831100</v>
      </c>
    </row>
    <row r="294" spans="1:24" x14ac:dyDescent="0.3">
      <c r="A294">
        <v>118</v>
      </c>
      <c r="B294">
        <v>524288</v>
      </c>
      <c r="C294">
        <v>7</v>
      </c>
      <c r="D294">
        <v>512</v>
      </c>
      <c r="E294">
        <v>0.65</v>
      </c>
      <c r="F294">
        <v>10</v>
      </c>
      <c r="G294">
        <v>2047</v>
      </c>
      <c r="H294">
        <v>12432</v>
      </c>
      <c r="I294">
        <v>22612659400</v>
      </c>
      <c r="J294">
        <v>100064594100</v>
      </c>
      <c r="K294">
        <v>4.4251581527823296</v>
      </c>
      <c r="L294">
        <v>2813800</v>
      </c>
      <c r="M294">
        <v>8440535000</v>
      </c>
      <c r="N294">
        <v>6359016300</v>
      </c>
      <c r="O294">
        <v>14799551300</v>
      </c>
      <c r="P294">
        <v>100000</v>
      </c>
      <c r="Q294">
        <v>6708650700</v>
      </c>
      <c r="R294">
        <v>6708750700</v>
      </c>
      <c r="S294">
        <v>11070600</v>
      </c>
      <c r="T294">
        <v>165547000</v>
      </c>
      <c r="U294">
        <v>33645094300</v>
      </c>
      <c r="V294">
        <v>53776611900</v>
      </c>
      <c r="W294">
        <v>1870300</v>
      </c>
      <c r="X294">
        <v>22612659400</v>
      </c>
    </row>
    <row r="295" spans="1:24" x14ac:dyDescent="0.3">
      <c r="A295">
        <v>119</v>
      </c>
      <c r="B295">
        <v>524288</v>
      </c>
      <c r="C295">
        <v>7</v>
      </c>
      <c r="D295">
        <v>512</v>
      </c>
      <c r="E295">
        <v>0.8</v>
      </c>
      <c r="F295">
        <v>10</v>
      </c>
      <c r="G295">
        <v>2047</v>
      </c>
      <c r="H295">
        <v>7440</v>
      </c>
      <c r="I295">
        <v>17201564300</v>
      </c>
      <c r="J295">
        <v>64365491700</v>
      </c>
      <c r="K295">
        <v>3.74183943840502</v>
      </c>
      <c r="L295">
        <v>1635400</v>
      </c>
      <c r="M295">
        <v>8429251600</v>
      </c>
      <c r="N295">
        <v>3666784300</v>
      </c>
      <c r="O295">
        <v>12096035900</v>
      </c>
      <c r="P295">
        <v>79800</v>
      </c>
      <c r="Q295">
        <v>4010126000</v>
      </c>
      <c r="R295">
        <v>4010205800</v>
      </c>
      <c r="S295">
        <v>3991400</v>
      </c>
      <c r="T295">
        <v>159426900</v>
      </c>
      <c r="U295">
        <v>19447557500</v>
      </c>
      <c r="V295">
        <v>32198613400</v>
      </c>
      <c r="W295">
        <v>1838900</v>
      </c>
      <c r="X295">
        <v>17201564300</v>
      </c>
    </row>
    <row r="296" spans="1:24" x14ac:dyDescent="0.3">
      <c r="A296">
        <v>120</v>
      </c>
      <c r="B296">
        <v>524288</v>
      </c>
      <c r="C296">
        <v>7</v>
      </c>
      <c r="D296">
        <v>512</v>
      </c>
      <c r="E296">
        <v>0.95</v>
      </c>
      <c r="F296">
        <v>10</v>
      </c>
      <c r="G296">
        <v>2047</v>
      </c>
      <c r="H296">
        <v>2048</v>
      </c>
      <c r="I296">
        <v>12968014300</v>
      </c>
      <c r="J296">
        <v>33633473300</v>
      </c>
      <c r="K296">
        <v>2.5935715771072201</v>
      </c>
      <c r="L296">
        <v>769100</v>
      </c>
      <c r="M296">
        <v>8488378900</v>
      </c>
      <c r="N296">
        <v>2260091400</v>
      </c>
      <c r="O296">
        <v>10748470300</v>
      </c>
      <c r="P296">
        <v>100000</v>
      </c>
      <c r="Q296">
        <v>1119045400</v>
      </c>
      <c r="R296">
        <v>1119145400</v>
      </c>
      <c r="S296">
        <v>4393900</v>
      </c>
      <c r="T296">
        <v>155290800</v>
      </c>
      <c r="U296">
        <v>11895946500</v>
      </c>
      <c r="V296">
        <v>8832231400</v>
      </c>
      <c r="W296">
        <v>1912300</v>
      </c>
      <c r="X296">
        <v>12968014300</v>
      </c>
    </row>
    <row r="297" spans="1:24" x14ac:dyDescent="0.3">
      <c r="A297">
        <v>121</v>
      </c>
      <c r="B297">
        <v>1048576</v>
      </c>
      <c r="C297">
        <v>3</v>
      </c>
      <c r="D297">
        <v>64</v>
      </c>
      <c r="E297">
        <v>0.2</v>
      </c>
      <c r="F297">
        <v>14</v>
      </c>
      <c r="G297">
        <v>32767</v>
      </c>
      <c r="H297" s="1">
        <v>9807860</v>
      </c>
      <c r="I297">
        <v>130652522900</v>
      </c>
      <c r="J297">
        <v>818390451500</v>
      </c>
      <c r="K297">
        <v>6.26387025167808</v>
      </c>
      <c r="L297">
        <v>2124853900</v>
      </c>
      <c r="M297">
        <v>30269900</v>
      </c>
      <c r="N297">
        <v>44133211500</v>
      </c>
      <c r="O297">
        <v>44163481400</v>
      </c>
      <c r="P297">
        <v>29640800</v>
      </c>
      <c r="Q297">
        <v>83363718700</v>
      </c>
      <c r="R297">
        <v>83393359500</v>
      </c>
      <c r="S297">
        <v>8479500</v>
      </c>
      <c r="T297">
        <v>489721800</v>
      </c>
      <c r="U297">
        <v>223538055600</v>
      </c>
      <c r="V297">
        <v>587671665600</v>
      </c>
      <c r="W297">
        <v>3749300</v>
      </c>
      <c r="X297">
        <v>130652522900</v>
      </c>
    </row>
    <row r="298" spans="1:24" x14ac:dyDescent="0.3">
      <c r="A298">
        <v>122</v>
      </c>
      <c r="B298">
        <v>1048576</v>
      </c>
      <c r="C298">
        <v>3</v>
      </c>
      <c r="D298">
        <v>64</v>
      </c>
      <c r="E298">
        <v>0.35</v>
      </c>
      <c r="F298">
        <v>14</v>
      </c>
      <c r="G298">
        <v>32767</v>
      </c>
      <c r="H298" s="1">
        <v>1927488</v>
      </c>
      <c r="I298">
        <v>29750731700</v>
      </c>
      <c r="J298">
        <v>182249688400</v>
      </c>
      <c r="K298">
        <v>6.1258892802290301</v>
      </c>
      <c r="L298">
        <v>387134700</v>
      </c>
      <c r="M298">
        <v>681643700</v>
      </c>
      <c r="N298">
        <v>11576960200</v>
      </c>
      <c r="O298">
        <v>12258603900</v>
      </c>
      <c r="P298">
        <v>4928700</v>
      </c>
      <c r="Q298">
        <v>16112013800</v>
      </c>
      <c r="R298">
        <v>16116942500</v>
      </c>
      <c r="S298">
        <v>7916100</v>
      </c>
      <c r="T298">
        <v>816938000</v>
      </c>
      <c r="U298">
        <v>59823619700</v>
      </c>
      <c r="V298">
        <v>115754881800</v>
      </c>
      <c r="W298">
        <v>3681400</v>
      </c>
      <c r="X298">
        <v>29750731700</v>
      </c>
    </row>
    <row r="299" spans="1:24" x14ac:dyDescent="0.3">
      <c r="A299">
        <v>123</v>
      </c>
      <c r="B299">
        <v>1048576</v>
      </c>
      <c r="C299">
        <v>3</v>
      </c>
      <c r="D299">
        <v>64</v>
      </c>
      <c r="E299">
        <v>0.5</v>
      </c>
      <c r="F299">
        <v>14</v>
      </c>
      <c r="G299">
        <v>32767</v>
      </c>
      <c r="H299">
        <v>721832</v>
      </c>
      <c r="I299">
        <v>12490481200</v>
      </c>
      <c r="J299">
        <v>71924794800</v>
      </c>
      <c r="K299">
        <v>5.7583686047259697</v>
      </c>
      <c r="L299">
        <v>497187200</v>
      </c>
      <c r="M299">
        <v>560974800</v>
      </c>
      <c r="N299">
        <v>4354942600</v>
      </c>
      <c r="O299">
        <v>4915917400</v>
      </c>
      <c r="P299">
        <v>2111200</v>
      </c>
      <c r="Q299">
        <v>6072010500</v>
      </c>
      <c r="R299">
        <v>6074121700</v>
      </c>
      <c r="S299">
        <v>7836700</v>
      </c>
      <c r="T299">
        <v>791158500</v>
      </c>
      <c r="U299">
        <v>22438005500</v>
      </c>
      <c r="V299">
        <v>43427797600</v>
      </c>
      <c r="W299">
        <v>3707700</v>
      </c>
      <c r="X299">
        <v>12490481200</v>
      </c>
    </row>
    <row r="300" spans="1:24" x14ac:dyDescent="0.3">
      <c r="A300">
        <v>124</v>
      </c>
      <c r="B300">
        <v>1048576</v>
      </c>
      <c r="C300">
        <v>3</v>
      </c>
      <c r="D300">
        <v>64</v>
      </c>
      <c r="E300">
        <v>0.65</v>
      </c>
      <c r="F300">
        <v>14</v>
      </c>
      <c r="G300">
        <v>32767</v>
      </c>
      <c r="H300">
        <v>249500</v>
      </c>
      <c r="I300">
        <v>5765945400</v>
      </c>
      <c r="J300">
        <v>29430156100</v>
      </c>
      <c r="K300">
        <v>5.1041336777139703</v>
      </c>
      <c r="L300">
        <v>48583800</v>
      </c>
      <c r="M300">
        <v>1035782700</v>
      </c>
      <c r="N300">
        <v>1600557100</v>
      </c>
      <c r="O300">
        <v>2636339800</v>
      </c>
      <c r="P300">
        <v>735900</v>
      </c>
      <c r="Q300">
        <v>2113665000</v>
      </c>
      <c r="R300">
        <v>2114400900</v>
      </c>
      <c r="S300">
        <v>7936600</v>
      </c>
      <c r="T300">
        <v>532330700</v>
      </c>
      <c r="U300">
        <v>8229436900</v>
      </c>
      <c r="V300">
        <v>15180042100</v>
      </c>
      <c r="W300">
        <v>3729600</v>
      </c>
      <c r="X300">
        <v>5765945400</v>
      </c>
    </row>
    <row r="301" spans="1:24" x14ac:dyDescent="0.3">
      <c r="A301">
        <v>125</v>
      </c>
      <c r="B301">
        <v>1048576</v>
      </c>
      <c r="C301">
        <v>3</v>
      </c>
      <c r="D301">
        <v>64</v>
      </c>
      <c r="E301">
        <v>0.8</v>
      </c>
      <c r="F301">
        <v>14</v>
      </c>
      <c r="G301">
        <v>32767</v>
      </c>
      <c r="H301">
        <v>115844</v>
      </c>
      <c r="I301">
        <v>3950015300</v>
      </c>
      <c r="J301">
        <v>17739853700</v>
      </c>
      <c r="K301">
        <v>4.4910848066841602</v>
      </c>
      <c r="L301">
        <v>67836700</v>
      </c>
      <c r="M301">
        <v>1015682200</v>
      </c>
      <c r="N301">
        <v>901505200</v>
      </c>
      <c r="O301">
        <v>1917187400</v>
      </c>
      <c r="P301">
        <v>402600</v>
      </c>
      <c r="Q301">
        <v>998499300</v>
      </c>
      <c r="R301">
        <v>998901900</v>
      </c>
      <c r="S301">
        <v>8477500</v>
      </c>
      <c r="T301">
        <v>483455600</v>
      </c>
      <c r="U301">
        <v>4640574200</v>
      </c>
      <c r="V301">
        <v>7001418700</v>
      </c>
      <c r="W301">
        <v>3871900</v>
      </c>
      <c r="X301">
        <v>3950015300</v>
      </c>
    </row>
    <row r="302" spans="1:24" x14ac:dyDescent="0.3">
      <c r="A302">
        <v>126</v>
      </c>
      <c r="B302">
        <v>1048576</v>
      </c>
      <c r="C302">
        <v>3</v>
      </c>
      <c r="D302">
        <v>64</v>
      </c>
      <c r="E302">
        <v>0.95</v>
      </c>
      <c r="F302">
        <v>14</v>
      </c>
      <c r="G302">
        <v>32767</v>
      </c>
      <c r="H302">
        <v>65536</v>
      </c>
      <c r="I302">
        <v>2948695800</v>
      </c>
      <c r="J302">
        <v>12312281300</v>
      </c>
      <c r="K302">
        <v>4.1755006738911398</v>
      </c>
      <c r="L302">
        <v>10506200</v>
      </c>
      <c r="M302">
        <v>1068496200</v>
      </c>
      <c r="N302">
        <v>309278800</v>
      </c>
      <c r="O302">
        <v>1377775000</v>
      </c>
      <c r="P302">
        <v>163200</v>
      </c>
      <c r="Q302">
        <v>583885000</v>
      </c>
      <c r="R302">
        <v>584048200</v>
      </c>
      <c r="S302">
        <v>7912200</v>
      </c>
      <c r="T302">
        <v>757738500</v>
      </c>
      <c r="U302">
        <v>1591186900</v>
      </c>
      <c r="V302">
        <v>4033854000</v>
      </c>
      <c r="W302">
        <v>3788900</v>
      </c>
      <c r="X302">
        <v>2948695800</v>
      </c>
    </row>
    <row r="303" spans="1:24" x14ac:dyDescent="0.3">
      <c r="A303">
        <v>127</v>
      </c>
      <c r="B303">
        <v>1048576</v>
      </c>
      <c r="C303">
        <v>4</v>
      </c>
      <c r="D303">
        <v>125</v>
      </c>
      <c r="E303">
        <v>0.2</v>
      </c>
      <c r="F303">
        <v>14</v>
      </c>
      <c r="G303">
        <v>32767</v>
      </c>
      <c r="H303" s="1">
        <v>9807112</v>
      </c>
      <c r="I303">
        <v>234977581100</v>
      </c>
      <c r="J303">
        <v>1429000492200</v>
      </c>
      <c r="K303">
        <v>6.0814333244491801</v>
      </c>
      <c r="L303">
        <v>2171642700</v>
      </c>
      <c r="M303">
        <v>810320700</v>
      </c>
      <c r="N303">
        <v>144830932200</v>
      </c>
      <c r="O303">
        <v>145641252900</v>
      </c>
      <c r="P303">
        <v>29026700</v>
      </c>
      <c r="Q303">
        <v>85570201400</v>
      </c>
      <c r="R303">
        <v>85599228100</v>
      </c>
      <c r="S303">
        <v>7867600</v>
      </c>
      <c r="T303">
        <v>786834800</v>
      </c>
      <c r="U303">
        <v>827513192800</v>
      </c>
      <c r="V303">
        <v>586765881100</v>
      </c>
      <c r="W303">
        <v>3919500</v>
      </c>
      <c r="X303">
        <v>234977581100</v>
      </c>
    </row>
    <row r="304" spans="1:24" x14ac:dyDescent="0.3">
      <c r="A304">
        <v>128</v>
      </c>
      <c r="B304">
        <v>1048576</v>
      </c>
      <c r="C304">
        <v>4</v>
      </c>
      <c r="D304">
        <v>125</v>
      </c>
      <c r="E304">
        <v>0.35</v>
      </c>
      <c r="F304">
        <v>14</v>
      </c>
      <c r="G304">
        <v>32767</v>
      </c>
      <c r="H304" s="1">
        <v>1930356</v>
      </c>
      <c r="I304">
        <v>59561129700</v>
      </c>
      <c r="J304">
        <v>351154475800</v>
      </c>
      <c r="K304">
        <v>5.8956987143915702</v>
      </c>
      <c r="L304">
        <v>384402200</v>
      </c>
      <c r="M304">
        <v>2576835800</v>
      </c>
      <c r="N304">
        <v>38555211800</v>
      </c>
      <c r="O304">
        <v>41132047600</v>
      </c>
      <c r="P304">
        <v>5216400</v>
      </c>
      <c r="Q304">
        <v>16683052500</v>
      </c>
      <c r="R304">
        <v>16688268900</v>
      </c>
      <c r="S304">
        <v>7746700</v>
      </c>
      <c r="T304">
        <v>884749900</v>
      </c>
      <c r="U304">
        <v>221959965900</v>
      </c>
      <c r="V304">
        <v>115657194200</v>
      </c>
      <c r="W304">
        <v>3745400</v>
      </c>
      <c r="X304">
        <v>59561129700</v>
      </c>
    </row>
    <row r="305" spans="1:24" x14ac:dyDescent="0.3">
      <c r="A305">
        <v>129</v>
      </c>
      <c r="B305">
        <v>1048576</v>
      </c>
      <c r="C305">
        <v>4</v>
      </c>
      <c r="D305">
        <v>125</v>
      </c>
      <c r="E305">
        <v>0.5</v>
      </c>
      <c r="F305">
        <v>14</v>
      </c>
      <c r="G305">
        <v>32767</v>
      </c>
      <c r="H305">
        <v>721732</v>
      </c>
      <c r="I305">
        <v>25167551000</v>
      </c>
      <c r="J305">
        <v>140084514700</v>
      </c>
      <c r="K305">
        <v>5.5660765205164298</v>
      </c>
      <c r="L305">
        <v>141012600</v>
      </c>
      <c r="M305">
        <v>2825650500</v>
      </c>
      <c r="N305">
        <v>14574517900</v>
      </c>
      <c r="O305">
        <v>17400168400</v>
      </c>
      <c r="P305">
        <v>2056800</v>
      </c>
      <c r="Q305">
        <v>6263369300</v>
      </c>
      <c r="R305">
        <v>6265426100</v>
      </c>
      <c r="S305">
        <v>8889400</v>
      </c>
      <c r="T305">
        <v>499108300</v>
      </c>
      <c r="U305">
        <v>83801769200</v>
      </c>
      <c r="V305">
        <v>43323759600</v>
      </c>
      <c r="W305">
        <v>3755700</v>
      </c>
      <c r="X305">
        <v>25167551000</v>
      </c>
    </row>
    <row r="306" spans="1:24" x14ac:dyDescent="0.3">
      <c r="A306">
        <v>130</v>
      </c>
      <c r="B306">
        <v>1048576</v>
      </c>
      <c r="C306">
        <v>4</v>
      </c>
      <c r="D306">
        <v>125</v>
      </c>
      <c r="E306">
        <v>0.65</v>
      </c>
      <c r="F306">
        <v>14</v>
      </c>
      <c r="G306">
        <v>32767</v>
      </c>
      <c r="H306">
        <v>249832</v>
      </c>
      <c r="I306">
        <v>11786327200</v>
      </c>
      <c r="J306">
        <v>59186106900</v>
      </c>
      <c r="K306">
        <v>5.0215903475002799</v>
      </c>
      <c r="L306">
        <v>48593400</v>
      </c>
      <c r="M306">
        <v>2908992000</v>
      </c>
      <c r="N306">
        <v>5281280400</v>
      </c>
      <c r="O306">
        <v>8190272400</v>
      </c>
      <c r="P306">
        <v>772100</v>
      </c>
      <c r="Q306">
        <v>2179896800</v>
      </c>
      <c r="R306">
        <v>2180668900</v>
      </c>
      <c r="S306">
        <v>7969500</v>
      </c>
      <c r="T306">
        <v>864630500</v>
      </c>
      <c r="U306">
        <v>30823113100</v>
      </c>
      <c r="V306">
        <v>15164292000</v>
      </c>
      <c r="W306">
        <v>3716700</v>
      </c>
      <c r="X306">
        <v>11786327200</v>
      </c>
    </row>
    <row r="307" spans="1:24" x14ac:dyDescent="0.3">
      <c r="A307">
        <v>131</v>
      </c>
      <c r="B307">
        <v>1048576</v>
      </c>
      <c r="C307">
        <v>4</v>
      </c>
      <c r="D307">
        <v>125</v>
      </c>
      <c r="E307">
        <v>0.8</v>
      </c>
      <c r="F307">
        <v>14</v>
      </c>
      <c r="G307">
        <v>32767</v>
      </c>
      <c r="H307">
        <v>115440</v>
      </c>
      <c r="I307">
        <v>8264951000</v>
      </c>
      <c r="J307">
        <v>37581796500</v>
      </c>
      <c r="K307">
        <v>4.5471287730562402</v>
      </c>
      <c r="L307">
        <v>23780600</v>
      </c>
      <c r="M307">
        <v>2941378000</v>
      </c>
      <c r="N307">
        <v>2900511800</v>
      </c>
      <c r="O307">
        <v>5841889800</v>
      </c>
      <c r="P307">
        <v>414100</v>
      </c>
      <c r="Q307">
        <v>1037708000</v>
      </c>
      <c r="R307">
        <v>1038122100</v>
      </c>
      <c r="S307">
        <v>8016300</v>
      </c>
      <c r="T307">
        <v>859132300</v>
      </c>
      <c r="U307">
        <v>16765550600</v>
      </c>
      <c r="V307">
        <v>7116566100</v>
      </c>
      <c r="W307">
        <v>3764600</v>
      </c>
      <c r="X307">
        <v>8264951000</v>
      </c>
    </row>
    <row r="308" spans="1:24" x14ac:dyDescent="0.3">
      <c r="A308">
        <v>132</v>
      </c>
      <c r="B308">
        <v>1048576</v>
      </c>
      <c r="C308">
        <v>4</v>
      </c>
      <c r="D308">
        <v>125</v>
      </c>
      <c r="E308">
        <v>0.95</v>
      </c>
      <c r="F308">
        <v>14</v>
      </c>
      <c r="G308">
        <v>32767</v>
      </c>
      <c r="H308">
        <v>65536</v>
      </c>
      <c r="I308">
        <v>5908898000</v>
      </c>
      <c r="J308">
        <v>23469444700</v>
      </c>
      <c r="K308">
        <v>3.9718818466658199</v>
      </c>
      <c r="L308">
        <v>10241500</v>
      </c>
      <c r="M308">
        <v>2970843800</v>
      </c>
      <c r="N308">
        <v>1013064700</v>
      </c>
      <c r="O308">
        <v>3983908500</v>
      </c>
      <c r="P308">
        <v>150100</v>
      </c>
      <c r="Q308">
        <v>581826800</v>
      </c>
      <c r="R308">
        <v>581976900</v>
      </c>
      <c r="S308">
        <v>7847200</v>
      </c>
      <c r="T308">
        <v>878473400</v>
      </c>
      <c r="U308">
        <v>5852575200</v>
      </c>
      <c r="V308">
        <v>3991207200</v>
      </c>
      <c r="W308">
        <v>3835700</v>
      </c>
      <c r="X308">
        <v>5908898000</v>
      </c>
    </row>
    <row r="309" spans="1:24" x14ac:dyDescent="0.3">
      <c r="A309">
        <v>133</v>
      </c>
      <c r="B309">
        <v>1048576</v>
      </c>
      <c r="C309">
        <v>5</v>
      </c>
      <c r="D309">
        <v>216</v>
      </c>
      <c r="E309">
        <v>0.2</v>
      </c>
      <c r="F309">
        <v>13</v>
      </c>
      <c r="G309">
        <v>16383</v>
      </c>
      <c r="H309" s="1">
        <v>3774572</v>
      </c>
      <c r="I309">
        <v>432590628200</v>
      </c>
      <c r="J309">
        <v>2342819987400</v>
      </c>
      <c r="K309">
        <v>5.4157899748046301</v>
      </c>
      <c r="L309">
        <v>819663600</v>
      </c>
      <c r="M309">
        <v>5139543000</v>
      </c>
      <c r="N309">
        <v>297417270300</v>
      </c>
      <c r="O309">
        <v>302556813300</v>
      </c>
      <c r="P309">
        <v>8926000</v>
      </c>
      <c r="Q309">
        <v>127554674800</v>
      </c>
      <c r="R309">
        <v>127563600800</v>
      </c>
      <c r="S309">
        <v>9027700</v>
      </c>
      <c r="T309">
        <v>542510600</v>
      </c>
      <c r="U309">
        <v>1392154413900</v>
      </c>
      <c r="V309">
        <v>932692372800</v>
      </c>
      <c r="W309">
        <v>3785800</v>
      </c>
      <c r="X309">
        <v>432590628200</v>
      </c>
    </row>
    <row r="310" spans="1:24" x14ac:dyDescent="0.3">
      <c r="A310">
        <v>134</v>
      </c>
      <c r="B310">
        <v>1048576</v>
      </c>
      <c r="C310">
        <v>5</v>
      </c>
      <c r="D310">
        <v>216</v>
      </c>
      <c r="E310">
        <v>0.35</v>
      </c>
      <c r="F310">
        <v>13</v>
      </c>
      <c r="G310">
        <v>16383</v>
      </c>
      <c r="H310">
        <v>863620</v>
      </c>
      <c r="I310">
        <v>110111716700</v>
      </c>
      <c r="J310">
        <v>579902902400</v>
      </c>
      <c r="K310">
        <v>5.2664958805423803</v>
      </c>
      <c r="L310">
        <v>181186400</v>
      </c>
      <c r="M310">
        <v>5654247000</v>
      </c>
      <c r="N310">
        <v>73680959200</v>
      </c>
      <c r="O310">
        <v>79335206200</v>
      </c>
      <c r="P310">
        <v>2286600</v>
      </c>
      <c r="Q310">
        <v>28939857000</v>
      </c>
      <c r="R310">
        <v>28942143600</v>
      </c>
      <c r="S310">
        <v>8504900</v>
      </c>
      <c r="T310">
        <v>860830100</v>
      </c>
      <c r="U310">
        <v>350018534900</v>
      </c>
      <c r="V310">
        <v>212461525200</v>
      </c>
      <c r="W310">
        <v>3766700</v>
      </c>
      <c r="X310">
        <v>110111716700</v>
      </c>
    </row>
    <row r="311" spans="1:24" x14ac:dyDescent="0.3">
      <c r="A311">
        <v>135</v>
      </c>
      <c r="B311">
        <v>1048576</v>
      </c>
      <c r="C311">
        <v>5</v>
      </c>
      <c r="D311">
        <v>216</v>
      </c>
      <c r="E311">
        <v>0.5</v>
      </c>
      <c r="F311">
        <v>13</v>
      </c>
      <c r="G311">
        <v>16383</v>
      </c>
      <c r="H311">
        <v>310412</v>
      </c>
      <c r="I311">
        <v>45761659000</v>
      </c>
      <c r="J311">
        <v>225222887900</v>
      </c>
      <c r="K311">
        <v>4.9216504126303597</v>
      </c>
      <c r="L311">
        <v>64861200</v>
      </c>
      <c r="M311">
        <v>5773507800</v>
      </c>
      <c r="N311">
        <v>27787868400</v>
      </c>
      <c r="O311">
        <v>33561376200</v>
      </c>
      <c r="P311">
        <v>879000</v>
      </c>
      <c r="Q311">
        <v>10489286200</v>
      </c>
      <c r="R311">
        <v>10490165200</v>
      </c>
      <c r="S311">
        <v>8063400</v>
      </c>
      <c r="T311">
        <v>852824500</v>
      </c>
      <c r="U311">
        <v>131302289100</v>
      </c>
      <c r="V311">
        <v>76340191600</v>
      </c>
      <c r="W311">
        <v>3817200</v>
      </c>
      <c r="X311">
        <v>45761659000</v>
      </c>
    </row>
    <row r="312" spans="1:24" x14ac:dyDescent="0.3">
      <c r="A312">
        <v>136</v>
      </c>
      <c r="B312">
        <v>1048576</v>
      </c>
      <c r="C312">
        <v>5</v>
      </c>
      <c r="D312">
        <v>216</v>
      </c>
      <c r="E312">
        <v>0.65</v>
      </c>
      <c r="F312">
        <v>13</v>
      </c>
      <c r="G312">
        <v>16383</v>
      </c>
      <c r="H312">
        <v>103468</v>
      </c>
      <c r="I312">
        <v>22160860500</v>
      </c>
      <c r="J312">
        <v>95991509000</v>
      </c>
      <c r="K312">
        <v>4.3315785955152704</v>
      </c>
      <c r="L312">
        <v>22515600</v>
      </c>
      <c r="M312">
        <v>5845016300</v>
      </c>
      <c r="N312">
        <v>11142883500</v>
      </c>
      <c r="O312">
        <v>16987899800</v>
      </c>
      <c r="P312">
        <v>396700</v>
      </c>
      <c r="Q312">
        <v>3503234100</v>
      </c>
      <c r="R312">
        <v>3503630800</v>
      </c>
      <c r="S312">
        <v>7816900</v>
      </c>
      <c r="T312">
        <v>835603100</v>
      </c>
      <c r="U312">
        <v>52948739100</v>
      </c>
      <c r="V312">
        <v>25509465700</v>
      </c>
      <c r="W312">
        <v>3750000</v>
      </c>
      <c r="X312">
        <v>22160860500</v>
      </c>
    </row>
    <row r="313" spans="1:24" x14ac:dyDescent="0.3">
      <c r="A313">
        <v>137</v>
      </c>
      <c r="B313">
        <v>1048576</v>
      </c>
      <c r="C313">
        <v>5</v>
      </c>
      <c r="D313">
        <v>216</v>
      </c>
      <c r="E313">
        <v>0.8</v>
      </c>
      <c r="F313">
        <v>13</v>
      </c>
      <c r="G313">
        <v>16383</v>
      </c>
      <c r="H313">
        <v>59172</v>
      </c>
      <c r="I313">
        <v>15308764300</v>
      </c>
      <c r="J313">
        <v>60026226600</v>
      </c>
      <c r="K313">
        <v>3.9210366966065302</v>
      </c>
      <c r="L313">
        <v>12210300</v>
      </c>
      <c r="M313">
        <v>5875673300</v>
      </c>
      <c r="N313">
        <v>5752035200</v>
      </c>
      <c r="O313">
        <v>11627708500</v>
      </c>
      <c r="P313">
        <v>154200</v>
      </c>
      <c r="Q313">
        <v>2012365200</v>
      </c>
      <c r="R313">
        <v>2012519400</v>
      </c>
      <c r="S313">
        <v>8584600</v>
      </c>
      <c r="T313">
        <v>852664100</v>
      </c>
      <c r="U313">
        <v>27923196300</v>
      </c>
      <c r="V313">
        <v>14541149400</v>
      </c>
      <c r="W313">
        <v>3841600</v>
      </c>
      <c r="X313">
        <v>15308764300</v>
      </c>
    </row>
    <row r="314" spans="1:24" x14ac:dyDescent="0.3">
      <c r="A314">
        <v>138</v>
      </c>
      <c r="B314">
        <v>1048576</v>
      </c>
      <c r="C314">
        <v>5</v>
      </c>
      <c r="D314">
        <v>216</v>
      </c>
      <c r="E314">
        <v>0.95</v>
      </c>
      <c r="F314">
        <v>13</v>
      </c>
      <c r="G314">
        <v>16383</v>
      </c>
      <c r="H314">
        <v>16384</v>
      </c>
      <c r="I314">
        <v>11798059900</v>
      </c>
      <c r="J314">
        <v>39653681000</v>
      </c>
      <c r="K314">
        <v>3.36103404594513</v>
      </c>
      <c r="L314">
        <v>5369700</v>
      </c>
      <c r="M314">
        <v>5901313000</v>
      </c>
      <c r="N314">
        <v>3646849500</v>
      </c>
      <c r="O314">
        <v>9548162500</v>
      </c>
      <c r="P314">
        <v>107800</v>
      </c>
      <c r="Q314">
        <v>582552300</v>
      </c>
      <c r="R314">
        <v>582660100</v>
      </c>
      <c r="S314">
        <v>8050800</v>
      </c>
      <c r="T314">
        <v>819170500</v>
      </c>
      <c r="U314">
        <v>17198752200</v>
      </c>
      <c r="V314">
        <v>4084342000</v>
      </c>
      <c r="W314">
        <v>3784700</v>
      </c>
      <c r="X314">
        <v>11798059900</v>
      </c>
    </row>
    <row r="315" spans="1:24" x14ac:dyDescent="0.3">
      <c r="A315">
        <v>139</v>
      </c>
      <c r="B315">
        <v>1048576</v>
      </c>
      <c r="C315">
        <v>6</v>
      </c>
      <c r="D315">
        <v>343</v>
      </c>
      <c r="E315">
        <v>0.2</v>
      </c>
      <c r="F315">
        <v>12</v>
      </c>
      <c r="G315">
        <v>8191</v>
      </c>
      <c r="H315" s="1">
        <v>2279600</v>
      </c>
      <c r="I315">
        <v>556014363800</v>
      </c>
      <c r="J315">
        <v>3456769910800</v>
      </c>
      <c r="K315">
        <v>6.21705145740337</v>
      </c>
      <c r="L315">
        <v>369505000</v>
      </c>
      <c r="M315">
        <v>13636205200</v>
      </c>
      <c r="N315">
        <v>232248193400</v>
      </c>
      <c r="O315">
        <v>245884398600</v>
      </c>
      <c r="P315">
        <v>5604500</v>
      </c>
      <c r="Q315">
        <v>307734545300</v>
      </c>
      <c r="R315">
        <v>307740149800</v>
      </c>
      <c r="S315">
        <v>21943900</v>
      </c>
      <c r="T315">
        <v>742139100</v>
      </c>
      <c r="U315">
        <v>1079390402900</v>
      </c>
      <c r="V315">
        <v>2354818462100</v>
      </c>
      <c r="W315">
        <v>3813100</v>
      </c>
      <c r="X315">
        <v>556014363800</v>
      </c>
    </row>
    <row r="316" spans="1:24" x14ac:dyDescent="0.3">
      <c r="A316">
        <v>140</v>
      </c>
      <c r="B316">
        <v>1048576</v>
      </c>
      <c r="C316">
        <v>6</v>
      </c>
      <c r="D316">
        <v>343</v>
      </c>
      <c r="E316">
        <v>0.35</v>
      </c>
      <c r="F316">
        <v>12</v>
      </c>
      <c r="G316">
        <v>8191</v>
      </c>
      <c r="H316">
        <v>511120</v>
      </c>
      <c r="I316">
        <v>151076684700</v>
      </c>
      <c r="J316">
        <v>861832363500</v>
      </c>
      <c r="K316">
        <v>5.7046020384374998</v>
      </c>
      <c r="L316">
        <v>101995500</v>
      </c>
      <c r="M316">
        <v>13773407100</v>
      </c>
      <c r="N316">
        <v>66262324700</v>
      </c>
      <c r="O316">
        <v>80035731800</v>
      </c>
      <c r="P316">
        <v>1678000</v>
      </c>
      <c r="Q316">
        <v>68569253900</v>
      </c>
      <c r="R316">
        <v>68570931900</v>
      </c>
      <c r="S316">
        <v>9426700</v>
      </c>
      <c r="T316">
        <v>454026800</v>
      </c>
      <c r="U316">
        <v>311866904100</v>
      </c>
      <c r="V316">
        <v>527834758600</v>
      </c>
      <c r="W316">
        <v>3812400</v>
      </c>
      <c r="X316">
        <v>151076684700</v>
      </c>
    </row>
    <row r="317" spans="1:24" x14ac:dyDescent="0.3">
      <c r="A317">
        <v>141</v>
      </c>
      <c r="B317">
        <v>1048576</v>
      </c>
      <c r="C317">
        <v>6</v>
      </c>
      <c r="D317">
        <v>343</v>
      </c>
      <c r="E317">
        <v>0.5</v>
      </c>
      <c r="F317">
        <v>12</v>
      </c>
      <c r="G317">
        <v>8191</v>
      </c>
      <c r="H317">
        <v>181008</v>
      </c>
      <c r="I317">
        <v>70731548400</v>
      </c>
      <c r="J317">
        <v>352182239500</v>
      </c>
      <c r="K317">
        <v>4.9791394005450602</v>
      </c>
      <c r="L317">
        <v>32693300</v>
      </c>
      <c r="M317">
        <v>13894255900</v>
      </c>
      <c r="N317">
        <v>30593352300</v>
      </c>
      <c r="O317">
        <v>44487608200</v>
      </c>
      <c r="P317">
        <v>615800</v>
      </c>
      <c r="Q317">
        <v>24219085900</v>
      </c>
      <c r="R317">
        <v>24219701700</v>
      </c>
      <c r="S317">
        <v>8543400</v>
      </c>
      <c r="T317">
        <v>766856000</v>
      </c>
      <c r="U317">
        <v>143474267700</v>
      </c>
      <c r="V317">
        <v>187101585300</v>
      </c>
      <c r="W317">
        <v>3785800</v>
      </c>
      <c r="X317">
        <v>70731548400</v>
      </c>
    </row>
    <row r="318" spans="1:24" x14ac:dyDescent="0.3">
      <c r="A318">
        <v>142</v>
      </c>
      <c r="B318">
        <v>1048576</v>
      </c>
      <c r="C318">
        <v>6</v>
      </c>
      <c r="D318">
        <v>343</v>
      </c>
      <c r="E318">
        <v>0.65</v>
      </c>
      <c r="F318">
        <v>12</v>
      </c>
      <c r="G318">
        <v>8191</v>
      </c>
      <c r="H318">
        <v>72776</v>
      </c>
      <c r="I318">
        <v>36646818800</v>
      </c>
      <c r="J318">
        <v>148232816500</v>
      </c>
      <c r="K318">
        <v>4.0449027051701396</v>
      </c>
      <c r="L318">
        <v>12046200</v>
      </c>
      <c r="M318">
        <v>13941783500</v>
      </c>
      <c r="N318">
        <v>10912963800</v>
      </c>
      <c r="O318">
        <v>24854747300</v>
      </c>
      <c r="P318">
        <v>248600</v>
      </c>
      <c r="Q318">
        <v>9793359700</v>
      </c>
      <c r="R318">
        <v>9793608300</v>
      </c>
      <c r="S318">
        <v>8569200</v>
      </c>
      <c r="T318">
        <v>831038300</v>
      </c>
      <c r="U318">
        <v>50952127600</v>
      </c>
      <c r="V318">
        <v>75320330800</v>
      </c>
      <c r="W318">
        <v>3801500</v>
      </c>
      <c r="X318">
        <v>36646818800</v>
      </c>
    </row>
    <row r="319" spans="1:24" x14ac:dyDescent="0.3">
      <c r="A319">
        <v>143</v>
      </c>
      <c r="B319">
        <v>1048576</v>
      </c>
      <c r="C319">
        <v>6</v>
      </c>
      <c r="D319">
        <v>343</v>
      </c>
      <c r="E319">
        <v>0.8</v>
      </c>
      <c r="F319">
        <v>12</v>
      </c>
      <c r="G319">
        <v>8191</v>
      </c>
      <c r="H319">
        <v>36280</v>
      </c>
      <c r="I319">
        <v>26835048700</v>
      </c>
      <c r="J319">
        <v>87709869100</v>
      </c>
      <c r="K319">
        <v>3.2684818306292098</v>
      </c>
      <c r="L319">
        <v>6199900</v>
      </c>
      <c r="M319">
        <v>13894035200</v>
      </c>
      <c r="N319">
        <v>6026845700</v>
      </c>
      <c r="O319">
        <v>19920880900</v>
      </c>
      <c r="P319">
        <v>190700</v>
      </c>
      <c r="Q319">
        <v>4884571000</v>
      </c>
      <c r="R319">
        <v>4884761700</v>
      </c>
      <c r="S319">
        <v>21788700</v>
      </c>
      <c r="T319">
        <v>801864400</v>
      </c>
      <c r="U319">
        <v>28412553400</v>
      </c>
      <c r="V319">
        <v>37304934800</v>
      </c>
      <c r="W319">
        <v>3764900</v>
      </c>
      <c r="X319">
        <v>26835048700</v>
      </c>
    </row>
    <row r="320" spans="1:24" x14ac:dyDescent="0.3">
      <c r="A320">
        <v>144</v>
      </c>
      <c r="B320">
        <v>1048576</v>
      </c>
      <c r="C320">
        <v>6</v>
      </c>
      <c r="D320">
        <v>343</v>
      </c>
      <c r="E320">
        <v>0.95</v>
      </c>
      <c r="F320">
        <v>12</v>
      </c>
      <c r="G320">
        <v>8191</v>
      </c>
      <c r="H320">
        <v>24576</v>
      </c>
      <c r="I320">
        <v>21236964300</v>
      </c>
      <c r="J320">
        <v>56192521600</v>
      </c>
      <c r="K320">
        <v>2.6459771183021599</v>
      </c>
      <c r="L320">
        <v>3267500</v>
      </c>
      <c r="M320">
        <v>13978174500</v>
      </c>
      <c r="N320">
        <v>1911409700</v>
      </c>
      <c r="O320">
        <v>15889584200</v>
      </c>
      <c r="P320">
        <v>163600</v>
      </c>
      <c r="Q320">
        <v>3326300400</v>
      </c>
      <c r="R320">
        <v>3326464000</v>
      </c>
      <c r="S320">
        <v>7980500</v>
      </c>
      <c r="T320">
        <v>797896000</v>
      </c>
      <c r="U320">
        <v>8964929000</v>
      </c>
      <c r="V320">
        <v>25363039200</v>
      </c>
      <c r="W320">
        <v>3830600</v>
      </c>
      <c r="X320">
        <v>21236964300</v>
      </c>
    </row>
    <row r="321" spans="1:24" x14ac:dyDescent="0.3">
      <c r="A321">
        <v>145</v>
      </c>
      <c r="B321">
        <v>1048576</v>
      </c>
      <c r="C321">
        <v>7</v>
      </c>
      <c r="D321">
        <v>512</v>
      </c>
      <c r="E321">
        <v>0.2</v>
      </c>
      <c r="F321">
        <v>11</v>
      </c>
      <c r="G321">
        <v>4095</v>
      </c>
      <c r="H321">
        <v>958192</v>
      </c>
      <c r="I321">
        <v>689750648200</v>
      </c>
      <c r="J321">
        <v>5061157169200</v>
      </c>
      <c r="K321">
        <v>7.3376620702101398</v>
      </c>
      <c r="L321">
        <v>139096200</v>
      </c>
      <c r="M321">
        <v>16609047300</v>
      </c>
      <c r="N321">
        <v>152045931400</v>
      </c>
      <c r="O321">
        <v>168654978700</v>
      </c>
      <c r="P321">
        <v>2604300</v>
      </c>
      <c r="Q321">
        <v>518966410600</v>
      </c>
      <c r="R321">
        <v>518969014900</v>
      </c>
      <c r="S321">
        <v>9523500</v>
      </c>
      <c r="T321">
        <v>799376800</v>
      </c>
      <c r="U321">
        <v>810105929400</v>
      </c>
      <c r="V321">
        <v>4225031503900</v>
      </c>
      <c r="W321">
        <v>3837700</v>
      </c>
      <c r="X321">
        <v>689750648200</v>
      </c>
    </row>
    <row r="322" spans="1:24" x14ac:dyDescent="0.3">
      <c r="A322">
        <v>146</v>
      </c>
      <c r="B322">
        <v>1048576</v>
      </c>
      <c r="C322">
        <v>7</v>
      </c>
      <c r="D322">
        <v>512</v>
      </c>
      <c r="E322">
        <v>0.35</v>
      </c>
      <c r="F322">
        <v>11</v>
      </c>
      <c r="G322">
        <v>4095</v>
      </c>
      <c r="H322">
        <v>216780</v>
      </c>
      <c r="I322">
        <v>198046893200</v>
      </c>
      <c r="J322">
        <v>1312396589900</v>
      </c>
      <c r="K322">
        <v>6.6266961763174903</v>
      </c>
      <c r="L322">
        <v>37454800</v>
      </c>
      <c r="M322">
        <v>16560967000</v>
      </c>
      <c r="N322">
        <v>62021410500</v>
      </c>
      <c r="O322">
        <v>78582377500</v>
      </c>
      <c r="P322">
        <v>646600</v>
      </c>
      <c r="Q322">
        <v>117404872400</v>
      </c>
      <c r="R322">
        <v>117405519000</v>
      </c>
      <c r="S322">
        <v>24629600</v>
      </c>
      <c r="T322">
        <v>697452800</v>
      </c>
      <c r="U322">
        <v>331899526500</v>
      </c>
      <c r="V322">
        <v>954861511600</v>
      </c>
      <c r="W322">
        <v>3841400</v>
      </c>
      <c r="X322">
        <v>198046893200</v>
      </c>
    </row>
    <row r="323" spans="1:24" x14ac:dyDescent="0.3">
      <c r="A323">
        <v>147</v>
      </c>
      <c r="B323">
        <v>1048576</v>
      </c>
      <c r="C323">
        <v>7</v>
      </c>
      <c r="D323">
        <v>512</v>
      </c>
      <c r="E323">
        <v>0.5</v>
      </c>
      <c r="F323">
        <v>11</v>
      </c>
      <c r="G323">
        <v>4095</v>
      </c>
      <c r="H323">
        <v>90592</v>
      </c>
      <c r="I323">
        <v>91420194600</v>
      </c>
      <c r="J323">
        <v>555197334900</v>
      </c>
      <c r="K323">
        <v>6.0730272707163904</v>
      </c>
      <c r="L323">
        <v>15147300</v>
      </c>
      <c r="M323">
        <v>16572783900</v>
      </c>
      <c r="N323">
        <v>24261089800</v>
      </c>
      <c r="O323">
        <v>40833873700</v>
      </c>
      <c r="P323">
        <v>265800</v>
      </c>
      <c r="Q323">
        <v>48576344000</v>
      </c>
      <c r="R323">
        <v>48576609800</v>
      </c>
      <c r="S323">
        <v>8521400</v>
      </c>
      <c r="T323">
        <v>753243200</v>
      </c>
      <c r="U323">
        <v>130007192900</v>
      </c>
      <c r="V323">
        <v>399226386700</v>
      </c>
      <c r="W323">
        <v>3856400</v>
      </c>
      <c r="X323">
        <v>91420194600</v>
      </c>
    </row>
    <row r="324" spans="1:24" x14ac:dyDescent="0.3">
      <c r="A324">
        <v>148</v>
      </c>
      <c r="B324">
        <v>1048576</v>
      </c>
      <c r="C324">
        <v>7</v>
      </c>
      <c r="D324">
        <v>512</v>
      </c>
      <c r="E324">
        <v>0.65</v>
      </c>
      <c r="F324">
        <v>11</v>
      </c>
      <c r="G324">
        <v>4095</v>
      </c>
      <c r="H324">
        <v>31584</v>
      </c>
      <c r="I324">
        <v>46011444700</v>
      </c>
      <c r="J324">
        <v>221280430500</v>
      </c>
      <c r="K324">
        <v>4.8092476109536202</v>
      </c>
      <c r="L324">
        <v>5855200</v>
      </c>
      <c r="M324">
        <v>16568963000</v>
      </c>
      <c r="N324">
        <v>10480480500</v>
      </c>
      <c r="O324">
        <v>27049443500</v>
      </c>
      <c r="P324">
        <v>194100</v>
      </c>
      <c r="Q324">
        <v>16959371800</v>
      </c>
      <c r="R324">
        <v>16959565900</v>
      </c>
      <c r="S324">
        <v>8515100</v>
      </c>
      <c r="T324">
        <v>763467700</v>
      </c>
      <c r="U324">
        <v>56258424400</v>
      </c>
      <c r="V324">
        <v>138969123000</v>
      </c>
      <c r="W324">
        <v>3783900</v>
      </c>
      <c r="X324">
        <v>46011444700</v>
      </c>
    </row>
    <row r="325" spans="1:24" x14ac:dyDescent="0.3">
      <c r="A325">
        <v>149</v>
      </c>
      <c r="B325">
        <v>1048576</v>
      </c>
      <c r="C325">
        <v>7</v>
      </c>
      <c r="D325">
        <v>512</v>
      </c>
      <c r="E325">
        <v>0.8</v>
      </c>
      <c r="F325">
        <v>11</v>
      </c>
      <c r="G325">
        <v>4095</v>
      </c>
      <c r="H325">
        <v>15580</v>
      </c>
      <c r="I325">
        <v>33624821300</v>
      </c>
      <c r="J325">
        <v>129176599400</v>
      </c>
      <c r="K325">
        <v>3.8417036702586098</v>
      </c>
      <c r="L325">
        <v>3156200</v>
      </c>
      <c r="M325">
        <v>16718324400</v>
      </c>
      <c r="N325">
        <v>6503861600</v>
      </c>
      <c r="O325">
        <v>23222186000</v>
      </c>
      <c r="P325">
        <v>161300</v>
      </c>
      <c r="Q325">
        <v>8413192900</v>
      </c>
      <c r="R325">
        <v>8413354200</v>
      </c>
      <c r="S325">
        <v>7988900</v>
      </c>
      <c r="T325">
        <v>765116000</v>
      </c>
      <c r="U325">
        <v>34858149400</v>
      </c>
      <c r="V325">
        <v>68570471400</v>
      </c>
      <c r="W325">
        <v>3803500</v>
      </c>
      <c r="X325">
        <v>33624821300</v>
      </c>
    </row>
    <row r="326" spans="1:24" x14ac:dyDescent="0.3">
      <c r="A326">
        <v>150</v>
      </c>
      <c r="B326">
        <v>1048576</v>
      </c>
      <c r="C326">
        <v>7</v>
      </c>
      <c r="D326">
        <v>512</v>
      </c>
      <c r="E326">
        <v>0.95</v>
      </c>
      <c r="F326">
        <v>11</v>
      </c>
      <c r="G326">
        <v>4095</v>
      </c>
      <c r="H326">
        <v>8192</v>
      </c>
      <c r="I326">
        <v>25335472700</v>
      </c>
      <c r="J326">
        <v>74063691300</v>
      </c>
      <c r="K326">
        <v>2.9233198913237501</v>
      </c>
      <c r="L326">
        <v>1354400</v>
      </c>
      <c r="M326">
        <v>16666918000</v>
      </c>
      <c r="N326">
        <v>2252478500</v>
      </c>
      <c r="O326">
        <v>18919396500</v>
      </c>
      <c r="P326">
        <v>146700</v>
      </c>
      <c r="Q326">
        <v>4426594800</v>
      </c>
      <c r="R326">
        <v>4426741500</v>
      </c>
      <c r="S326">
        <v>7791800</v>
      </c>
      <c r="T326">
        <v>759664600</v>
      </c>
      <c r="U326">
        <v>11974417600</v>
      </c>
      <c r="V326">
        <v>36036629400</v>
      </c>
      <c r="W326">
        <v>3799700</v>
      </c>
      <c r="X326">
        <v>25335472700</v>
      </c>
    </row>
    <row r="327" spans="1:24" x14ac:dyDescent="0.3">
      <c r="A327">
        <v>1</v>
      </c>
      <c r="B327">
        <v>65536</v>
      </c>
      <c r="C327">
        <v>3</v>
      </c>
      <c r="D327">
        <v>64</v>
      </c>
      <c r="E327">
        <v>0.2</v>
      </c>
      <c r="F327">
        <v>10</v>
      </c>
      <c r="G327">
        <v>2047</v>
      </c>
      <c r="H327">
        <v>322584</v>
      </c>
      <c r="I327">
        <v>4689043700</v>
      </c>
      <c r="J327">
        <v>26514244300</v>
      </c>
      <c r="K327">
        <v>5.6545099590349297</v>
      </c>
      <c r="L327">
        <v>54040500</v>
      </c>
      <c r="M327">
        <v>75547100</v>
      </c>
      <c r="N327">
        <v>1347849900</v>
      </c>
      <c r="O327">
        <v>1423397000</v>
      </c>
      <c r="P327">
        <v>874300</v>
      </c>
      <c r="Q327">
        <v>2741583600</v>
      </c>
      <c r="R327">
        <v>2742457900</v>
      </c>
      <c r="S327">
        <v>750700</v>
      </c>
      <c r="T327">
        <v>24826000</v>
      </c>
      <c r="U327">
        <v>6759579400</v>
      </c>
      <c r="V327">
        <v>19364832900</v>
      </c>
      <c r="W327">
        <v>139600</v>
      </c>
      <c r="X327">
        <v>4689043700</v>
      </c>
    </row>
    <row r="328" spans="1:24" x14ac:dyDescent="0.3">
      <c r="A328">
        <v>2</v>
      </c>
      <c r="B328">
        <v>65536</v>
      </c>
      <c r="C328">
        <v>3</v>
      </c>
      <c r="D328">
        <v>64</v>
      </c>
      <c r="E328">
        <v>0.35</v>
      </c>
      <c r="F328">
        <v>10</v>
      </c>
      <c r="G328">
        <v>2047</v>
      </c>
      <c r="H328">
        <v>86588</v>
      </c>
      <c r="I328">
        <v>1958381000</v>
      </c>
      <c r="J328">
        <v>8189221300</v>
      </c>
      <c r="K328">
        <v>4.1816282429210601</v>
      </c>
      <c r="L328">
        <v>15992600</v>
      </c>
      <c r="M328">
        <v>136937300</v>
      </c>
      <c r="N328">
        <v>593304800</v>
      </c>
      <c r="O328">
        <v>730242100</v>
      </c>
      <c r="P328">
        <v>184700</v>
      </c>
      <c r="Q328">
        <v>727929400</v>
      </c>
      <c r="R328">
        <v>728114100</v>
      </c>
      <c r="S328">
        <v>1202400</v>
      </c>
      <c r="T328">
        <v>25757800</v>
      </c>
      <c r="U328">
        <v>2736472200</v>
      </c>
      <c r="V328">
        <v>5095055200</v>
      </c>
      <c r="W328">
        <v>139600</v>
      </c>
      <c r="X328">
        <v>1958381000</v>
      </c>
    </row>
    <row r="329" spans="1:24" x14ac:dyDescent="0.3">
      <c r="A329">
        <v>3</v>
      </c>
      <c r="B329">
        <v>65536</v>
      </c>
      <c r="C329">
        <v>3</v>
      </c>
      <c r="D329">
        <v>64</v>
      </c>
      <c r="E329">
        <v>0.5</v>
      </c>
      <c r="F329">
        <v>10</v>
      </c>
      <c r="G329">
        <v>2047</v>
      </c>
      <c r="H329">
        <v>33704</v>
      </c>
      <c r="I329">
        <v>754203000</v>
      </c>
      <c r="J329">
        <v>3505925400</v>
      </c>
      <c r="K329">
        <v>4.6485169112294704</v>
      </c>
      <c r="L329">
        <v>6376900</v>
      </c>
      <c r="M329">
        <v>140393900</v>
      </c>
      <c r="N329">
        <v>280959800</v>
      </c>
      <c r="O329">
        <v>421353700</v>
      </c>
      <c r="P329">
        <v>101700</v>
      </c>
      <c r="Q329">
        <v>295210100</v>
      </c>
      <c r="R329">
        <v>295311800</v>
      </c>
      <c r="S329">
        <v>673300</v>
      </c>
      <c r="T329">
        <v>15098200</v>
      </c>
      <c r="U329">
        <v>1179851000</v>
      </c>
      <c r="V329">
        <v>1970566600</v>
      </c>
      <c r="W329">
        <v>138400</v>
      </c>
      <c r="X329">
        <v>754203000</v>
      </c>
    </row>
    <row r="330" spans="1:24" x14ac:dyDescent="0.3">
      <c r="A330">
        <v>4</v>
      </c>
      <c r="B330">
        <v>65536</v>
      </c>
      <c r="C330">
        <v>3</v>
      </c>
      <c r="D330">
        <v>64</v>
      </c>
      <c r="E330">
        <v>0.65</v>
      </c>
      <c r="F330">
        <v>10</v>
      </c>
      <c r="G330">
        <v>2047</v>
      </c>
      <c r="H330">
        <v>12016</v>
      </c>
      <c r="I330">
        <v>485982900</v>
      </c>
      <c r="J330">
        <v>1668121100</v>
      </c>
      <c r="K330">
        <v>3.4324687144341901</v>
      </c>
      <c r="L330">
        <v>3001800</v>
      </c>
      <c r="M330">
        <v>189820200</v>
      </c>
      <c r="N330">
        <v>137595300</v>
      </c>
      <c r="O330">
        <v>327415500</v>
      </c>
      <c r="P330">
        <v>65500</v>
      </c>
      <c r="Q330">
        <v>122226900</v>
      </c>
      <c r="R330">
        <v>122292400</v>
      </c>
      <c r="S330">
        <v>761400</v>
      </c>
      <c r="T330">
        <v>15296200</v>
      </c>
      <c r="U330">
        <v>586079500</v>
      </c>
      <c r="V330">
        <v>741055700</v>
      </c>
      <c r="W330">
        <v>161200</v>
      </c>
      <c r="X330">
        <v>485982900</v>
      </c>
    </row>
    <row r="331" spans="1:24" x14ac:dyDescent="0.3">
      <c r="A331">
        <v>5</v>
      </c>
      <c r="B331">
        <v>65536</v>
      </c>
      <c r="C331">
        <v>3</v>
      </c>
      <c r="D331">
        <v>64</v>
      </c>
      <c r="E331">
        <v>0.8</v>
      </c>
      <c r="F331">
        <v>10</v>
      </c>
      <c r="G331">
        <v>2047</v>
      </c>
      <c r="H331">
        <v>6824</v>
      </c>
      <c r="I331">
        <v>376925500</v>
      </c>
      <c r="J331">
        <v>1096931100</v>
      </c>
      <c r="K331">
        <v>2.91020665887556</v>
      </c>
      <c r="L331">
        <v>1611600</v>
      </c>
      <c r="M331">
        <v>183483600</v>
      </c>
      <c r="N331">
        <v>82077800</v>
      </c>
      <c r="O331">
        <v>265561400</v>
      </c>
      <c r="P331">
        <v>51200</v>
      </c>
      <c r="Q331">
        <v>75696800</v>
      </c>
      <c r="R331">
        <v>75748000</v>
      </c>
      <c r="S331">
        <v>662000</v>
      </c>
      <c r="T331">
        <v>14508200</v>
      </c>
      <c r="U331">
        <v>338760300</v>
      </c>
      <c r="V331">
        <v>424367400</v>
      </c>
      <c r="W331">
        <v>140700</v>
      </c>
      <c r="X331">
        <v>376925500</v>
      </c>
    </row>
    <row r="332" spans="1:24" x14ac:dyDescent="0.3">
      <c r="A332">
        <v>6</v>
      </c>
      <c r="B332">
        <v>65536</v>
      </c>
      <c r="C332">
        <v>3</v>
      </c>
      <c r="D332">
        <v>64</v>
      </c>
      <c r="E332">
        <v>0.95</v>
      </c>
      <c r="F332">
        <v>10</v>
      </c>
      <c r="G332">
        <v>2047</v>
      </c>
      <c r="H332">
        <v>2048</v>
      </c>
      <c r="I332">
        <v>303987100</v>
      </c>
      <c r="J332">
        <v>730309900</v>
      </c>
      <c r="K332">
        <v>2.4024371428919098</v>
      </c>
      <c r="L332">
        <v>763800</v>
      </c>
      <c r="M332">
        <v>194646700</v>
      </c>
      <c r="N332">
        <v>49701700</v>
      </c>
      <c r="O332">
        <v>244348400</v>
      </c>
      <c r="P332">
        <v>56400</v>
      </c>
      <c r="Q332">
        <v>24758300</v>
      </c>
      <c r="R332">
        <v>24814700</v>
      </c>
      <c r="S332">
        <v>754600</v>
      </c>
      <c r="T332">
        <v>14083700</v>
      </c>
      <c r="U332">
        <v>226201700</v>
      </c>
      <c r="V332">
        <v>125185900</v>
      </c>
      <c r="W332">
        <v>178300</v>
      </c>
      <c r="X332">
        <v>303987100</v>
      </c>
    </row>
    <row r="333" spans="1:24" x14ac:dyDescent="0.3">
      <c r="A333">
        <v>7</v>
      </c>
      <c r="B333">
        <v>65536</v>
      </c>
      <c r="C333">
        <v>4</v>
      </c>
      <c r="D333">
        <v>125</v>
      </c>
      <c r="E333">
        <v>0.2</v>
      </c>
      <c r="F333">
        <v>10</v>
      </c>
      <c r="G333">
        <v>2047</v>
      </c>
      <c r="H333">
        <v>321036</v>
      </c>
      <c r="I333">
        <v>7495946100</v>
      </c>
      <c r="J333">
        <v>44835998400</v>
      </c>
      <c r="K333">
        <v>5.9813661680411396</v>
      </c>
      <c r="L333">
        <v>52645900</v>
      </c>
      <c r="M333">
        <v>283288300</v>
      </c>
      <c r="N333">
        <v>4299030600</v>
      </c>
      <c r="O333">
        <v>4582318900</v>
      </c>
      <c r="P333">
        <v>3487900</v>
      </c>
      <c r="Q333">
        <v>2802822200</v>
      </c>
      <c r="R333">
        <v>2806310100</v>
      </c>
      <c r="S333">
        <v>728000</v>
      </c>
      <c r="T333">
        <v>349244700</v>
      </c>
      <c r="U333">
        <v>24771038100</v>
      </c>
      <c r="V333">
        <v>18946494700</v>
      </c>
      <c r="W333">
        <v>140000</v>
      </c>
      <c r="X333">
        <v>7495946100</v>
      </c>
    </row>
    <row r="334" spans="1:24" x14ac:dyDescent="0.3">
      <c r="A334">
        <v>8</v>
      </c>
      <c r="B334">
        <v>65536</v>
      </c>
      <c r="C334">
        <v>4</v>
      </c>
      <c r="D334">
        <v>125</v>
      </c>
      <c r="E334">
        <v>0.35</v>
      </c>
      <c r="F334">
        <v>10</v>
      </c>
      <c r="G334">
        <v>2047</v>
      </c>
      <c r="H334">
        <v>86636</v>
      </c>
      <c r="I334">
        <v>3376410400</v>
      </c>
      <c r="J334">
        <v>16574589500</v>
      </c>
      <c r="K334">
        <v>4.90893805444977</v>
      </c>
      <c r="L334">
        <v>16532200</v>
      </c>
      <c r="M334">
        <v>282906500</v>
      </c>
      <c r="N334">
        <v>1784851800</v>
      </c>
      <c r="O334">
        <v>2067758300</v>
      </c>
      <c r="P334">
        <v>189200</v>
      </c>
      <c r="Q334">
        <v>756930900</v>
      </c>
      <c r="R334">
        <v>757120100</v>
      </c>
      <c r="S334">
        <v>711400</v>
      </c>
      <c r="T334">
        <v>21959200</v>
      </c>
      <c r="U334">
        <v>10653008100</v>
      </c>
      <c r="V334">
        <v>5134281700</v>
      </c>
      <c r="W334">
        <v>141700</v>
      </c>
      <c r="X334">
        <v>3376410400</v>
      </c>
    </row>
    <row r="335" spans="1:24" x14ac:dyDescent="0.3">
      <c r="A335">
        <v>9</v>
      </c>
      <c r="B335">
        <v>65536</v>
      </c>
      <c r="C335">
        <v>4</v>
      </c>
      <c r="D335">
        <v>125</v>
      </c>
      <c r="E335">
        <v>0.5</v>
      </c>
      <c r="F335">
        <v>10</v>
      </c>
      <c r="G335">
        <v>2047</v>
      </c>
      <c r="H335">
        <v>33540</v>
      </c>
      <c r="I335">
        <v>1905954400</v>
      </c>
      <c r="J335">
        <v>7095947600</v>
      </c>
      <c r="K335">
        <v>3.7230416425492598</v>
      </c>
      <c r="L335">
        <v>6045400</v>
      </c>
      <c r="M335">
        <v>290360200</v>
      </c>
      <c r="N335">
        <v>784784400</v>
      </c>
      <c r="O335">
        <v>1075144600</v>
      </c>
      <c r="P335">
        <v>112200</v>
      </c>
      <c r="Q335">
        <v>293752200</v>
      </c>
      <c r="R335">
        <v>293864400</v>
      </c>
      <c r="S335">
        <v>678200</v>
      </c>
      <c r="T335">
        <v>21721400</v>
      </c>
      <c r="U335">
        <v>4361696500</v>
      </c>
      <c r="V335">
        <v>1973035600</v>
      </c>
      <c r="W335">
        <v>144100</v>
      </c>
      <c r="X335">
        <v>1905954400</v>
      </c>
    </row>
    <row r="336" spans="1:24" x14ac:dyDescent="0.3">
      <c r="A336">
        <v>10</v>
      </c>
      <c r="B336">
        <v>65536</v>
      </c>
      <c r="C336">
        <v>4</v>
      </c>
      <c r="D336">
        <v>125</v>
      </c>
      <c r="E336">
        <v>0.65</v>
      </c>
      <c r="F336">
        <v>10</v>
      </c>
      <c r="G336">
        <v>2047</v>
      </c>
      <c r="H336">
        <v>11912</v>
      </c>
      <c r="I336">
        <v>828657900</v>
      </c>
      <c r="J336">
        <v>3466736300</v>
      </c>
      <c r="K336">
        <v>4.1835554817011902</v>
      </c>
      <c r="L336">
        <v>2823600</v>
      </c>
      <c r="M336">
        <v>289232300</v>
      </c>
      <c r="N336">
        <v>374152200</v>
      </c>
      <c r="O336">
        <v>663384500</v>
      </c>
      <c r="P336">
        <v>72900</v>
      </c>
      <c r="Q336">
        <v>104742100</v>
      </c>
      <c r="R336">
        <v>104815000</v>
      </c>
      <c r="S336">
        <v>728500</v>
      </c>
      <c r="T336">
        <v>26386000</v>
      </c>
      <c r="U336">
        <v>1998939700</v>
      </c>
      <c r="V336">
        <v>709349600</v>
      </c>
      <c r="W336">
        <v>140300</v>
      </c>
      <c r="X336">
        <v>828657900</v>
      </c>
    </row>
    <row r="337" spans="1:24" x14ac:dyDescent="0.3">
      <c r="A337">
        <v>11</v>
      </c>
      <c r="B337">
        <v>65536</v>
      </c>
      <c r="C337">
        <v>4</v>
      </c>
      <c r="D337">
        <v>125</v>
      </c>
      <c r="E337">
        <v>0.8</v>
      </c>
      <c r="F337">
        <v>10</v>
      </c>
      <c r="G337">
        <v>2047</v>
      </c>
      <c r="H337">
        <v>6712</v>
      </c>
      <c r="I337">
        <v>662200900</v>
      </c>
      <c r="J337">
        <v>2669075900</v>
      </c>
      <c r="K337">
        <v>4.0306135192507204</v>
      </c>
      <c r="L337">
        <v>1655200</v>
      </c>
      <c r="M337">
        <v>309289500</v>
      </c>
      <c r="N337">
        <v>231795000</v>
      </c>
      <c r="O337">
        <v>541084500</v>
      </c>
      <c r="P337">
        <v>65400</v>
      </c>
      <c r="Q337">
        <v>63867300</v>
      </c>
      <c r="R337">
        <v>63932700</v>
      </c>
      <c r="S337">
        <v>762000</v>
      </c>
      <c r="T337">
        <v>21419000</v>
      </c>
      <c r="U337">
        <v>1192482400</v>
      </c>
      <c r="V337">
        <v>396379500</v>
      </c>
      <c r="W337">
        <v>167700</v>
      </c>
      <c r="X337">
        <v>662200900</v>
      </c>
    </row>
    <row r="338" spans="1:24" x14ac:dyDescent="0.3">
      <c r="A338">
        <v>12</v>
      </c>
      <c r="B338">
        <v>65536</v>
      </c>
      <c r="C338">
        <v>4</v>
      </c>
      <c r="D338">
        <v>125</v>
      </c>
      <c r="E338">
        <v>0.95</v>
      </c>
      <c r="F338">
        <v>10</v>
      </c>
      <c r="G338">
        <v>2047</v>
      </c>
      <c r="H338">
        <v>2056</v>
      </c>
      <c r="I338">
        <v>534497700</v>
      </c>
      <c r="J338">
        <v>1623487900</v>
      </c>
      <c r="K338">
        <v>3.0374085800556299</v>
      </c>
      <c r="L338">
        <v>898200</v>
      </c>
      <c r="M338">
        <v>306060500</v>
      </c>
      <c r="N338">
        <v>149368200</v>
      </c>
      <c r="O338">
        <v>455428700</v>
      </c>
      <c r="P338">
        <v>87000</v>
      </c>
      <c r="Q338">
        <v>20925200</v>
      </c>
      <c r="R338">
        <v>21012200</v>
      </c>
      <c r="S338">
        <v>712700</v>
      </c>
      <c r="T338">
        <v>21833300</v>
      </c>
      <c r="U338">
        <v>735614600</v>
      </c>
      <c r="V338">
        <v>123914700</v>
      </c>
      <c r="W338">
        <v>167400</v>
      </c>
      <c r="X338">
        <v>534497700</v>
      </c>
    </row>
    <row r="339" spans="1:24" x14ac:dyDescent="0.3">
      <c r="A339">
        <v>13</v>
      </c>
      <c r="B339">
        <v>65536</v>
      </c>
      <c r="C339">
        <v>5</v>
      </c>
      <c r="D339">
        <v>216</v>
      </c>
      <c r="E339">
        <v>0.2</v>
      </c>
      <c r="F339">
        <v>9</v>
      </c>
      <c r="G339">
        <v>1023</v>
      </c>
      <c r="H339">
        <v>162328</v>
      </c>
      <c r="I339">
        <v>8871831000</v>
      </c>
      <c r="J339">
        <v>54153849300</v>
      </c>
      <c r="K339">
        <v>6.1040217402698396</v>
      </c>
      <c r="L339">
        <v>21272700</v>
      </c>
      <c r="M339">
        <v>509063000</v>
      </c>
      <c r="N339">
        <v>2850295300</v>
      </c>
      <c r="O339">
        <v>3359358300</v>
      </c>
      <c r="P339">
        <v>543700</v>
      </c>
      <c r="Q339">
        <v>5416426100</v>
      </c>
      <c r="R339">
        <v>5416969800</v>
      </c>
      <c r="S339">
        <v>723300</v>
      </c>
      <c r="T339">
        <v>15209600</v>
      </c>
      <c r="U339">
        <v>13649708500</v>
      </c>
      <c r="V339">
        <v>39413537600</v>
      </c>
      <c r="W339">
        <v>148000</v>
      </c>
      <c r="X339">
        <v>8871831000</v>
      </c>
    </row>
    <row r="340" spans="1:24" x14ac:dyDescent="0.3">
      <c r="A340">
        <v>14</v>
      </c>
      <c r="B340">
        <v>65536</v>
      </c>
      <c r="C340">
        <v>5</v>
      </c>
      <c r="D340">
        <v>216</v>
      </c>
      <c r="E340">
        <v>0.35</v>
      </c>
      <c r="F340">
        <v>9</v>
      </c>
      <c r="G340">
        <v>1023</v>
      </c>
      <c r="H340">
        <v>48708</v>
      </c>
      <c r="I340">
        <v>4536654000</v>
      </c>
      <c r="J340">
        <v>22041394600</v>
      </c>
      <c r="K340">
        <v>4.8585134771133003</v>
      </c>
      <c r="L340">
        <v>6998300</v>
      </c>
      <c r="M340">
        <v>501541500</v>
      </c>
      <c r="N340">
        <v>1850828100</v>
      </c>
      <c r="O340">
        <v>2352369600</v>
      </c>
      <c r="P340">
        <v>120800</v>
      </c>
      <c r="Q340">
        <v>1627835000</v>
      </c>
      <c r="R340">
        <v>1627955800</v>
      </c>
      <c r="S340">
        <v>708900</v>
      </c>
      <c r="T340">
        <v>14684400</v>
      </c>
      <c r="U340">
        <v>8881729700</v>
      </c>
      <c r="V340">
        <v>11797389500</v>
      </c>
      <c r="W340">
        <v>167600</v>
      </c>
      <c r="X340">
        <v>4536654000</v>
      </c>
    </row>
    <row r="341" spans="1:24" x14ac:dyDescent="0.3">
      <c r="A341">
        <v>15</v>
      </c>
      <c r="B341">
        <v>65536</v>
      </c>
      <c r="C341">
        <v>5</v>
      </c>
      <c r="D341">
        <v>216</v>
      </c>
      <c r="E341">
        <v>0.5</v>
      </c>
      <c r="F341">
        <v>9</v>
      </c>
      <c r="G341">
        <v>1023</v>
      </c>
      <c r="H341">
        <v>19244</v>
      </c>
      <c r="I341">
        <v>2743985500</v>
      </c>
      <c r="J341">
        <v>10848772100</v>
      </c>
      <c r="K341">
        <v>3.9536550393578902</v>
      </c>
      <c r="L341">
        <v>2991600</v>
      </c>
      <c r="M341">
        <v>505060200</v>
      </c>
      <c r="N341">
        <v>1057715100</v>
      </c>
      <c r="O341">
        <v>1562775300</v>
      </c>
      <c r="P341">
        <v>107800</v>
      </c>
      <c r="Q341">
        <v>643919300</v>
      </c>
      <c r="R341">
        <v>644027100</v>
      </c>
      <c r="S341">
        <v>751100</v>
      </c>
      <c r="T341">
        <v>20769100</v>
      </c>
      <c r="U341">
        <v>5080684900</v>
      </c>
      <c r="V341">
        <v>4691012300</v>
      </c>
      <c r="W341">
        <v>148200</v>
      </c>
      <c r="X341">
        <v>2743985500</v>
      </c>
    </row>
    <row r="342" spans="1:24" x14ac:dyDescent="0.3">
      <c r="A342">
        <v>16</v>
      </c>
      <c r="B342">
        <v>65536</v>
      </c>
      <c r="C342">
        <v>5</v>
      </c>
      <c r="D342">
        <v>216</v>
      </c>
      <c r="E342">
        <v>0.65</v>
      </c>
      <c r="F342">
        <v>9</v>
      </c>
      <c r="G342">
        <v>1023</v>
      </c>
      <c r="H342">
        <v>8300</v>
      </c>
      <c r="I342">
        <v>1963946500</v>
      </c>
      <c r="J342">
        <v>5378260100</v>
      </c>
      <c r="K342">
        <v>2.7384962370410801</v>
      </c>
      <c r="L342">
        <v>1451700</v>
      </c>
      <c r="M342">
        <v>510067500</v>
      </c>
      <c r="N342">
        <v>459524600</v>
      </c>
      <c r="O342">
        <v>969592100</v>
      </c>
      <c r="P342">
        <v>74600</v>
      </c>
      <c r="Q342">
        <v>279478000</v>
      </c>
      <c r="R342">
        <v>279552600</v>
      </c>
      <c r="S342">
        <v>706700</v>
      </c>
      <c r="T342">
        <v>19763100</v>
      </c>
      <c r="U342">
        <v>2246644800</v>
      </c>
      <c r="V342">
        <v>2051907000</v>
      </c>
      <c r="W342">
        <v>148500</v>
      </c>
      <c r="X342">
        <v>1963946500</v>
      </c>
    </row>
    <row r="343" spans="1:24" x14ac:dyDescent="0.3">
      <c r="A343">
        <v>17</v>
      </c>
      <c r="B343">
        <v>65536</v>
      </c>
      <c r="C343">
        <v>5</v>
      </c>
      <c r="D343">
        <v>216</v>
      </c>
      <c r="E343">
        <v>0.8</v>
      </c>
      <c r="F343">
        <v>9</v>
      </c>
      <c r="G343">
        <v>1023</v>
      </c>
      <c r="H343">
        <v>4180</v>
      </c>
      <c r="I343">
        <v>1152876200</v>
      </c>
      <c r="J343">
        <v>3969712600</v>
      </c>
      <c r="K343">
        <v>3.4433121266619899</v>
      </c>
      <c r="L343">
        <v>926300</v>
      </c>
      <c r="M343">
        <v>612325700</v>
      </c>
      <c r="N343">
        <v>322668900</v>
      </c>
      <c r="O343">
        <v>934994600</v>
      </c>
      <c r="P343">
        <v>74000</v>
      </c>
      <c r="Q343">
        <v>142977000</v>
      </c>
      <c r="R343">
        <v>143051000</v>
      </c>
      <c r="S343">
        <v>891200</v>
      </c>
      <c r="T343">
        <v>19991300</v>
      </c>
      <c r="U343">
        <v>1512979300</v>
      </c>
      <c r="V343">
        <v>1049239400</v>
      </c>
      <c r="W343">
        <v>170700</v>
      </c>
      <c r="X343">
        <v>1152876200</v>
      </c>
    </row>
    <row r="344" spans="1:24" x14ac:dyDescent="0.3">
      <c r="A344">
        <v>18</v>
      </c>
      <c r="B344">
        <v>65536</v>
      </c>
      <c r="C344">
        <v>5</v>
      </c>
      <c r="D344">
        <v>216</v>
      </c>
      <c r="E344">
        <v>0.95</v>
      </c>
      <c r="F344">
        <v>9</v>
      </c>
      <c r="G344">
        <v>1023</v>
      </c>
      <c r="H344">
        <v>3072</v>
      </c>
      <c r="I344">
        <v>812082700</v>
      </c>
      <c r="J344">
        <v>2259025200</v>
      </c>
      <c r="K344">
        <v>2.7817674234409799</v>
      </c>
      <c r="L344">
        <v>485700</v>
      </c>
      <c r="M344">
        <v>531217600</v>
      </c>
      <c r="N344">
        <v>101412300</v>
      </c>
      <c r="O344">
        <v>632629900</v>
      </c>
      <c r="P344">
        <v>93000</v>
      </c>
      <c r="Q344">
        <v>104884100</v>
      </c>
      <c r="R344">
        <v>104977100</v>
      </c>
      <c r="S344">
        <v>712200</v>
      </c>
      <c r="T344">
        <v>24787500</v>
      </c>
      <c r="U344">
        <v>458731700</v>
      </c>
      <c r="V344">
        <v>756412600</v>
      </c>
      <c r="W344">
        <v>149900</v>
      </c>
      <c r="X344">
        <v>812082700</v>
      </c>
    </row>
    <row r="345" spans="1:24" x14ac:dyDescent="0.3">
      <c r="A345">
        <v>19</v>
      </c>
      <c r="B345">
        <v>65536</v>
      </c>
      <c r="C345">
        <v>6</v>
      </c>
      <c r="D345">
        <v>343</v>
      </c>
      <c r="E345">
        <v>0.2</v>
      </c>
      <c r="F345">
        <v>8</v>
      </c>
      <c r="G345">
        <v>511</v>
      </c>
      <c r="H345">
        <v>56132</v>
      </c>
      <c r="I345">
        <v>9635475800</v>
      </c>
      <c r="J345">
        <v>62992539700</v>
      </c>
      <c r="K345">
        <v>6.5375639986558802</v>
      </c>
      <c r="L345">
        <v>6321200</v>
      </c>
      <c r="M345">
        <v>1121396800</v>
      </c>
      <c r="N345">
        <v>832944300</v>
      </c>
      <c r="O345">
        <v>1954341100</v>
      </c>
      <c r="P345">
        <v>158000</v>
      </c>
      <c r="Q345">
        <v>7578812600</v>
      </c>
      <c r="R345">
        <v>7578970600</v>
      </c>
      <c r="S345">
        <v>757800</v>
      </c>
      <c r="T345">
        <v>19712000</v>
      </c>
      <c r="U345">
        <v>3950752900</v>
      </c>
      <c r="V345">
        <v>57724212900</v>
      </c>
      <c r="W345">
        <v>165600</v>
      </c>
      <c r="X345">
        <v>9635475800</v>
      </c>
    </row>
    <row r="346" spans="1:24" x14ac:dyDescent="0.3">
      <c r="A346">
        <v>20</v>
      </c>
      <c r="B346">
        <v>65536</v>
      </c>
      <c r="C346">
        <v>6</v>
      </c>
      <c r="D346">
        <v>343</v>
      </c>
      <c r="E346">
        <v>0.35</v>
      </c>
      <c r="F346">
        <v>8</v>
      </c>
      <c r="G346">
        <v>511</v>
      </c>
      <c r="H346">
        <v>19544</v>
      </c>
      <c r="I346">
        <v>6038647200</v>
      </c>
      <c r="J346">
        <v>30187969700</v>
      </c>
      <c r="K346">
        <v>4.9991279006993397</v>
      </c>
      <c r="L346">
        <v>3074400</v>
      </c>
      <c r="M346">
        <v>1046432800</v>
      </c>
      <c r="N346">
        <v>1816427100</v>
      </c>
      <c r="O346">
        <v>2862859900</v>
      </c>
      <c r="P346">
        <v>113600</v>
      </c>
      <c r="Q346">
        <v>2618499500</v>
      </c>
      <c r="R346">
        <v>2618613100</v>
      </c>
      <c r="S346">
        <v>676900</v>
      </c>
      <c r="T346">
        <v>13277200</v>
      </c>
      <c r="U346">
        <v>8659867000</v>
      </c>
      <c r="V346">
        <v>19940441100</v>
      </c>
      <c r="W346">
        <v>184800</v>
      </c>
      <c r="X346">
        <v>6038647200</v>
      </c>
    </row>
    <row r="347" spans="1:24" x14ac:dyDescent="0.3">
      <c r="A347">
        <v>21</v>
      </c>
      <c r="B347">
        <v>65536</v>
      </c>
      <c r="C347">
        <v>6</v>
      </c>
      <c r="D347">
        <v>343</v>
      </c>
      <c r="E347">
        <v>0.5</v>
      </c>
      <c r="F347">
        <v>8</v>
      </c>
      <c r="G347">
        <v>511</v>
      </c>
      <c r="H347">
        <v>8936</v>
      </c>
      <c r="I347">
        <v>3836156700</v>
      </c>
      <c r="J347">
        <v>15345942100</v>
      </c>
      <c r="K347">
        <v>4.0003428692055198</v>
      </c>
      <c r="L347">
        <v>1364600</v>
      </c>
      <c r="M347">
        <v>1047231800</v>
      </c>
      <c r="N347">
        <v>1012653900</v>
      </c>
      <c r="O347">
        <v>2059885700</v>
      </c>
      <c r="P347">
        <v>85600</v>
      </c>
      <c r="Q347">
        <v>1210198500</v>
      </c>
      <c r="R347">
        <v>1210284100</v>
      </c>
      <c r="S347">
        <v>749100</v>
      </c>
      <c r="T347">
        <v>18383400</v>
      </c>
      <c r="U347">
        <v>4772508100</v>
      </c>
      <c r="V347">
        <v>9267472900</v>
      </c>
      <c r="W347">
        <v>153200</v>
      </c>
      <c r="X347">
        <v>3836156700</v>
      </c>
    </row>
    <row r="348" spans="1:24" x14ac:dyDescent="0.3">
      <c r="A348">
        <v>22</v>
      </c>
      <c r="B348">
        <v>65536</v>
      </c>
      <c r="C348">
        <v>6</v>
      </c>
      <c r="D348">
        <v>343</v>
      </c>
      <c r="E348">
        <v>0.65</v>
      </c>
      <c r="F348">
        <v>8</v>
      </c>
      <c r="G348">
        <v>511</v>
      </c>
      <c r="H348">
        <v>3544</v>
      </c>
      <c r="I348">
        <v>2802470500</v>
      </c>
      <c r="J348">
        <v>7489727000</v>
      </c>
      <c r="K348">
        <v>2.6725444567569898</v>
      </c>
      <c r="L348">
        <v>649700</v>
      </c>
      <c r="M348">
        <v>1050584400</v>
      </c>
      <c r="N348">
        <v>538516500</v>
      </c>
      <c r="O348">
        <v>1589100900</v>
      </c>
      <c r="P348">
        <v>70100</v>
      </c>
      <c r="Q348">
        <v>482396500</v>
      </c>
      <c r="R348">
        <v>482466600</v>
      </c>
      <c r="S348">
        <v>796200</v>
      </c>
      <c r="T348">
        <v>17951500</v>
      </c>
      <c r="U348">
        <v>2526314500</v>
      </c>
      <c r="V348">
        <v>3619921600</v>
      </c>
      <c r="W348">
        <v>159000</v>
      </c>
      <c r="X348">
        <v>2802470500</v>
      </c>
    </row>
    <row r="349" spans="1:24" x14ac:dyDescent="0.3">
      <c r="A349">
        <v>23</v>
      </c>
      <c r="B349">
        <v>65536</v>
      </c>
      <c r="C349">
        <v>6</v>
      </c>
      <c r="D349">
        <v>343</v>
      </c>
      <c r="E349">
        <v>0.8</v>
      </c>
      <c r="F349">
        <v>8</v>
      </c>
      <c r="G349">
        <v>511</v>
      </c>
      <c r="H349">
        <v>1872</v>
      </c>
      <c r="I349">
        <v>1810795400</v>
      </c>
      <c r="J349">
        <v>5388316500</v>
      </c>
      <c r="K349">
        <v>2.97566279437202</v>
      </c>
      <c r="L349">
        <v>408800</v>
      </c>
      <c r="M349">
        <v>1073495600</v>
      </c>
      <c r="N349">
        <v>385734100</v>
      </c>
      <c r="O349">
        <v>1459229700</v>
      </c>
      <c r="P349">
        <v>70600</v>
      </c>
      <c r="Q349">
        <v>256820300</v>
      </c>
      <c r="R349">
        <v>256890900</v>
      </c>
      <c r="S349">
        <v>680000</v>
      </c>
      <c r="T349">
        <v>20506500</v>
      </c>
      <c r="U349">
        <v>1809956300</v>
      </c>
      <c r="V349">
        <v>1924252100</v>
      </c>
      <c r="W349">
        <v>151700</v>
      </c>
      <c r="X349">
        <v>1810795400</v>
      </c>
    </row>
    <row r="350" spans="1:24" x14ac:dyDescent="0.3">
      <c r="A350">
        <v>24</v>
      </c>
      <c r="B350">
        <v>65536</v>
      </c>
      <c r="C350">
        <v>6</v>
      </c>
      <c r="D350">
        <v>343</v>
      </c>
      <c r="E350">
        <v>0.95</v>
      </c>
      <c r="F350">
        <v>8</v>
      </c>
      <c r="G350">
        <v>511</v>
      </c>
      <c r="H350">
        <v>1024</v>
      </c>
      <c r="I350">
        <v>1437353200</v>
      </c>
      <c r="J350">
        <v>3036248300</v>
      </c>
      <c r="K350">
        <v>2.1123884512171398</v>
      </c>
      <c r="L350">
        <v>235300</v>
      </c>
      <c r="M350">
        <v>1058645900</v>
      </c>
      <c r="N350">
        <v>142299300</v>
      </c>
      <c r="O350">
        <v>1200945200</v>
      </c>
      <c r="P350">
        <v>70700</v>
      </c>
      <c r="Q350">
        <v>142035500</v>
      </c>
      <c r="R350">
        <v>142106200</v>
      </c>
      <c r="S350">
        <v>677700</v>
      </c>
      <c r="T350">
        <v>24462900</v>
      </c>
      <c r="U350">
        <v>668805300</v>
      </c>
      <c r="V350">
        <v>1046685200</v>
      </c>
      <c r="W350">
        <v>160900</v>
      </c>
      <c r="X350">
        <v>1437353200</v>
      </c>
    </row>
    <row r="351" spans="1:24" x14ac:dyDescent="0.3">
      <c r="A351">
        <v>25</v>
      </c>
      <c r="B351">
        <v>65536</v>
      </c>
      <c r="C351">
        <v>7</v>
      </c>
      <c r="D351">
        <v>512</v>
      </c>
      <c r="E351">
        <v>0.2</v>
      </c>
      <c r="F351">
        <v>7</v>
      </c>
      <c r="G351">
        <v>255</v>
      </c>
      <c r="H351">
        <v>15804</v>
      </c>
      <c r="I351">
        <v>10108210900</v>
      </c>
      <c r="J351">
        <v>69104087700</v>
      </c>
      <c r="K351">
        <v>6.8364311334263901</v>
      </c>
      <c r="L351">
        <v>1614900</v>
      </c>
      <c r="M351">
        <v>1288692000</v>
      </c>
      <c r="N351">
        <v>139919100</v>
      </c>
      <c r="O351">
        <v>1428611100</v>
      </c>
      <c r="P351">
        <v>68500</v>
      </c>
      <c r="Q351">
        <v>8579543300</v>
      </c>
      <c r="R351">
        <v>8579611800</v>
      </c>
      <c r="S351">
        <v>709300</v>
      </c>
      <c r="T351">
        <v>18984600</v>
      </c>
      <c r="U351">
        <v>728820800</v>
      </c>
      <c r="V351">
        <v>66853077300</v>
      </c>
      <c r="W351">
        <v>153500</v>
      </c>
      <c r="X351">
        <v>10108210900</v>
      </c>
    </row>
    <row r="352" spans="1:24" x14ac:dyDescent="0.3">
      <c r="A352">
        <v>26</v>
      </c>
      <c r="B352">
        <v>65536</v>
      </c>
      <c r="C352">
        <v>7</v>
      </c>
      <c r="D352">
        <v>512</v>
      </c>
      <c r="E352">
        <v>0.35</v>
      </c>
      <c r="F352">
        <v>7</v>
      </c>
      <c r="G352">
        <v>255</v>
      </c>
      <c r="H352">
        <v>7568</v>
      </c>
      <c r="I352">
        <v>7281707300</v>
      </c>
      <c r="J352">
        <v>41110425200</v>
      </c>
      <c r="K352">
        <v>5.6457124004421297</v>
      </c>
      <c r="L352">
        <v>6483900</v>
      </c>
      <c r="M352">
        <v>1255257800</v>
      </c>
      <c r="N352">
        <v>1335699000</v>
      </c>
      <c r="O352">
        <v>2590956800</v>
      </c>
      <c r="P352">
        <v>70500</v>
      </c>
      <c r="Q352">
        <v>4114511700</v>
      </c>
      <c r="R352">
        <v>4114582200</v>
      </c>
      <c r="S352">
        <v>721800</v>
      </c>
      <c r="T352">
        <v>11125000</v>
      </c>
      <c r="U352">
        <v>7052310100</v>
      </c>
      <c r="V352">
        <v>32182050700</v>
      </c>
      <c r="W352">
        <v>173000</v>
      </c>
      <c r="X352">
        <v>7281707300</v>
      </c>
    </row>
    <row r="353" spans="1:24" x14ac:dyDescent="0.3">
      <c r="A353">
        <v>27</v>
      </c>
      <c r="B353">
        <v>65536</v>
      </c>
      <c r="C353">
        <v>7</v>
      </c>
      <c r="D353">
        <v>512</v>
      </c>
      <c r="E353">
        <v>0.5</v>
      </c>
      <c r="F353">
        <v>7</v>
      </c>
      <c r="G353">
        <v>255</v>
      </c>
      <c r="H353">
        <v>3412</v>
      </c>
      <c r="I353">
        <v>4557401600</v>
      </c>
      <c r="J353">
        <v>20656303500</v>
      </c>
      <c r="K353">
        <v>4.5324738333352004</v>
      </c>
      <c r="L353">
        <v>566000</v>
      </c>
      <c r="M353">
        <v>1259890700</v>
      </c>
      <c r="N353">
        <v>885911000</v>
      </c>
      <c r="O353">
        <v>2145801700</v>
      </c>
      <c r="P353">
        <v>82500</v>
      </c>
      <c r="Q353">
        <v>1852539500</v>
      </c>
      <c r="R353">
        <v>1852622000</v>
      </c>
      <c r="S353">
        <v>728400</v>
      </c>
      <c r="T353">
        <v>17755500</v>
      </c>
      <c r="U353">
        <v>4688856100</v>
      </c>
      <c r="V353">
        <v>14446925100</v>
      </c>
      <c r="W353">
        <v>155200</v>
      </c>
      <c r="X353">
        <v>4557401600</v>
      </c>
    </row>
    <row r="354" spans="1:24" x14ac:dyDescent="0.3">
      <c r="A354">
        <v>28</v>
      </c>
      <c r="B354">
        <v>65536</v>
      </c>
      <c r="C354">
        <v>7</v>
      </c>
      <c r="D354">
        <v>512</v>
      </c>
      <c r="E354">
        <v>0.65</v>
      </c>
      <c r="F354">
        <v>7</v>
      </c>
      <c r="G354">
        <v>255</v>
      </c>
      <c r="H354">
        <v>1408</v>
      </c>
      <c r="I354">
        <v>3189268200</v>
      </c>
      <c r="J354">
        <v>10594965900</v>
      </c>
      <c r="K354">
        <v>3.32206802174868</v>
      </c>
      <c r="L354">
        <v>326600</v>
      </c>
      <c r="M354">
        <v>1260192600</v>
      </c>
      <c r="N354">
        <v>589533400</v>
      </c>
      <c r="O354">
        <v>1849726000</v>
      </c>
      <c r="P354">
        <v>87600</v>
      </c>
      <c r="Q354">
        <v>771399700</v>
      </c>
      <c r="R354">
        <v>771487300</v>
      </c>
      <c r="S354">
        <v>696500</v>
      </c>
      <c r="T354">
        <v>11504000</v>
      </c>
      <c r="U354">
        <v>3080579000</v>
      </c>
      <c r="V354">
        <v>5953489600</v>
      </c>
      <c r="W354">
        <v>169900</v>
      </c>
      <c r="X354">
        <v>3189268200</v>
      </c>
    </row>
    <row r="355" spans="1:24" x14ac:dyDescent="0.3">
      <c r="A355">
        <v>29</v>
      </c>
      <c r="B355">
        <v>65536</v>
      </c>
      <c r="C355">
        <v>7</v>
      </c>
      <c r="D355">
        <v>512</v>
      </c>
      <c r="E355">
        <v>0.8</v>
      </c>
      <c r="F355">
        <v>7</v>
      </c>
      <c r="G355">
        <v>255</v>
      </c>
      <c r="H355">
        <v>980</v>
      </c>
      <c r="I355">
        <v>2971110100</v>
      </c>
      <c r="J355">
        <v>8400153500</v>
      </c>
      <c r="K355">
        <v>2.82727775722616</v>
      </c>
      <c r="L355">
        <v>227200</v>
      </c>
      <c r="M355">
        <v>1260857500</v>
      </c>
      <c r="N355">
        <v>429119200</v>
      </c>
      <c r="O355">
        <v>1689976700</v>
      </c>
      <c r="P355">
        <v>93900</v>
      </c>
      <c r="Q355">
        <v>536786400</v>
      </c>
      <c r="R355">
        <v>536880300</v>
      </c>
      <c r="S355">
        <v>779400</v>
      </c>
      <c r="T355">
        <v>16751400</v>
      </c>
      <c r="U355">
        <v>2351124200</v>
      </c>
      <c r="V355">
        <v>4185600500</v>
      </c>
      <c r="W355">
        <v>153700</v>
      </c>
      <c r="X355">
        <v>2971110100</v>
      </c>
    </row>
    <row r="356" spans="1:24" x14ac:dyDescent="0.3">
      <c r="A356">
        <v>30</v>
      </c>
      <c r="B356">
        <v>65536</v>
      </c>
      <c r="C356">
        <v>7</v>
      </c>
      <c r="D356">
        <v>512</v>
      </c>
      <c r="E356">
        <v>0.95</v>
      </c>
      <c r="F356">
        <v>7</v>
      </c>
      <c r="G356">
        <v>255</v>
      </c>
      <c r="H356">
        <v>256</v>
      </c>
      <c r="I356">
        <v>1885036800</v>
      </c>
      <c r="J356">
        <v>4127975300</v>
      </c>
      <c r="K356">
        <v>2.1898645692222001</v>
      </c>
      <c r="L356">
        <v>89200</v>
      </c>
      <c r="M356">
        <v>1360371800</v>
      </c>
      <c r="N356">
        <v>286216700</v>
      </c>
      <c r="O356">
        <v>1646588500</v>
      </c>
      <c r="P356">
        <v>27800</v>
      </c>
      <c r="Q356">
        <v>141905900</v>
      </c>
      <c r="R356">
        <v>141933700</v>
      </c>
      <c r="S356">
        <v>706900</v>
      </c>
      <c r="T356">
        <v>10970300</v>
      </c>
      <c r="U356">
        <v>1486021200</v>
      </c>
      <c r="V356">
        <v>1084413200</v>
      </c>
      <c r="W356">
        <v>152000</v>
      </c>
      <c r="X356">
        <v>1885036800</v>
      </c>
    </row>
    <row r="357" spans="1:24" x14ac:dyDescent="0.3">
      <c r="A357">
        <v>31</v>
      </c>
      <c r="B357">
        <v>131072</v>
      </c>
      <c r="C357">
        <v>3</v>
      </c>
      <c r="D357">
        <v>64</v>
      </c>
      <c r="E357">
        <v>0.2</v>
      </c>
      <c r="F357">
        <v>11</v>
      </c>
      <c r="G357">
        <v>4095</v>
      </c>
      <c r="H357">
        <v>912804</v>
      </c>
      <c r="I357">
        <v>10978087500</v>
      </c>
      <c r="J357">
        <v>69339576000</v>
      </c>
      <c r="K357">
        <v>6.3161799357128396</v>
      </c>
      <c r="L357">
        <v>143231200</v>
      </c>
      <c r="M357">
        <v>291725000</v>
      </c>
      <c r="N357">
        <v>2787655900</v>
      </c>
      <c r="O357">
        <v>3079380900</v>
      </c>
      <c r="P357">
        <v>2247400</v>
      </c>
      <c r="Q357">
        <v>7689035800</v>
      </c>
      <c r="R357">
        <v>7691283200</v>
      </c>
      <c r="S357">
        <v>1237000</v>
      </c>
      <c r="T357">
        <v>37756800</v>
      </c>
      <c r="U357">
        <v>14116342500</v>
      </c>
      <c r="V357">
        <v>54148255500</v>
      </c>
      <c r="W357">
        <v>341600</v>
      </c>
      <c r="X357">
        <v>10978087500</v>
      </c>
    </row>
    <row r="358" spans="1:24" x14ac:dyDescent="0.3">
      <c r="A358">
        <v>32</v>
      </c>
      <c r="B358">
        <v>131072</v>
      </c>
      <c r="C358">
        <v>3</v>
      </c>
      <c r="D358">
        <v>64</v>
      </c>
      <c r="E358">
        <v>0.35</v>
      </c>
      <c r="F358">
        <v>11</v>
      </c>
      <c r="G358">
        <v>4095</v>
      </c>
      <c r="H358">
        <v>207768</v>
      </c>
      <c r="I358">
        <v>3626805700</v>
      </c>
      <c r="J358">
        <v>18440669200</v>
      </c>
      <c r="K358">
        <v>5.08454842232105</v>
      </c>
      <c r="L358">
        <v>41078200</v>
      </c>
      <c r="M358">
        <v>179326700</v>
      </c>
      <c r="N358">
        <v>1112980300</v>
      </c>
      <c r="O358">
        <v>1292307000</v>
      </c>
      <c r="P358">
        <v>608600</v>
      </c>
      <c r="Q358">
        <v>1758481500</v>
      </c>
      <c r="R358">
        <v>1759090100</v>
      </c>
      <c r="S358">
        <v>1384400</v>
      </c>
      <c r="T358">
        <v>38917100</v>
      </c>
      <c r="U358">
        <v>5437220700</v>
      </c>
      <c r="V358">
        <v>12306232500</v>
      </c>
      <c r="W358">
        <v>339900</v>
      </c>
      <c r="X358">
        <v>3626805700</v>
      </c>
    </row>
    <row r="359" spans="1:24" x14ac:dyDescent="0.3">
      <c r="A359">
        <v>33</v>
      </c>
      <c r="B359">
        <v>131072</v>
      </c>
      <c r="C359">
        <v>3</v>
      </c>
      <c r="D359">
        <v>64</v>
      </c>
      <c r="E359">
        <v>0.5</v>
      </c>
      <c r="F359">
        <v>11</v>
      </c>
      <c r="G359">
        <v>4095</v>
      </c>
      <c r="H359">
        <v>81968</v>
      </c>
      <c r="I359">
        <v>1938009500</v>
      </c>
      <c r="J359">
        <v>8211413700</v>
      </c>
      <c r="K359">
        <v>4.2370348029769698</v>
      </c>
      <c r="L359">
        <v>14829700</v>
      </c>
      <c r="M359">
        <v>192189400</v>
      </c>
      <c r="N359">
        <v>497140200</v>
      </c>
      <c r="O359">
        <v>689329600</v>
      </c>
      <c r="P359">
        <v>239100</v>
      </c>
      <c r="Q359">
        <v>696250500</v>
      </c>
      <c r="R359">
        <v>696489600</v>
      </c>
      <c r="S359">
        <v>1211000</v>
      </c>
      <c r="T359">
        <v>39664700</v>
      </c>
      <c r="U359">
        <v>2318182800</v>
      </c>
      <c r="V359">
        <v>4864642700</v>
      </c>
      <c r="W359">
        <v>339300</v>
      </c>
      <c r="X359">
        <v>1938009500</v>
      </c>
    </row>
    <row r="360" spans="1:24" x14ac:dyDescent="0.3">
      <c r="A360">
        <v>34</v>
      </c>
      <c r="B360">
        <v>131072</v>
      </c>
      <c r="C360">
        <v>3</v>
      </c>
      <c r="D360">
        <v>64</v>
      </c>
      <c r="E360">
        <v>0.65</v>
      </c>
      <c r="F360">
        <v>11</v>
      </c>
      <c r="G360">
        <v>4095</v>
      </c>
      <c r="H360">
        <v>30396</v>
      </c>
      <c r="I360">
        <v>874809300</v>
      </c>
      <c r="J360">
        <v>3499269700</v>
      </c>
      <c r="K360">
        <v>4.0000371509539203</v>
      </c>
      <c r="L360">
        <v>5340700</v>
      </c>
      <c r="M360">
        <v>303715500</v>
      </c>
      <c r="N360">
        <v>228811500</v>
      </c>
      <c r="O360">
        <v>532527000</v>
      </c>
      <c r="P360">
        <v>176400</v>
      </c>
      <c r="Q360">
        <v>274619100</v>
      </c>
      <c r="R360">
        <v>274795500</v>
      </c>
      <c r="S360">
        <v>1240400</v>
      </c>
      <c r="T360">
        <v>39329600</v>
      </c>
      <c r="U360">
        <v>966981000</v>
      </c>
      <c r="V360">
        <v>1812490500</v>
      </c>
      <c r="W360">
        <v>440100</v>
      </c>
      <c r="X360">
        <v>874809300</v>
      </c>
    </row>
    <row r="361" spans="1:24" x14ac:dyDescent="0.3">
      <c r="A361">
        <v>35</v>
      </c>
      <c r="B361">
        <v>131072</v>
      </c>
      <c r="C361">
        <v>3</v>
      </c>
      <c r="D361">
        <v>64</v>
      </c>
      <c r="E361">
        <v>0.8</v>
      </c>
      <c r="F361">
        <v>11</v>
      </c>
      <c r="G361">
        <v>4095</v>
      </c>
      <c r="H361">
        <v>14564</v>
      </c>
      <c r="I361">
        <v>622494300</v>
      </c>
      <c r="J361">
        <v>2494871400</v>
      </c>
      <c r="K361">
        <v>4.0078622406662996</v>
      </c>
      <c r="L361">
        <v>10944800</v>
      </c>
      <c r="M361">
        <v>261377200</v>
      </c>
      <c r="N361">
        <v>137069800</v>
      </c>
      <c r="O361">
        <v>398447000</v>
      </c>
      <c r="P361">
        <v>155200</v>
      </c>
      <c r="Q361">
        <v>144535300</v>
      </c>
      <c r="R361">
        <v>144690500</v>
      </c>
      <c r="S361">
        <v>1213500</v>
      </c>
      <c r="T361">
        <v>38237000</v>
      </c>
      <c r="U361">
        <v>578218400</v>
      </c>
      <c r="V361">
        <v>902670600</v>
      </c>
      <c r="W361">
        <v>389200</v>
      </c>
      <c r="X361">
        <v>622494300</v>
      </c>
    </row>
    <row r="362" spans="1:24" x14ac:dyDescent="0.3">
      <c r="A362">
        <v>36</v>
      </c>
      <c r="B362">
        <v>131072</v>
      </c>
      <c r="C362">
        <v>3</v>
      </c>
      <c r="D362">
        <v>64</v>
      </c>
      <c r="E362">
        <v>0.95</v>
      </c>
      <c r="F362">
        <v>11</v>
      </c>
      <c r="G362">
        <v>4095</v>
      </c>
      <c r="H362">
        <v>8192</v>
      </c>
      <c r="I362">
        <v>499800400</v>
      </c>
      <c r="J362">
        <v>1431292200</v>
      </c>
      <c r="K362">
        <v>2.8637276000579401</v>
      </c>
      <c r="L362">
        <v>1383600</v>
      </c>
      <c r="M362">
        <v>292445900</v>
      </c>
      <c r="N362">
        <v>49448300</v>
      </c>
      <c r="O362">
        <v>341894200</v>
      </c>
      <c r="P362">
        <v>81000</v>
      </c>
      <c r="Q362">
        <v>89270100</v>
      </c>
      <c r="R362">
        <v>89351100</v>
      </c>
      <c r="S362">
        <v>1109700</v>
      </c>
      <c r="T362">
        <v>42631300</v>
      </c>
      <c r="U362">
        <v>196816100</v>
      </c>
      <c r="V362">
        <v>506100400</v>
      </c>
      <c r="W362">
        <v>329700</v>
      </c>
      <c r="X362">
        <v>499800400</v>
      </c>
    </row>
    <row r="363" spans="1:24" x14ac:dyDescent="0.3">
      <c r="A363">
        <v>37</v>
      </c>
      <c r="B363">
        <v>131072</v>
      </c>
      <c r="C363">
        <v>4</v>
      </c>
      <c r="D363">
        <v>125</v>
      </c>
      <c r="E363">
        <v>0.2</v>
      </c>
      <c r="F363">
        <v>11</v>
      </c>
      <c r="G363">
        <v>4095</v>
      </c>
      <c r="H363">
        <v>916640</v>
      </c>
      <c r="I363">
        <v>17773196500</v>
      </c>
      <c r="J363">
        <v>107848600200</v>
      </c>
      <c r="K363">
        <v>6.0680474781224598</v>
      </c>
      <c r="L363">
        <v>141761300</v>
      </c>
      <c r="M363">
        <v>510802000</v>
      </c>
      <c r="N363">
        <v>8972233600</v>
      </c>
      <c r="O363">
        <v>9483035600</v>
      </c>
      <c r="P363">
        <v>5688600</v>
      </c>
      <c r="Q363">
        <v>8032691700</v>
      </c>
      <c r="R363">
        <v>8038380300</v>
      </c>
      <c r="S363">
        <v>1360400</v>
      </c>
      <c r="T363">
        <v>39979800</v>
      </c>
      <c r="U363">
        <v>51664946400</v>
      </c>
      <c r="V363">
        <v>54250432600</v>
      </c>
      <c r="W363">
        <v>346200</v>
      </c>
      <c r="X363">
        <v>17773196500</v>
      </c>
    </row>
    <row r="364" spans="1:24" x14ac:dyDescent="0.3">
      <c r="A364">
        <v>38</v>
      </c>
      <c r="B364">
        <v>131072</v>
      </c>
      <c r="C364">
        <v>4</v>
      </c>
      <c r="D364">
        <v>125</v>
      </c>
      <c r="E364">
        <v>0.35</v>
      </c>
      <c r="F364">
        <v>11</v>
      </c>
      <c r="G364">
        <v>4095</v>
      </c>
      <c r="H364">
        <v>207932</v>
      </c>
      <c r="I364">
        <v>6429753000</v>
      </c>
      <c r="J364">
        <v>34621596300</v>
      </c>
      <c r="K364">
        <v>5.38459195866466</v>
      </c>
      <c r="L364">
        <v>44790100</v>
      </c>
      <c r="M364">
        <v>446388300</v>
      </c>
      <c r="N364">
        <v>3529601900</v>
      </c>
      <c r="O364">
        <v>3975990200</v>
      </c>
      <c r="P364">
        <v>543100</v>
      </c>
      <c r="Q364">
        <v>1823867300</v>
      </c>
      <c r="R364">
        <v>1824410400</v>
      </c>
      <c r="S364">
        <v>1334700</v>
      </c>
      <c r="T364">
        <v>38835500</v>
      </c>
      <c r="U364">
        <v>20317736600</v>
      </c>
      <c r="V364">
        <v>12351674800</v>
      </c>
      <c r="W364">
        <v>370400</v>
      </c>
      <c r="X364">
        <v>6429753000</v>
      </c>
    </row>
    <row r="365" spans="1:24" x14ac:dyDescent="0.3">
      <c r="A365">
        <v>39</v>
      </c>
      <c r="B365">
        <v>131072</v>
      </c>
      <c r="C365">
        <v>4</v>
      </c>
      <c r="D365">
        <v>125</v>
      </c>
      <c r="E365">
        <v>0.5</v>
      </c>
      <c r="F365">
        <v>11</v>
      </c>
      <c r="G365">
        <v>4095</v>
      </c>
      <c r="H365">
        <v>82164</v>
      </c>
      <c r="I365">
        <v>3270808600</v>
      </c>
      <c r="J365">
        <v>15003008200</v>
      </c>
      <c r="K365">
        <v>4.5869416510645102</v>
      </c>
      <c r="L365">
        <v>13830900</v>
      </c>
      <c r="M365">
        <v>465709400</v>
      </c>
      <c r="N365">
        <v>1482343300</v>
      </c>
      <c r="O365">
        <v>1948052700</v>
      </c>
      <c r="P365">
        <v>244000</v>
      </c>
      <c r="Q365">
        <v>722181100</v>
      </c>
      <c r="R365">
        <v>722425100</v>
      </c>
      <c r="S365">
        <v>1354000</v>
      </c>
      <c r="T365">
        <v>42982100</v>
      </c>
      <c r="U365">
        <v>8536253000</v>
      </c>
      <c r="V365">
        <v>4891210900</v>
      </c>
      <c r="W365">
        <v>347800</v>
      </c>
      <c r="X365">
        <v>3270808600</v>
      </c>
    </row>
    <row r="366" spans="1:24" x14ac:dyDescent="0.3">
      <c r="A366">
        <v>40</v>
      </c>
      <c r="B366">
        <v>131072</v>
      </c>
      <c r="C366">
        <v>4</v>
      </c>
      <c r="D366">
        <v>125</v>
      </c>
      <c r="E366">
        <v>0.65</v>
      </c>
      <c r="F366">
        <v>11</v>
      </c>
      <c r="G366">
        <v>4095</v>
      </c>
      <c r="H366">
        <v>29952</v>
      </c>
      <c r="I366">
        <v>2115705700</v>
      </c>
      <c r="J366">
        <v>7232190700</v>
      </c>
      <c r="K366">
        <v>3.41833493193311</v>
      </c>
      <c r="L366">
        <v>5339600</v>
      </c>
      <c r="M366">
        <v>471069800</v>
      </c>
      <c r="N366">
        <v>614328500</v>
      </c>
      <c r="O366">
        <v>1085398300</v>
      </c>
      <c r="P366">
        <v>170200</v>
      </c>
      <c r="Q366">
        <v>263666200</v>
      </c>
      <c r="R366">
        <v>263836400</v>
      </c>
      <c r="S366">
        <v>1230800</v>
      </c>
      <c r="T366">
        <v>41368600</v>
      </c>
      <c r="U366">
        <v>3516852200</v>
      </c>
      <c r="V366">
        <v>1791652300</v>
      </c>
      <c r="W366">
        <v>443600</v>
      </c>
      <c r="X366">
        <v>2115705700</v>
      </c>
    </row>
    <row r="367" spans="1:24" x14ac:dyDescent="0.3">
      <c r="A367">
        <v>41</v>
      </c>
      <c r="B367">
        <v>131072</v>
      </c>
      <c r="C367">
        <v>4</v>
      </c>
      <c r="D367">
        <v>125</v>
      </c>
      <c r="E367">
        <v>0.8</v>
      </c>
      <c r="F367">
        <v>11</v>
      </c>
      <c r="G367">
        <v>4095</v>
      </c>
      <c r="H367">
        <v>14484</v>
      </c>
      <c r="I367">
        <v>1182757900</v>
      </c>
      <c r="J367">
        <v>4567313700</v>
      </c>
      <c r="K367">
        <v>3.8615795337321299</v>
      </c>
      <c r="L367">
        <v>3097400</v>
      </c>
      <c r="M367">
        <v>564804300</v>
      </c>
      <c r="N367">
        <v>361419700</v>
      </c>
      <c r="O367">
        <v>926224000</v>
      </c>
      <c r="P367">
        <v>166300</v>
      </c>
      <c r="Q367">
        <v>129704600</v>
      </c>
      <c r="R367">
        <v>129870900</v>
      </c>
      <c r="S367">
        <v>1534100</v>
      </c>
      <c r="T367">
        <v>46371600</v>
      </c>
      <c r="U367">
        <v>2115003000</v>
      </c>
      <c r="V367">
        <v>895072600</v>
      </c>
      <c r="W367">
        <v>344100</v>
      </c>
      <c r="X367">
        <v>1182757900</v>
      </c>
    </row>
    <row r="368" spans="1:24" x14ac:dyDescent="0.3">
      <c r="A368">
        <v>42</v>
      </c>
      <c r="B368">
        <v>131072</v>
      </c>
      <c r="C368">
        <v>4</v>
      </c>
      <c r="D368">
        <v>125</v>
      </c>
      <c r="E368">
        <v>0.95</v>
      </c>
      <c r="F368">
        <v>11</v>
      </c>
      <c r="G368">
        <v>4095</v>
      </c>
      <c r="H368">
        <v>8192</v>
      </c>
      <c r="I368">
        <v>822813300</v>
      </c>
      <c r="J368">
        <v>3099030200</v>
      </c>
      <c r="K368">
        <v>3.7663832123277499</v>
      </c>
      <c r="L368">
        <v>1330700</v>
      </c>
      <c r="M368">
        <v>503466800</v>
      </c>
      <c r="N368">
        <v>134298000</v>
      </c>
      <c r="O368">
        <v>637764800</v>
      </c>
      <c r="P368">
        <v>103200</v>
      </c>
      <c r="Q368">
        <v>73218600</v>
      </c>
      <c r="R368">
        <v>73321800</v>
      </c>
      <c r="S368">
        <v>1305300</v>
      </c>
      <c r="T368">
        <v>39766900</v>
      </c>
      <c r="U368">
        <v>738774400</v>
      </c>
      <c r="V368">
        <v>500183800</v>
      </c>
      <c r="W368">
        <v>349300</v>
      </c>
      <c r="X368">
        <v>822813300</v>
      </c>
    </row>
    <row r="369" spans="1:24" x14ac:dyDescent="0.3">
      <c r="A369">
        <v>43</v>
      </c>
      <c r="B369">
        <v>131072</v>
      </c>
      <c r="C369">
        <v>5</v>
      </c>
      <c r="D369">
        <v>216</v>
      </c>
      <c r="E369">
        <v>0.2</v>
      </c>
      <c r="F369">
        <v>10</v>
      </c>
      <c r="G369">
        <v>2047</v>
      </c>
      <c r="H369">
        <v>329904</v>
      </c>
      <c r="I369">
        <v>27312226300</v>
      </c>
      <c r="J369">
        <v>154592542200</v>
      </c>
      <c r="K369">
        <v>5.6601955659689303</v>
      </c>
      <c r="L369">
        <v>61711100</v>
      </c>
      <c r="M369">
        <v>886535700</v>
      </c>
      <c r="N369">
        <v>15067727000</v>
      </c>
      <c r="O369">
        <v>15954262700</v>
      </c>
      <c r="P369">
        <v>901700</v>
      </c>
      <c r="Q369">
        <v>11147720800</v>
      </c>
      <c r="R369">
        <v>11148622500</v>
      </c>
      <c r="S369">
        <v>1394000</v>
      </c>
      <c r="T369">
        <v>39977100</v>
      </c>
      <c r="U369">
        <v>71822352600</v>
      </c>
      <c r="V369">
        <v>80643027300</v>
      </c>
      <c r="W369">
        <v>351100</v>
      </c>
      <c r="X369">
        <v>27312226300</v>
      </c>
    </row>
    <row r="370" spans="1:24" x14ac:dyDescent="0.3">
      <c r="A370">
        <v>44</v>
      </c>
      <c r="B370">
        <v>131072</v>
      </c>
      <c r="C370">
        <v>5</v>
      </c>
      <c r="D370">
        <v>216</v>
      </c>
      <c r="E370">
        <v>0.35</v>
      </c>
      <c r="F370">
        <v>10</v>
      </c>
      <c r="G370">
        <v>2047</v>
      </c>
      <c r="H370">
        <v>90060</v>
      </c>
      <c r="I370">
        <v>10624361900</v>
      </c>
      <c r="J370">
        <v>53816641300</v>
      </c>
      <c r="K370">
        <v>5.0653998618025202</v>
      </c>
      <c r="L370">
        <v>15561900</v>
      </c>
      <c r="M370">
        <v>854034300</v>
      </c>
      <c r="N370">
        <v>6110106400</v>
      </c>
      <c r="O370">
        <v>6964140700</v>
      </c>
      <c r="P370">
        <v>218100</v>
      </c>
      <c r="Q370">
        <v>3022149900</v>
      </c>
      <c r="R370">
        <v>3022368000</v>
      </c>
      <c r="S370">
        <v>1287900</v>
      </c>
      <c r="T370">
        <v>92115000</v>
      </c>
      <c r="U370">
        <v>29292655000</v>
      </c>
      <c r="V370">
        <v>22006494800</v>
      </c>
      <c r="W370">
        <v>392000</v>
      </c>
      <c r="X370">
        <v>10624361900</v>
      </c>
    </row>
    <row r="371" spans="1:24" x14ac:dyDescent="0.3">
      <c r="A371">
        <v>45</v>
      </c>
      <c r="B371">
        <v>131072</v>
      </c>
      <c r="C371">
        <v>5</v>
      </c>
      <c r="D371">
        <v>216</v>
      </c>
      <c r="E371">
        <v>0.5</v>
      </c>
      <c r="F371">
        <v>10</v>
      </c>
      <c r="G371">
        <v>2047</v>
      </c>
      <c r="H371">
        <v>34480</v>
      </c>
      <c r="I371">
        <v>5283992600</v>
      </c>
      <c r="J371">
        <v>23500672900</v>
      </c>
      <c r="K371">
        <v>4.4475219174228204</v>
      </c>
      <c r="L371">
        <v>6092600</v>
      </c>
      <c r="M371">
        <v>841602200</v>
      </c>
      <c r="N371">
        <v>2649766100</v>
      </c>
      <c r="O371">
        <v>3491368300</v>
      </c>
      <c r="P371">
        <v>115400</v>
      </c>
      <c r="Q371">
        <v>1152709600</v>
      </c>
      <c r="R371">
        <v>1152825000</v>
      </c>
      <c r="S371">
        <v>1383000</v>
      </c>
      <c r="T371">
        <v>39300600</v>
      </c>
      <c r="U371">
        <v>12933842500</v>
      </c>
      <c r="V371">
        <v>8438558200</v>
      </c>
      <c r="W371">
        <v>379400</v>
      </c>
      <c r="X371">
        <v>5283992600</v>
      </c>
    </row>
    <row r="372" spans="1:24" x14ac:dyDescent="0.3">
      <c r="A372">
        <v>46</v>
      </c>
      <c r="B372">
        <v>131072</v>
      </c>
      <c r="C372">
        <v>5</v>
      </c>
      <c r="D372">
        <v>216</v>
      </c>
      <c r="E372">
        <v>0.65</v>
      </c>
      <c r="F372">
        <v>10</v>
      </c>
      <c r="G372">
        <v>2047</v>
      </c>
      <c r="H372">
        <v>12124</v>
      </c>
      <c r="I372">
        <v>3105118300</v>
      </c>
      <c r="J372">
        <v>11239041500</v>
      </c>
      <c r="K372">
        <v>3.6195211950539798</v>
      </c>
      <c r="L372">
        <v>2584300</v>
      </c>
      <c r="M372">
        <v>842015500</v>
      </c>
      <c r="N372">
        <v>1230305000</v>
      </c>
      <c r="O372">
        <v>2072320500</v>
      </c>
      <c r="P372">
        <v>76100</v>
      </c>
      <c r="Q372">
        <v>411744100</v>
      </c>
      <c r="R372">
        <v>411820200</v>
      </c>
      <c r="S372">
        <v>1247400</v>
      </c>
      <c r="T372">
        <v>38536900</v>
      </c>
      <c r="U372">
        <v>5827822000</v>
      </c>
      <c r="V372">
        <v>2956322800</v>
      </c>
      <c r="W372">
        <v>353400</v>
      </c>
      <c r="X372">
        <v>3105118300</v>
      </c>
    </row>
    <row r="373" spans="1:24" x14ac:dyDescent="0.3">
      <c r="A373">
        <v>47</v>
      </c>
      <c r="B373">
        <v>131072</v>
      </c>
      <c r="C373">
        <v>5</v>
      </c>
      <c r="D373">
        <v>216</v>
      </c>
      <c r="E373">
        <v>0.8</v>
      </c>
      <c r="F373">
        <v>10</v>
      </c>
      <c r="G373">
        <v>2047</v>
      </c>
      <c r="H373">
        <v>7356</v>
      </c>
      <c r="I373">
        <v>2609241400</v>
      </c>
      <c r="J373">
        <v>7313383500</v>
      </c>
      <c r="K373">
        <v>2.80287730372513</v>
      </c>
      <c r="L373">
        <v>1677000</v>
      </c>
      <c r="M373">
        <v>858329600</v>
      </c>
      <c r="N373">
        <v>709562600</v>
      </c>
      <c r="O373">
        <v>1567892200</v>
      </c>
      <c r="P373">
        <v>81400</v>
      </c>
      <c r="Q373">
        <v>251596900</v>
      </c>
      <c r="R373">
        <v>251678300</v>
      </c>
      <c r="S373">
        <v>1439000</v>
      </c>
      <c r="T373">
        <v>40055900</v>
      </c>
      <c r="U373">
        <v>3403524100</v>
      </c>
      <c r="V373">
        <v>1794497400</v>
      </c>
      <c r="W373">
        <v>357000</v>
      </c>
      <c r="X373">
        <v>2609241400</v>
      </c>
    </row>
    <row r="374" spans="1:24" x14ac:dyDescent="0.3">
      <c r="A374">
        <v>48</v>
      </c>
      <c r="B374">
        <v>131072</v>
      </c>
      <c r="C374">
        <v>5</v>
      </c>
      <c r="D374">
        <v>216</v>
      </c>
      <c r="E374">
        <v>0.95</v>
      </c>
      <c r="F374">
        <v>10</v>
      </c>
      <c r="G374">
        <v>2047</v>
      </c>
      <c r="H374">
        <v>2048</v>
      </c>
      <c r="I374">
        <v>1558299900</v>
      </c>
      <c r="J374">
        <v>5145234800</v>
      </c>
      <c r="K374">
        <v>3.3018257910431701</v>
      </c>
      <c r="L374">
        <v>779200</v>
      </c>
      <c r="M374">
        <v>880482900</v>
      </c>
      <c r="N374">
        <v>455277900</v>
      </c>
      <c r="O374">
        <v>1335760800</v>
      </c>
      <c r="P374">
        <v>96300</v>
      </c>
      <c r="Q374">
        <v>73342200</v>
      </c>
      <c r="R374">
        <v>73438500</v>
      </c>
      <c r="S374">
        <v>1276400</v>
      </c>
      <c r="T374">
        <v>40436300</v>
      </c>
      <c r="U374">
        <v>2177287500</v>
      </c>
      <c r="V374">
        <v>509283800</v>
      </c>
      <c r="W374">
        <v>380000</v>
      </c>
      <c r="X374">
        <v>1558299900</v>
      </c>
    </row>
    <row r="375" spans="1:24" x14ac:dyDescent="0.3">
      <c r="A375">
        <v>49</v>
      </c>
      <c r="B375">
        <v>131072</v>
      </c>
      <c r="C375">
        <v>6</v>
      </c>
      <c r="D375">
        <v>343</v>
      </c>
      <c r="E375">
        <v>0.2</v>
      </c>
      <c r="F375">
        <v>9</v>
      </c>
      <c r="G375">
        <v>1023</v>
      </c>
      <c r="H375">
        <v>163952</v>
      </c>
      <c r="I375">
        <v>31468940500</v>
      </c>
      <c r="J375">
        <v>204371634200</v>
      </c>
      <c r="K375">
        <v>6.4943919608605798</v>
      </c>
      <c r="L375">
        <v>20918100</v>
      </c>
      <c r="M375">
        <v>2010894300</v>
      </c>
      <c r="N375">
        <v>7040470000</v>
      </c>
      <c r="O375">
        <v>9051364300</v>
      </c>
      <c r="P375">
        <v>501400</v>
      </c>
      <c r="Q375">
        <v>22205341000</v>
      </c>
      <c r="R375">
        <v>22205842400</v>
      </c>
      <c r="S375">
        <v>1263500</v>
      </c>
      <c r="T375">
        <v>31055600</v>
      </c>
      <c r="U375">
        <v>32977558600</v>
      </c>
      <c r="V375">
        <v>168714174400</v>
      </c>
      <c r="W375">
        <v>428800</v>
      </c>
      <c r="X375">
        <v>31468940500</v>
      </c>
    </row>
    <row r="376" spans="1:24" x14ac:dyDescent="0.3">
      <c r="A376">
        <v>50</v>
      </c>
      <c r="B376">
        <v>131072</v>
      </c>
      <c r="C376">
        <v>6</v>
      </c>
      <c r="D376">
        <v>343</v>
      </c>
      <c r="E376">
        <v>0.35</v>
      </c>
      <c r="F376">
        <v>9</v>
      </c>
      <c r="G376">
        <v>1023</v>
      </c>
      <c r="H376">
        <v>49460</v>
      </c>
      <c r="I376">
        <v>13802794100</v>
      </c>
      <c r="J376">
        <v>75852759700</v>
      </c>
      <c r="K376">
        <v>5.4954641176600596</v>
      </c>
      <c r="L376">
        <v>6591600</v>
      </c>
      <c r="M376">
        <v>1885680000</v>
      </c>
      <c r="N376">
        <v>4616765900</v>
      </c>
      <c r="O376">
        <v>6502445900</v>
      </c>
      <c r="P376">
        <v>192200</v>
      </c>
      <c r="Q376">
        <v>6629471100</v>
      </c>
      <c r="R376">
        <v>6629663300</v>
      </c>
      <c r="S376">
        <v>1320600</v>
      </c>
      <c r="T376">
        <v>32642100</v>
      </c>
      <c r="U376">
        <v>21846801500</v>
      </c>
      <c r="V376">
        <v>51074876100</v>
      </c>
      <c r="W376">
        <v>371700</v>
      </c>
      <c r="X376">
        <v>13802794100</v>
      </c>
    </row>
    <row r="377" spans="1:24" x14ac:dyDescent="0.3">
      <c r="A377">
        <v>51</v>
      </c>
      <c r="B377">
        <v>131072</v>
      </c>
      <c r="C377">
        <v>6</v>
      </c>
      <c r="D377">
        <v>343</v>
      </c>
      <c r="E377">
        <v>0.5</v>
      </c>
      <c r="F377">
        <v>9</v>
      </c>
      <c r="G377">
        <v>1023</v>
      </c>
      <c r="H377">
        <v>19140</v>
      </c>
      <c r="I377">
        <v>7802987600</v>
      </c>
      <c r="J377">
        <v>35097543300</v>
      </c>
      <c r="K377">
        <v>4.4979622036051898</v>
      </c>
      <c r="L377">
        <v>3117400</v>
      </c>
      <c r="M377">
        <v>1887544900</v>
      </c>
      <c r="N377">
        <v>2686476900</v>
      </c>
      <c r="O377">
        <v>4574021800</v>
      </c>
      <c r="P377">
        <v>100500</v>
      </c>
      <c r="Q377">
        <v>2553543700</v>
      </c>
      <c r="R377">
        <v>2553644200</v>
      </c>
      <c r="S377">
        <v>1344500</v>
      </c>
      <c r="T377">
        <v>36186200</v>
      </c>
      <c r="U377">
        <v>12740059300</v>
      </c>
      <c r="V377">
        <v>19717956300</v>
      </c>
      <c r="W377">
        <v>381700</v>
      </c>
      <c r="X377">
        <v>7802987600</v>
      </c>
    </row>
    <row r="378" spans="1:24" x14ac:dyDescent="0.3">
      <c r="A378">
        <v>52</v>
      </c>
      <c r="B378">
        <v>131072</v>
      </c>
      <c r="C378">
        <v>6</v>
      </c>
      <c r="D378">
        <v>343</v>
      </c>
      <c r="E378">
        <v>0.65</v>
      </c>
      <c r="F378">
        <v>9</v>
      </c>
      <c r="G378">
        <v>1023</v>
      </c>
      <c r="H378">
        <v>8456</v>
      </c>
      <c r="I378">
        <v>4885129800</v>
      </c>
      <c r="J378">
        <v>17154064700</v>
      </c>
      <c r="K378">
        <v>3.5114859588787102</v>
      </c>
      <c r="L378">
        <v>1435600</v>
      </c>
      <c r="M378">
        <v>1899973000</v>
      </c>
      <c r="N378">
        <v>1170944300</v>
      </c>
      <c r="O378">
        <v>3070917300</v>
      </c>
      <c r="P378">
        <v>86500</v>
      </c>
      <c r="Q378">
        <v>1141833800</v>
      </c>
      <c r="R378">
        <v>1141920300</v>
      </c>
      <c r="S378">
        <v>1230600</v>
      </c>
      <c r="T378">
        <v>36301200</v>
      </c>
      <c r="U378">
        <v>5493292000</v>
      </c>
      <c r="V378">
        <v>8688360200</v>
      </c>
      <c r="W378">
        <v>383700</v>
      </c>
      <c r="X378">
        <v>4885129800</v>
      </c>
    </row>
    <row r="379" spans="1:24" x14ac:dyDescent="0.3">
      <c r="A379">
        <v>53</v>
      </c>
      <c r="B379">
        <v>131072</v>
      </c>
      <c r="C379">
        <v>6</v>
      </c>
      <c r="D379">
        <v>343</v>
      </c>
      <c r="E379">
        <v>0.8</v>
      </c>
      <c r="F379">
        <v>9</v>
      </c>
      <c r="G379">
        <v>1023</v>
      </c>
      <c r="H379">
        <v>4536</v>
      </c>
      <c r="I379">
        <v>3933700400</v>
      </c>
      <c r="J379">
        <v>10803195000</v>
      </c>
      <c r="K379">
        <v>2.7463187079524398</v>
      </c>
      <c r="L379">
        <v>918500</v>
      </c>
      <c r="M379">
        <v>1899761000</v>
      </c>
      <c r="N379">
        <v>743644900</v>
      </c>
      <c r="O379">
        <v>2643405900</v>
      </c>
      <c r="P379">
        <v>65900</v>
      </c>
      <c r="Q379">
        <v>615949000</v>
      </c>
      <c r="R379">
        <v>616014900</v>
      </c>
      <c r="S379">
        <v>1312200</v>
      </c>
      <c r="T379">
        <v>35439200</v>
      </c>
      <c r="U379">
        <v>3491546700</v>
      </c>
      <c r="V379">
        <v>4643929400</v>
      </c>
      <c r="W379">
        <v>400400</v>
      </c>
      <c r="X379">
        <v>3933700400</v>
      </c>
    </row>
    <row r="380" spans="1:24" x14ac:dyDescent="0.3">
      <c r="A380">
        <v>54</v>
      </c>
      <c r="B380">
        <v>131072</v>
      </c>
      <c r="C380">
        <v>6</v>
      </c>
      <c r="D380">
        <v>343</v>
      </c>
      <c r="E380">
        <v>0.95</v>
      </c>
      <c r="F380">
        <v>9</v>
      </c>
      <c r="G380">
        <v>1023</v>
      </c>
      <c r="H380">
        <v>3072</v>
      </c>
      <c r="I380">
        <v>3390560700</v>
      </c>
      <c r="J380">
        <v>7297544100</v>
      </c>
      <c r="K380">
        <v>2.1523118875293901</v>
      </c>
      <c r="L380">
        <v>532200</v>
      </c>
      <c r="M380">
        <v>1901700000</v>
      </c>
      <c r="N380">
        <v>236718900</v>
      </c>
      <c r="O380">
        <v>2138418900</v>
      </c>
      <c r="P380">
        <v>87200</v>
      </c>
      <c r="Q380">
        <v>419550200</v>
      </c>
      <c r="R380">
        <v>419637400</v>
      </c>
      <c r="S380">
        <v>1251600</v>
      </c>
      <c r="T380">
        <v>33720200</v>
      </c>
      <c r="U380">
        <v>1121326400</v>
      </c>
      <c r="V380">
        <v>3167740700</v>
      </c>
      <c r="W380">
        <v>353900</v>
      </c>
      <c r="X380">
        <v>3390560700</v>
      </c>
    </row>
    <row r="381" spans="1:24" x14ac:dyDescent="0.3">
      <c r="A381">
        <v>55</v>
      </c>
      <c r="B381">
        <v>131072</v>
      </c>
      <c r="C381">
        <v>7</v>
      </c>
      <c r="D381">
        <v>512</v>
      </c>
      <c r="E381">
        <v>0.2</v>
      </c>
      <c r="F381">
        <v>8</v>
      </c>
      <c r="G381">
        <v>511</v>
      </c>
      <c r="H381">
        <v>56360</v>
      </c>
      <c r="I381">
        <v>34817069700</v>
      </c>
      <c r="J381">
        <v>251133811200</v>
      </c>
      <c r="K381">
        <v>7.2129508130318003</v>
      </c>
      <c r="L381">
        <v>12277800</v>
      </c>
      <c r="M381">
        <v>2362160300</v>
      </c>
      <c r="N381">
        <v>1588982000</v>
      </c>
      <c r="O381">
        <v>3951142300</v>
      </c>
      <c r="P381">
        <v>225000</v>
      </c>
      <c r="Q381">
        <v>30660378900</v>
      </c>
      <c r="R381">
        <v>30660603900</v>
      </c>
      <c r="S381">
        <v>1566700</v>
      </c>
      <c r="T381">
        <v>34222100</v>
      </c>
      <c r="U381">
        <v>8337593100</v>
      </c>
      <c r="V381">
        <v>239752901800</v>
      </c>
      <c r="W381">
        <v>431400</v>
      </c>
      <c r="X381">
        <v>34817069700</v>
      </c>
    </row>
    <row r="382" spans="1:24" x14ac:dyDescent="0.3">
      <c r="A382">
        <v>56</v>
      </c>
      <c r="B382">
        <v>131072</v>
      </c>
      <c r="C382">
        <v>7</v>
      </c>
      <c r="D382">
        <v>512</v>
      </c>
      <c r="E382">
        <v>0.35</v>
      </c>
      <c r="F382">
        <v>8</v>
      </c>
      <c r="G382">
        <v>511</v>
      </c>
      <c r="H382">
        <v>19564</v>
      </c>
      <c r="I382">
        <v>16995855600</v>
      </c>
      <c r="J382">
        <v>105485264000</v>
      </c>
      <c r="K382">
        <v>6.2065286080684201</v>
      </c>
      <c r="L382">
        <v>2614000</v>
      </c>
      <c r="M382">
        <v>2268562800</v>
      </c>
      <c r="N382">
        <v>3531659800</v>
      </c>
      <c r="O382">
        <v>5800222600</v>
      </c>
      <c r="P382">
        <v>133500</v>
      </c>
      <c r="Q382">
        <v>10517530200</v>
      </c>
      <c r="R382">
        <v>10517663700</v>
      </c>
      <c r="S382">
        <v>1276000</v>
      </c>
      <c r="T382">
        <v>31115500</v>
      </c>
      <c r="U382">
        <v>18761236600</v>
      </c>
      <c r="V382">
        <v>83287836900</v>
      </c>
      <c r="W382">
        <v>476900</v>
      </c>
      <c r="X382">
        <v>16995855600</v>
      </c>
    </row>
    <row r="383" spans="1:24" x14ac:dyDescent="0.3">
      <c r="A383">
        <v>57</v>
      </c>
      <c r="B383">
        <v>131072</v>
      </c>
      <c r="C383">
        <v>7</v>
      </c>
      <c r="D383">
        <v>512</v>
      </c>
      <c r="E383">
        <v>0.5</v>
      </c>
      <c r="F383">
        <v>8</v>
      </c>
      <c r="G383">
        <v>511</v>
      </c>
      <c r="H383">
        <v>9048</v>
      </c>
      <c r="I383">
        <v>9660991000</v>
      </c>
      <c r="J383">
        <v>51698382400</v>
      </c>
      <c r="K383">
        <v>5.3512504462533901</v>
      </c>
      <c r="L383">
        <v>1366000</v>
      </c>
      <c r="M383">
        <v>2259218900</v>
      </c>
      <c r="N383">
        <v>1872276300</v>
      </c>
      <c r="O383">
        <v>4131495200</v>
      </c>
      <c r="P383">
        <v>85100</v>
      </c>
      <c r="Q383">
        <v>4847808900</v>
      </c>
      <c r="R383">
        <v>4847894000</v>
      </c>
      <c r="S383">
        <v>1448900</v>
      </c>
      <c r="T383">
        <v>31428200</v>
      </c>
      <c r="U383">
        <v>10016871200</v>
      </c>
      <c r="V383">
        <v>38517533900</v>
      </c>
      <c r="W383">
        <v>386900</v>
      </c>
      <c r="X383">
        <v>9660991000</v>
      </c>
    </row>
    <row r="384" spans="1:24" x14ac:dyDescent="0.3">
      <c r="A384">
        <v>58</v>
      </c>
      <c r="B384">
        <v>131072</v>
      </c>
      <c r="C384">
        <v>7</v>
      </c>
      <c r="D384">
        <v>512</v>
      </c>
      <c r="E384">
        <v>0.65</v>
      </c>
      <c r="F384">
        <v>8</v>
      </c>
      <c r="G384">
        <v>511</v>
      </c>
      <c r="H384">
        <v>3604</v>
      </c>
      <c r="I384">
        <v>5988536900</v>
      </c>
      <c r="J384">
        <v>24504073600</v>
      </c>
      <c r="K384">
        <v>4.0918297756501998</v>
      </c>
      <c r="L384">
        <v>776800</v>
      </c>
      <c r="M384">
        <v>2276088600</v>
      </c>
      <c r="N384">
        <v>1081464500</v>
      </c>
      <c r="O384">
        <v>3357553100</v>
      </c>
      <c r="P384">
        <v>89300</v>
      </c>
      <c r="Q384">
        <v>1948686400</v>
      </c>
      <c r="R384">
        <v>1948775700</v>
      </c>
      <c r="S384">
        <v>3106600</v>
      </c>
      <c r="T384">
        <v>33115800</v>
      </c>
      <c r="U384">
        <v>5708449600</v>
      </c>
      <c r="V384">
        <v>15354649600</v>
      </c>
      <c r="W384">
        <v>381300</v>
      </c>
      <c r="X384">
        <v>5988536900</v>
      </c>
    </row>
    <row r="385" spans="1:24" x14ac:dyDescent="0.3">
      <c r="A385">
        <v>59</v>
      </c>
      <c r="B385">
        <v>131072</v>
      </c>
      <c r="C385">
        <v>7</v>
      </c>
      <c r="D385">
        <v>512</v>
      </c>
      <c r="E385">
        <v>0.8</v>
      </c>
      <c r="F385">
        <v>8</v>
      </c>
      <c r="G385">
        <v>511</v>
      </c>
      <c r="H385">
        <v>1980</v>
      </c>
      <c r="I385">
        <v>4809905200</v>
      </c>
      <c r="J385">
        <v>15599479400</v>
      </c>
      <c r="K385">
        <v>3.24319893040719</v>
      </c>
      <c r="L385">
        <v>472900</v>
      </c>
      <c r="M385">
        <v>2282801300</v>
      </c>
      <c r="N385">
        <v>775544100</v>
      </c>
      <c r="O385">
        <v>3058345400</v>
      </c>
      <c r="P385">
        <v>85800</v>
      </c>
      <c r="Q385">
        <v>1073123800</v>
      </c>
      <c r="R385">
        <v>1073209600</v>
      </c>
      <c r="S385">
        <v>1333400</v>
      </c>
      <c r="T385">
        <v>31505900</v>
      </c>
      <c r="U385">
        <v>4122409800</v>
      </c>
      <c r="V385">
        <v>8413417000</v>
      </c>
      <c r="W385">
        <v>408200</v>
      </c>
      <c r="X385">
        <v>4809905200</v>
      </c>
    </row>
    <row r="386" spans="1:24" x14ac:dyDescent="0.3">
      <c r="A386">
        <v>60</v>
      </c>
      <c r="B386">
        <v>131072</v>
      </c>
      <c r="C386">
        <v>7</v>
      </c>
      <c r="D386">
        <v>512</v>
      </c>
      <c r="E386">
        <v>0.95</v>
      </c>
      <c r="F386">
        <v>8</v>
      </c>
      <c r="G386">
        <v>511</v>
      </c>
      <c r="H386">
        <v>1024</v>
      </c>
      <c r="I386">
        <v>3793436600</v>
      </c>
      <c r="J386">
        <v>9296306700</v>
      </c>
      <c r="K386">
        <v>2.4506292526412499</v>
      </c>
      <c r="L386">
        <v>174900</v>
      </c>
      <c r="M386">
        <v>2281931500</v>
      </c>
      <c r="N386">
        <v>283061700</v>
      </c>
      <c r="O386">
        <v>2564993200</v>
      </c>
      <c r="P386">
        <v>60400</v>
      </c>
      <c r="Q386">
        <v>562982300</v>
      </c>
      <c r="R386">
        <v>563042700</v>
      </c>
      <c r="S386">
        <v>1346800</v>
      </c>
      <c r="T386">
        <v>31726200</v>
      </c>
      <c r="U386">
        <v>1485065600</v>
      </c>
      <c r="V386">
        <v>4389210600</v>
      </c>
      <c r="W386">
        <v>371600</v>
      </c>
      <c r="X386">
        <v>3793436600</v>
      </c>
    </row>
    <row r="387" spans="1:24" x14ac:dyDescent="0.3">
      <c r="A387">
        <v>61</v>
      </c>
      <c r="B387">
        <v>262144</v>
      </c>
      <c r="C387">
        <v>3</v>
      </c>
      <c r="D387">
        <v>64</v>
      </c>
      <c r="E387">
        <v>0.2</v>
      </c>
      <c r="F387">
        <v>12</v>
      </c>
      <c r="G387">
        <v>8191</v>
      </c>
      <c r="H387" s="1">
        <v>2182908</v>
      </c>
      <c r="I387">
        <v>27113271800</v>
      </c>
      <c r="J387">
        <v>173516496100</v>
      </c>
      <c r="K387">
        <v>6.3996885871958797</v>
      </c>
      <c r="L387">
        <v>389107200</v>
      </c>
      <c r="M387">
        <v>54595000</v>
      </c>
      <c r="N387">
        <v>8036379100</v>
      </c>
      <c r="O387">
        <v>8090974100</v>
      </c>
      <c r="P387">
        <v>9016300</v>
      </c>
      <c r="Q387">
        <v>18490403900</v>
      </c>
      <c r="R387">
        <v>18499420200</v>
      </c>
      <c r="S387">
        <v>2090800</v>
      </c>
      <c r="T387">
        <v>126201800</v>
      </c>
      <c r="U387">
        <v>41374867600</v>
      </c>
      <c r="V387">
        <v>130159522800</v>
      </c>
      <c r="W387">
        <v>846100</v>
      </c>
      <c r="X387">
        <v>27113271800</v>
      </c>
    </row>
    <row r="388" spans="1:24" x14ac:dyDescent="0.3">
      <c r="A388">
        <v>62</v>
      </c>
      <c r="B388">
        <v>262144</v>
      </c>
      <c r="C388">
        <v>3</v>
      </c>
      <c r="D388">
        <v>64</v>
      </c>
      <c r="E388">
        <v>0.35</v>
      </c>
      <c r="F388">
        <v>12</v>
      </c>
      <c r="G388">
        <v>8191</v>
      </c>
      <c r="H388">
        <v>487892</v>
      </c>
      <c r="I388">
        <v>7347957300</v>
      </c>
      <c r="J388">
        <v>42912422900</v>
      </c>
      <c r="K388">
        <v>5.8400479409427097</v>
      </c>
      <c r="L388">
        <v>153609700</v>
      </c>
      <c r="M388">
        <v>139099800</v>
      </c>
      <c r="N388">
        <v>2334785200</v>
      </c>
      <c r="O388">
        <v>2473885000</v>
      </c>
      <c r="P388">
        <v>1257500</v>
      </c>
      <c r="Q388">
        <v>4081455700</v>
      </c>
      <c r="R388">
        <v>4082713200</v>
      </c>
      <c r="S388">
        <v>2194900</v>
      </c>
      <c r="T388">
        <v>74691100</v>
      </c>
      <c r="U388">
        <v>12271121200</v>
      </c>
      <c r="V388">
        <v>29116161300</v>
      </c>
      <c r="W388">
        <v>942800</v>
      </c>
      <c r="X388">
        <v>7347957300</v>
      </c>
    </row>
    <row r="389" spans="1:24" x14ac:dyDescent="0.3">
      <c r="A389">
        <v>63</v>
      </c>
      <c r="B389">
        <v>262144</v>
      </c>
      <c r="C389">
        <v>3</v>
      </c>
      <c r="D389">
        <v>64</v>
      </c>
      <c r="E389">
        <v>0.5</v>
      </c>
      <c r="F389">
        <v>12</v>
      </c>
      <c r="G389">
        <v>8191</v>
      </c>
      <c r="H389">
        <v>173652</v>
      </c>
      <c r="I389">
        <v>3435120500</v>
      </c>
      <c r="J389">
        <v>17520138800</v>
      </c>
      <c r="K389">
        <v>5.1002981700350798</v>
      </c>
      <c r="L389">
        <v>38930400</v>
      </c>
      <c r="M389">
        <v>257190800</v>
      </c>
      <c r="N389">
        <v>1057128200</v>
      </c>
      <c r="O389">
        <v>1314319000</v>
      </c>
      <c r="P389">
        <v>559400</v>
      </c>
      <c r="Q389">
        <v>1460222100</v>
      </c>
      <c r="R389">
        <v>1460781500</v>
      </c>
      <c r="S389">
        <v>2377700</v>
      </c>
      <c r="T389">
        <v>80299200</v>
      </c>
      <c r="U389">
        <v>5292358200</v>
      </c>
      <c r="V389">
        <v>10540102900</v>
      </c>
      <c r="W389">
        <v>830400</v>
      </c>
      <c r="X389">
        <v>3435120500</v>
      </c>
    </row>
    <row r="390" spans="1:24" x14ac:dyDescent="0.3">
      <c r="A390">
        <v>64</v>
      </c>
      <c r="B390">
        <v>262144</v>
      </c>
      <c r="C390">
        <v>3</v>
      </c>
      <c r="D390">
        <v>64</v>
      </c>
      <c r="E390">
        <v>0.65</v>
      </c>
      <c r="F390">
        <v>12</v>
      </c>
      <c r="G390">
        <v>8191</v>
      </c>
      <c r="H390">
        <v>68692</v>
      </c>
      <c r="I390">
        <v>1904579900</v>
      </c>
      <c r="J390">
        <v>7789353800</v>
      </c>
      <c r="K390">
        <v>4.0898015357612403</v>
      </c>
      <c r="L390">
        <v>11934000</v>
      </c>
      <c r="M390">
        <v>287111300</v>
      </c>
      <c r="N390">
        <v>402215300</v>
      </c>
      <c r="O390">
        <v>689326600</v>
      </c>
      <c r="P390">
        <v>201300</v>
      </c>
      <c r="Q390">
        <v>587352900</v>
      </c>
      <c r="R390">
        <v>587554200</v>
      </c>
      <c r="S390">
        <v>2107800</v>
      </c>
      <c r="T390">
        <v>83693800</v>
      </c>
      <c r="U390">
        <v>1952979900</v>
      </c>
      <c r="V390">
        <v>4111456000</v>
      </c>
      <c r="W390">
        <v>836600</v>
      </c>
      <c r="X390">
        <v>1904579900</v>
      </c>
    </row>
    <row r="391" spans="1:24" x14ac:dyDescent="0.3">
      <c r="A391">
        <v>65</v>
      </c>
      <c r="B391">
        <v>262144</v>
      </c>
      <c r="C391">
        <v>3</v>
      </c>
      <c r="D391">
        <v>64</v>
      </c>
      <c r="E391">
        <v>0.8</v>
      </c>
      <c r="F391">
        <v>12</v>
      </c>
      <c r="G391">
        <v>8191</v>
      </c>
      <c r="H391">
        <v>32592</v>
      </c>
      <c r="I391">
        <v>1030278200</v>
      </c>
      <c r="J391">
        <v>4812347900</v>
      </c>
      <c r="K391">
        <v>4.67092082507423</v>
      </c>
      <c r="L391">
        <v>13249900</v>
      </c>
      <c r="M391">
        <v>351202100</v>
      </c>
      <c r="N391">
        <v>248040700</v>
      </c>
      <c r="O391">
        <v>599242800</v>
      </c>
      <c r="P391">
        <v>163500</v>
      </c>
      <c r="Q391">
        <v>283214900</v>
      </c>
      <c r="R391">
        <v>283378400</v>
      </c>
      <c r="S391">
        <v>2208800</v>
      </c>
      <c r="T391">
        <v>79094700</v>
      </c>
      <c r="U391">
        <v>1136856100</v>
      </c>
      <c r="V391">
        <v>1954966300</v>
      </c>
      <c r="W391">
        <v>822500</v>
      </c>
      <c r="X391">
        <v>1030278200</v>
      </c>
    </row>
    <row r="392" spans="1:24" x14ac:dyDescent="0.3">
      <c r="A392">
        <v>66</v>
      </c>
      <c r="B392">
        <v>262144</v>
      </c>
      <c r="C392">
        <v>3</v>
      </c>
      <c r="D392">
        <v>64</v>
      </c>
      <c r="E392">
        <v>0.95</v>
      </c>
      <c r="F392">
        <v>12</v>
      </c>
      <c r="G392">
        <v>8191</v>
      </c>
      <c r="H392">
        <v>24472</v>
      </c>
      <c r="I392">
        <v>878960400</v>
      </c>
      <c r="J392">
        <v>3544426700</v>
      </c>
      <c r="K392">
        <v>4.032521487885</v>
      </c>
      <c r="L392">
        <v>3413300</v>
      </c>
      <c r="M392">
        <v>435560000</v>
      </c>
      <c r="N392">
        <v>77729700</v>
      </c>
      <c r="O392">
        <v>513289700</v>
      </c>
      <c r="P392">
        <v>122600</v>
      </c>
      <c r="Q392">
        <v>229595100</v>
      </c>
      <c r="R392">
        <v>229717700</v>
      </c>
      <c r="S392">
        <v>2096600</v>
      </c>
      <c r="T392">
        <v>83691400</v>
      </c>
      <c r="U392">
        <v>364937400</v>
      </c>
      <c r="V392">
        <v>1476655500</v>
      </c>
      <c r="W392">
        <v>874200</v>
      </c>
      <c r="X392">
        <v>878960400</v>
      </c>
    </row>
    <row r="393" spans="1:24" x14ac:dyDescent="0.3">
      <c r="A393">
        <v>67</v>
      </c>
      <c r="B393">
        <v>262144</v>
      </c>
      <c r="C393">
        <v>4</v>
      </c>
      <c r="D393">
        <v>125</v>
      </c>
      <c r="E393">
        <v>0.2</v>
      </c>
      <c r="F393">
        <v>12</v>
      </c>
      <c r="G393">
        <v>8191</v>
      </c>
      <c r="H393" s="1">
        <v>2185460</v>
      </c>
      <c r="I393">
        <v>46486702800</v>
      </c>
      <c r="J393">
        <v>286051364000</v>
      </c>
      <c r="K393">
        <v>6.1534018712981204</v>
      </c>
      <c r="L393">
        <v>367230100</v>
      </c>
      <c r="M393">
        <v>478767000</v>
      </c>
      <c r="N393">
        <v>26365055800</v>
      </c>
      <c r="O393">
        <v>26843822800</v>
      </c>
      <c r="P393">
        <v>8584300</v>
      </c>
      <c r="Q393">
        <v>19038124000</v>
      </c>
      <c r="R393">
        <v>19046708300</v>
      </c>
      <c r="S393">
        <v>2648300</v>
      </c>
      <c r="T393">
        <v>428080600</v>
      </c>
      <c r="U393">
        <v>152206328500</v>
      </c>
      <c r="V393">
        <v>130222051300</v>
      </c>
      <c r="W393">
        <v>879400</v>
      </c>
      <c r="X393">
        <v>46486702800</v>
      </c>
    </row>
    <row r="394" spans="1:24" x14ac:dyDescent="0.3">
      <c r="A394">
        <v>68</v>
      </c>
      <c r="B394">
        <v>262144</v>
      </c>
      <c r="C394">
        <v>4</v>
      </c>
      <c r="D394">
        <v>125</v>
      </c>
      <c r="E394">
        <v>0.35</v>
      </c>
      <c r="F394">
        <v>12</v>
      </c>
      <c r="G394">
        <v>8191</v>
      </c>
      <c r="H394">
        <v>489456</v>
      </c>
      <c r="I394">
        <v>13427115400</v>
      </c>
      <c r="J394">
        <v>76917211000</v>
      </c>
      <c r="K394">
        <v>5.72849854258346</v>
      </c>
      <c r="L394">
        <v>100219800</v>
      </c>
      <c r="M394">
        <v>687479400</v>
      </c>
      <c r="N394">
        <v>7632448500</v>
      </c>
      <c r="O394">
        <v>8319927900</v>
      </c>
      <c r="P394">
        <v>1327200</v>
      </c>
      <c r="Q394">
        <v>4274146600</v>
      </c>
      <c r="R394">
        <v>4275473800</v>
      </c>
      <c r="S394">
        <v>2209500</v>
      </c>
      <c r="T394">
        <v>92228800</v>
      </c>
      <c r="U394">
        <v>44398938500</v>
      </c>
      <c r="V394">
        <v>29082393500</v>
      </c>
      <c r="W394">
        <v>869400</v>
      </c>
      <c r="X394">
        <v>13427115400</v>
      </c>
    </row>
    <row r="395" spans="1:24" x14ac:dyDescent="0.3">
      <c r="A395">
        <v>69</v>
      </c>
      <c r="B395">
        <v>262144</v>
      </c>
      <c r="C395">
        <v>4</v>
      </c>
      <c r="D395">
        <v>125</v>
      </c>
      <c r="E395">
        <v>0.5</v>
      </c>
      <c r="F395">
        <v>12</v>
      </c>
      <c r="G395">
        <v>8191</v>
      </c>
      <c r="H395">
        <v>173924</v>
      </c>
      <c r="I395">
        <v>6408844700</v>
      </c>
      <c r="J395">
        <v>33619912300</v>
      </c>
      <c r="K395">
        <v>5.2458615981129899</v>
      </c>
      <c r="L395">
        <v>39496300</v>
      </c>
      <c r="M395">
        <v>747984300</v>
      </c>
      <c r="N395">
        <v>3382104700</v>
      </c>
      <c r="O395">
        <v>4130089000</v>
      </c>
      <c r="P395">
        <v>593300</v>
      </c>
      <c r="Q395">
        <v>1506522500</v>
      </c>
      <c r="R395">
        <v>1507115800</v>
      </c>
      <c r="S395">
        <v>2449300</v>
      </c>
      <c r="T395">
        <v>87102300</v>
      </c>
      <c r="U395">
        <v>19764610900</v>
      </c>
      <c r="V395">
        <v>10414316000</v>
      </c>
      <c r="W395">
        <v>827200</v>
      </c>
      <c r="X395">
        <v>6408844700</v>
      </c>
    </row>
    <row r="396" spans="1:24" x14ac:dyDescent="0.3">
      <c r="A396">
        <v>70</v>
      </c>
      <c r="B396">
        <v>262144</v>
      </c>
      <c r="C396">
        <v>4</v>
      </c>
      <c r="D396">
        <v>125</v>
      </c>
      <c r="E396">
        <v>0.65</v>
      </c>
      <c r="F396">
        <v>12</v>
      </c>
      <c r="G396">
        <v>8191</v>
      </c>
      <c r="H396">
        <v>68744</v>
      </c>
      <c r="I396">
        <v>3357675400</v>
      </c>
      <c r="J396">
        <v>14811604800</v>
      </c>
      <c r="K396">
        <v>4.4112676287886501</v>
      </c>
      <c r="L396">
        <v>12183600</v>
      </c>
      <c r="M396">
        <v>773927400</v>
      </c>
      <c r="N396">
        <v>1251533500</v>
      </c>
      <c r="O396">
        <v>2025460900</v>
      </c>
      <c r="P396">
        <v>223700</v>
      </c>
      <c r="Q396">
        <v>597462300</v>
      </c>
      <c r="R396">
        <v>597686000</v>
      </c>
      <c r="S396">
        <v>2136500</v>
      </c>
      <c r="T396">
        <v>88936500</v>
      </c>
      <c r="U396">
        <v>7281301300</v>
      </c>
      <c r="V396">
        <v>4129247200</v>
      </c>
      <c r="W396">
        <v>864300</v>
      </c>
      <c r="X396">
        <v>3357675400</v>
      </c>
    </row>
    <row r="397" spans="1:24" x14ac:dyDescent="0.3">
      <c r="A397">
        <v>71</v>
      </c>
      <c r="B397">
        <v>262144</v>
      </c>
      <c r="C397">
        <v>4</v>
      </c>
      <c r="D397">
        <v>125</v>
      </c>
      <c r="E397">
        <v>0.8</v>
      </c>
      <c r="F397">
        <v>12</v>
      </c>
      <c r="G397">
        <v>8191</v>
      </c>
      <c r="H397">
        <v>32404</v>
      </c>
      <c r="I397">
        <v>2684344100</v>
      </c>
      <c r="J397">
        <v>9459357700</v>
      </c>
      <c r="K397">
        <v>3.5238990783633102</v>
      </c>
      <c r="L397">
        <v>6169800</v>
      </c>
      <c r="M397">
        <v>780430700</v>
      </c>
      <c r="N397">
        <v>724504800</v>
      </c>
      <c r="O397">
        <v>1504935500</v>
      </c>
      <c r="P397">
        <v>175400</v>
      </c>
      <c r="Q397">
        <v>289377100</v>
      </c>
      <c r="R397">
        <v>289552500</v>
      </c>
      <c r="S397">
        <v>2314100</v>
      </c>
      <c r="T397">
        <v>91322900</v>
      </c>
      <c r="U397">
        <v>4159114900</v>
      </c>
      <c r="V397">
        <v>1942422800</v>
      </c>
      <c r="W397">
        <v>876400</v>
      </c>
      <c r="X397">
        <v>2684344100</v>
      </c>
    </row>
    <row r="398" spans="1:24" x14ac:dyDescent="0.3">
      <c r="A398">
        <v>72</v>
      </c>
      <c r="B398">
        <v>262144</v>
      </c>
      <c r="C398">
        <v>4</v>
      </c>
      <c r="D398">
        <v>125</v>
      </c>
      <c r="E398">
        <v>0.95</v>
      </c>
      <c r="F398">
        <v>12</v>
      </c>
      <c r="G398">
        <v>8191</v>
      </c>
      <c r="H398">
        <v>24504</v>
      </c>
      <c r="I398">
        <v>1558369500</v>
      </c>
      <c r="J398">
        <v>6161001500</v>
      </c>
      <c r="K398">
        <v>3.9534920954240902</v>
      </c>
      <c r="L398">
        <v>3335400</v>
      </c>
      <c r="M398">
        <v>897704100</v>
      </c>
      <c r="N398">
        <v>216823400</v>
      </c>
      <c r="O398">
        <v>1114527500</v>
      </c>
      <c r="P398">
        <v>119400</v>
      </c>
      <c r="Q398">
        <v>215443600</v>
      </c>
      <c r="R398">
        <v>215563000</v>
      </c>
      <c r="S398">
        <v>2109000</v>
      </c>
      <c r="T398">
        <v>89189800</v>
      </c>
      <c r="U398">
        <v>1259630000</v>
      </c>
      <c r="V398">
        <v>1472678000</v>
      </c>
      <c r="W398">
        <v>854900</v>
      </c>
      <c r="X398">
        <v>1558369500</v>
      </c>
    </row>
    <row r="399" spans="1:24" x14ac:dyDescent="0.3">
      <c r="A399">
        <v>73</v>
      </c>
      <c r="B399">
        <v>262144</v>
      </c>
      <c r="C399">
        <v>5</v>
      </c>
      <c r="D399">
        <v>216</v>
      </c>
      <c r="E399">
        <v>0.2</v>
      </c>
      <c r="F399">
        <v>11</v>
      </c>
      <c r="G399">
        <v>4095</v>
      </c>
      <c r="H399">
        <v>939240</v>
      </c>
      <c r="I399">
        <v>64708936700</v>
      </c>
      <c r="J399">
        <v>384279554000</v>
      </c>
      <c r="K399">
        <v>5.9385855122542903</v>
      </c>
      <c r="L399">
        <v>140791800</v>
      </c>
      <c r="M399">
        <v>1571319200</v>
      </c>
      <c r="N399">
        <v>31253816100</v>
      </c>
      <c r="O399">
        <v>32825135300</v>
      </c>
      <c r="P399">
        <v>2550700</v>
      </c>
      <c r="Q399">
        <v>31436280200</v>
      </c>
      <c r="R399">
        <v>31438830900</v>
      </c>
      <c r="S399">
        <v>5632700</v>
      </c>
      <c r="T399">
        <v>75790600</v>
      </c>
      <c r="U399">
        <v>149064048300</v>
      </c>
      <c r="V399">
        <v>230607506000</v>
      </c>
      <c r="W399">
        <v>884000</v>
      </c>
      <c r="X399">
        <v>64708936700</v>
      </c>
    </row>
    <row r="400" spans="1:24" x14ac:dyDescent="0.3">
      <c r="A400">
        <v>74</v>
      </c>
      <c r="B400">
        <v>262144</v>
      </c>
      <c r="C400">
        <v>5</v>
      </c>
      <c r="D400">
        <v>216</v>
      </c>
      <c r="E400">
        <v>0.35</v>
      </c>
      <c r="F400">
        <v>11</v>
      </c>
      <c r="G400">
        <v>4095</v>
      </c>
      <c r="H400">
        <v>213808</v>
      </c>
      <c r="I400">
        <v>22117796400</v>
      </c>
      <c r="J400">
        <v>117071968600</v>
      </c>
      <c r="K400">
        <v>5.2931117767229203</v>
      </c>
      <c r="L400">
        <v>43508100</v>
      </c>
      <c r="M400">
        <v>1624877500</v>
      </c>
      <c r="N400">
        <v>12463793100</v>
      </c>
      <c r="O400">
        <v>14088670600</v>
      </c>
      <c r="P400">
        <v>669200</v>
      </c>
      <c r="Q400">
        <v>7183535900</v>
      </c>
      <c r="R400">
        <v>7184205100</v>
      </c>
      <c r="S400">
        <v>2202300</v>
      </c>
      <c r="T400">
        <v>77216500</v>
      </c>
      <c r="U400">
        <v>59111048300</v>
      </c>
      <c r="V400">
        <v>53297462800</v>
      </c>
      <c r="W400">
        <v>843100</v>
      </c>
      <c r="X400">
        <v>22117796400</v>
      </c>
    </row>
    <row r="401" spans="1:24" x14ac:dyDescent="0.3">
      <c r="A401">
        <v>75</v>
      </c>
      <c r="B401">
        <v>262144</v>
      </c>
      <c r="C401">
        <v>5</v>
      </c>
      <c r="D401">
        <v>216</v>
      </c>
      <c r="E401">
        <v>0.5</v>
      </c>
      <c r="F401">
        <v>11</v>
      </c>
      <c r="G401">
        <v>4095</v>
      </c>
      <c r="H401">
        <v>85520</v>
      </c>
      <c r="I401">
        <v>10389985700</v>
      </c>
      <c r="J401">
        <v>50393865900</v>
      </c>
      <c r="K401">
        <v>4.85023438482692</v>
      </c>
      <c r="L401">
        <v>14313700</v>
      </c>
      <c r="M401">
        <v>1543785300</v>
      </c>
      <c r="N401">
        <v>5149450300</v>
      </c>
      <c r="O401">
        <v>6693235600</v>
      </c>
      <c r="P401">
        <v>259300</v>
      </c>
      <c r="Q401">
        <v>2876772100</v>
      </c>
      <c r="R401">
        <v>2877031400</v>
      </c>
      <c r="S401">
        <v>2464300</v>
      </c>
      <c r="T401">
        <v>82077200</v>
      </c>
      <c r="U401">
        <v>24786635600</v>
      </c>
      <c r="V401">
        <v>21039424600</v>
      </c>
      <c r="W401">
        <v>869000</v>
      </c>
      <c r="X401">
        <v>10389985700</v>
      </c>
    </row>
    <row r="402" spans="1:24" x14ac:dyDescent="0.3">
      <c r="A402">
        <v>76</v>
      </c>
      <c r="B402">
        <v>262144</v>
      </c>
      <c r="C402">
        <v>5</v>
      </c>
      <c r="D402">
        <v>216</v>
      </c>
      <c r="E402">
        <v>0.65</v>
      </c>
      <c r="F402">
        <v>11</v>
      </c>
      <c r="G402">
        <v>4095</v>
      </c>
      <c r="H402">
        <v>30932</v>
      </c>
      <c r="I402">
        <v>5510441300</v>
      </c>
      <c r="J402">
        <v>22845897400</v>
      </c>
      <c r="K402">
        <v>4.1459288206191403</v>
      </c>
      <c r="L402">
        <v>5506000</v>
      </c>
      <c r="M402">
        <v>1506388100</v>
      </c>
      <c r="N402">
        <v>2152913200</v>
      </c>
      <c r="O402">
        <v>3659301300</v>
      </c>
      <c r="P402">
        <v>179300</v>
      </c>
      <c r="Q402">
        <v>1036923300</v>
      </c>
      <c r="R402">
        <v>1037102600</v>
      </c>
      <c r="S402">
        <v>2232000</v>
      </c>
      <c r="T402">
        <v>79997500</v>
      </c>
      <c r="U402">
        <v>10386806800</v>
      </c>
      <c r="V402">
        <v>7784482900</v>
      </c>
      <c r="W402">
        <v>914400</v>
      </c>
      <c r="X402">
        <v>5510441300</v>
      </c>
    </row>
    <row r="403" spans="1:24" x14ac:dyDescent="0.3">
      <c r="A403">
        <v>77</v>
      </c>
      <c r="B403">
        <v>262144</v>
      </c>
      <c r="C403">
        <v>5</v>
      </c>
      <c r="D403">
        <v>216</v>
      </c>
      <c r="E403">
        <v>0.8</v>
      </c>
      <c r="F403">
        <v>11</v>
      </c>
      <c r="G403">
        <v>4095</v>
      </c>
      <c r="H403">
        <v>15324</v>
      </c>
      <c r="I403">
        <v>4127192100</v>
      </c>
      <c r="J403">
        <v>14565242000</v>
      </c>
      <c r="K403">
        <v>3.5290923337442899</v>
      </c>
      <c r="L403">
        <v>2980400</v>
      </c>
      <c r="M403">
        <v>1525768500</v>
      </c>
      <c r="N403">
        <v>1276813500</v>
      </c>
      <c r="O403">
        <v>2802582000</v>
      </c>
      <c r="P403">
        <v>161100</v>
      </c>
      <c r="Q403">
        <v>518778000</v>
      </c>
      <c r="R403">
        <v>518939100</v>
      </c>
      <c r="S403">
        <v>2127000</v>
      </c>
      <c r="T403">
        <v>86695600</v>
      </c>
      <c r="U403">
        <v>6163359100</v>
      </c>
      <c r="V403">
        <v>3785677200</v>
      </c>
      <c r="W403">
        <v>868400</v>
      </c>
      <c r="X403">
        <v>4127192100</v>
      </c>
    </row>
    <row r="404" spans="1:24" x14ac:dyDescent="0.3">
      <c r="A404">
        <v>78</v>
      </c>
      <c r="B404">
        <v>262144</v>
      </c>
      <c r="C404">
        <v>5</v>
      </c>
      <c r="D404">
        <v>216</v>
      </c>
      <c r="E404">
        <v>0.95</v>
      </c>
      <c r="F404">
        <v>11</v>
      </c>
      <c r="G404">
        <v>4095</v>
      </c>
      <c r="H404">
        <v>8192</v>
      </c>
      <c r="I404">
        <v>3246637600</v>
      </c>
      <c r="J404">
        <v>8764083500</v>
      </c>
      <c r="K404">
        <v>2.6994338696748899</v>
      </c>
      <c r="L404">
        <v>1374400</v>
      </c>
      <c r="M404">
        <v>1545825000</v>
      </c>
      <c r="N404">
        <v>451241900</v>
      </c>
      <c r="O404">
        <v>1997066900</v>
      </c>
      <c r="P404">
        <v>108200</v>
      </c>
      <c r="Q404">
        <v>283927000</v>
      </c>
      <c r="R404">
        <v>284035200</v>
      </c>
      <c r="S404">
        <v>2157100</v>
      </c>
      <c r="T404">
        <v>80338500</v>
      </c>
      <c r="U404">
        <v>2162899000</v>
      </c>
      <c r="V404">
        <v>2027862300</v>
      </c>
      <c r="W404">
        <v>856000</v>
      </c>
      <c r="X404">
        <v>3246637600</v>
      </c>
    </row>
    <row r="405" spans="1:24" x14ac:dyDescent="0.3">
      <c r="A405">
        <v>79</v>
      </c>
      <c r="B405">
        <v>262144</v>
      </c>
      <c r="C405">
        <v>6</v>
      </c>
      <c r="D405">
        <v>343</v>
      </c>
      <c r="E405">
        <v>0.2</v>
      </c>
      <c r="F405">
        <v>10</v>
      </c>
      <c r="G405">
        <v>2047</v>
      </c>
      <c r="H405">
        <v>335176</v>
      </c>
      <c r="I405">
        <v>87156613400</v>
      </c>
      <c r="J405">
        <v>531431357100</v>
      </c>
      <c r="K405">
        <v>6.0974300901416099</v>
      </c>
      <c r="L405">
        <v>55084700</v>
      </c>
      <c r="M405">
        <v>3638498000</v>
      </c>
      <c r="N405">
        <v>37805033800</v>
      </c>
      <c r="O405">
        <v>41443531800</v>
      </c>
      <c r="P405">
        <v>979900</v>
      </c>
      <c r="Q405">
        <v>45269722000</v>
      </c>
      <c r="R405">
        <v>45270701900</v>
      </c>
      <c r="S405">
        <v>2393900</v>
      </c>
      <c r="T405">
        <v>71525100</v>
      </c>
      <c r="U405">
        <v>177332740900</v>
      </c>
      <c r="V405">
        <v>348523961000</v>
      </c>
      <c r="W405">
        <v>900500</v>
      </c>
      <c r="X405">
        <v>87156613400</v>
      </c>
    </row>
    <row r="406" spans="1:24" x14ac:dyDescent="0.3">
      <c r="A406">
        <v>80</v>
      </c>
      <c r="B406">
        <v>262144</v>
      </c>
      <c r="C406">
        <v>6</v>
      </c>
      <c r="D406">
        <v>343</v>
      </c>
      <c r="E406">
        <v>0.35</v>
      </c>
      <c r="F406">
        <v>10</v>
      </c>
      <c r="G406">
        <v>2047</v>
      </c>
      <c r="H406">
        <v>91880</v>
      </c>
      <c r="I406">
        <v>32219178100</v>
      </c>
      <c r="J406">
        <v>174133041800</v>
      </c>
      <c r="K406">
        <v>5.40463947464879</v>
      </c>
      <c r="L406">
        <v>16267400</v>
      </c>
      <c r="M406">
        <v>3542692600</v>
      </c>
      <c r="N406">
        <v>15452120600</v>
      </c>
      <c r="O406">
        <v>18994813200</v>
      </c>
      <c r="P406">
        <v>250900</v>
      </c>
      <c r="Q406">
        <v>12330065000</v>
      </c>
      <c r="R406">
        <v>12330315900</v>
      </c>
      <c r="S406">
        <v>2196600</v>
      </c>
      <c r="T406">
        <v>78354100</v>
      </c>
      <c r="U406">
        <v>73366933300</v>
      </c>
      <c r="V406">
        <v>94829982800</v>
      </c>
      <c r="W406">
        <v>872400</v>
      </c>
      <c r="X406">
        <v>32219178100</v>
      </c>
    </row>
    <row r="407" spans="1:24" x14ac:dyDescent="0.3">
      <c r="A407">
        <v>81</v>
      </c>
      <c r="B407">
        <v>262144</v>
      </c>
      <c r="C407">
        <v>6</v>
      </c>
      <c r="D407">
        <v>343</v>
      </c>
      <c r="E407">
        <v>0.5</v>
      </c>
      <c r="F407">
        <v>10</v>
      </c>
      <c r="G407">
        <v>2047</v>
      </c>
      <c r="H407">
        <v>34928</v>
      </c>
      <c r="I407">
        <v>15842980500</v>
      </c>
      <c r="J407">
        <v>73677029500</v>
      </c>
      <c r="K407">
        <v>4.6504525774048604</v>
      </c>
      <c r="L407">
        <v>6421600</v>
      </c>
      <c r="M407">
        <v>3551789900</v>
      </c>
      <c r="N407">
        <v>6692742800</v>
      </c>
      <c r="O407">
        <v>10244532700</v>
      </c>
      <c r="P407">
        <v>134800</v>
      </c>
      <c r="Q407">
        <v>4698297200</v>
      </c>
      <c r="R407">
        <v>4698432000</v>
      </c>
      <c r="S407">
        <v>2240400</v>
      </c>
      <c r="T407">
        <v>75322000</v>
      </c>
      <c r="U407">
        <v>31871763200</v>
      </c>
      <c r="V407">
        <v>36151102300</v>
      </c>
      <c r="W407">
        <v>879000</v>
      </c>
      <c r="X407">
        <v>15842980500</v>
      </c>
    </row>
    <row r="408" spans="1:24" x14ac:dyDescent="0.3">
      <c r="A408">
        <v>82</v>
      </c>
      <c r="B408">
        <v>262144</v>
      </c>
      <c r="C408">
        <v>6</v>
      </c>
      <c r="D408">
        <v>343</v>
      </c>
      <c r="E408">
        <v>0.65</v>
      </c>
      <c r="F408">
        <v>10</v>
      </c>
      <c r="G408">
        <v>2047</v>
      </c>
      <c r="H408">
        <v>12368</v>
      </c>
      <c r="I408">
        <v>9283150000</v>
      </c>
      <c r="J408">
        <v>33588896000</v>
      </c>
      <c r="K408">
        <v>3.6182649208512099</v>
      </c>
      <c r="L408">
        <v>2655200</v>
      </c>
      <c r="M408">
        <v>3554693700</v>
      </c>
      <c r="N408">
        <v>3185774000</v>
      </c>
      <c r="O408">
        <v>6740467700</v>
      </c>
      <c r="P408">
        <v>73100</v>
      </c>
      <c r="Q408">
        <v>1656755500</v>
      </c>
      <c r="R408">
        <v>1656828600</v>
      </c>
      <c r="S408">
        <v>2225300</v>
      </c>
      <c r="T408">
        <v>78032400</v>
      </c>
      <c r="U408">
        <v>15072757500</v>
      </c>
      <c r="V408">
        <v>12811736200</v>
      </c>
      <c r="W408">
        <v>866900</v>
      </c>
      <c r="X408">
        <v>9283150000</v>
      </c>
    </row>
    <row r="409" spans="1:24" x14ac:dyDescent="0.3">
      <c r="A409">
        <v>83</v>
      </c>
      <c r="B409">
        <v>262144</v>
      </c>
      <c r="C409">
        <v>6</v>
      </c>
      <c r="D409">
        <v>343</v>
      </c>
      <c r="E409">
        <v>0.8</v>
      </c>
      <c r="F409">
        <v>10</v>
      </c>
      <c r="G409">
        <v>2047</v>
      </c>
      <c r="H409">
        <v>7604</v>
      </c>
      <c r="I409">
        <v>7229525500</v>
      </c>
      <c r="J409">
        <v>21666149200</v>
      </c>
      <c r="K409">
        <v>2.9968978185359401</v>
      </c>
      <c r="L409">
        <v>1636000</v>
      </c>
      <c r="M409">
        <v>3559678200</v>
      </c>
      <c r="N409">
        <v>1764568800</v>
      </c>
      <c r="O409">
        <v>5324247000</v>
      </c>
      <c r="P409">
        <v>84100</v>
      </c>
      <c r="Q409">
        <v>1020629700</v>
      </c>
      <c r="R409">
        <v>1020713800</v>
      </c>
      <c r="S409">
        <v>2298900</v>
      </c>
      <c r="T409">
        <v>78952300</v>
      </c>
      <c r="U409">
        <v>8350134000</v>
      </c>
      <c r="V409">
        <v>7811029600</v>
      </c>
      <c r="W409">
        <v>881000</v>
      </c>
      <c r="X409">
        <v>7229525500</v>
      </c>
    </row>
    <row r="410" spans="1:24" x14ac:dyDescent="0.3">
      <c r="A410">
        <v>84</v>
      </c>
      <c r="B410">
        <v>262144</v>
      </c>
      <c r="C410">
        <v>6</v>
      </c>
      <c r="D410">
        <v>343</v>
      </c>
      <c r="E410">
        <v>0.95</v>
      </c>
      <c r="F410">
        <v>10</v>
      </c>
      <c r="G410">
        <v>2047</v>
      </c>
      <c r="H410">
        <v>2048</v>
      </c>
      <c r="I410">
        <v>5907304200</v>
      </c>
      <c r="J410">
        <v>13175534700</v>
      </c>
      <c r="K410">
        <v>2.2303802638096699</v>
      </c>
      <c r="L410">
        <v>803600</v>
      </c>
      <c r="M410">
        <v>3584603400</v>
      </c>
      <c r="N410">
        <v>1146456700</v>
      </c>
      <c r="O410">
        <v>4731060100</v>
      </c>
      <c r="P410">
        <v>87900</v>
      </c>
      <c r="Q410">
        <v>284949900</v>
      </c>
      <c r="R410">
        <v>285037800</v>
      </c>
      <c r="S410">
        <v>2125100</v>
      </c>
      <c r="T410">
        <v>70992100</v>
      </c>
      <c r="U410">
        <v>5344912600</v>
      </c>
      <c r="V410">
        <v>2116596100</v>
      </c>
      <c r="W410">
        <v>841500</v>
      </c>
      <c r="X410">
        <v>5907304200</v>
      </c>
    </row>
    <row r="411" spans="1:24" x14ac:dyDescent="0.3">
      <c r="A411">
        <v>85</v>
      </c>
      <c r="B411">
        <v>262144</v>
      </c>
      <c r="C411">
        <v>7</v>
      </c>
      <c r="D411">
        <v>512</v>
      </c>
      <c r="E411">
        <v>0.2</v>
      </c>
      <c r="F411">
        <v>9</v>
      </c>
      <c r="G411">
        <v>1023</v>
      </c>
      <c r="H411">
        <v>165248</v>
      </c>
      <c r="I411">
        <v>108514145500</v>
      </c>
      <c r="J411">
        <v>788931235300</v>
      </c>
      <c r="K411">
        <v>7.2703077710730302</v>
      </c>
      <c r="L411">
        <v>19826300</v>
      </c>
      <c r="M411">
        <v>4295373400</v>
      </c>
      <c r="N411">
        <v>13526206100</v>
      </c>
      <c r="O411">
        <v>17821579500</v>
      </c>
      <c r="P411">
        <v>517200</v>
      </c>
      <c r="Q411">
        <v>89611354000</v>
      </c>
      <c r="R411">
        <v>89611871200</v>
      </c>
      <c r="S411">
        <v>2609000</v>
      </c>
      <c r="T411">
        <v>69511600</v>
      </c>
      <c r="U411">
        <v>71756728200</v>
      </c>
      <c r="V411">
        <v>710621669800</v>
      </c>
      <c r="W411">
        <v>970400</v>
      </c>
      <c r="X411">
        <v>108514145500</v>
      </c>
    </row>
    <row r="412" spans="1:24" x14ac:dyDescent="0.3">
      <c r="A412">
        <v>86</v>
      </c>
      <c r="B412">
        <v>262144</v>
      </c>
      <c r="C412">
        <v>7</v>
      </c>
      <c r="D412">
        <v>512</v>
      </c>
      <c r="E412">
        <v>0.35</v>
      </c>
      <c r="F412">
        <v>9</v>
      </c>
      <c r="G412">
        <v>1023</v>
      </c>
      <c r="H412">
        <v>49728</v>
      </c>
      <c r="I412">
        <v>40651444500</v>
      </c>
      <c r="J412">
        <v>268088429100</v>
      </c>
      <c r="K412">
        <v>6.5948069594427299</v>
      </c>
      <c r="L412">
        <v>14091500</v>
      </c>
      <c r="M412">
        <v>4262430000</v>
      </c>
      <c r="N412">
        <v>8920710600</v>
      </c>
      <c r="O412">
        <v>13183140600</v>
      </c>
      <c r="P412">
        <v>187900</v>
      </c>
      <c r="Q412">
        <v>26559075200</v>
      </c>
      <c r="R412">
        <v>26559263100</v>
      </c>
      <c r="S412">
        <v>2296000</v>
      </c>
      <c r="T412">
        <v>65227400</v>
      </c>
      <c r="U412">
        <v>47757868200</v>
      </c>
      <c r="V412">
        <v>213843328100</v>
      </c>
      <c r="W412">
        <v>888000</v>
      </c>
      <c r="X412">
        <v>40651444500</v>
      </c>
    </row>
    <row r="413" spans="1:24" x14ac:dyDescent="0.3">
      <c r="A413">
        <v>87</v>
      </c>
      <c r="B413">
        <v>262144</v>
      </c>
      <c r="C413">
        <v>7</v>
      </c>
      <c r="D413">
        <v>512</v>
      </c>
      <c r="E413">
        <v>0.5</v>
      </c>
      <c r="F413">
        <v>9</v>
      </c>
      <c r="G413">
        <v>1023</v>
      </c>
      <c r="H413">
        <v>19256</v>
      </c>
      <c r="I413">
        <v>20757117600</v>
      </c>
      <c r="J413">
        <v>116579723300</v>
      </c>
      <c r="K413">
        <v>5.6163734072595899</v>
      </c>
      <c r="L413">
        <v>3401600</v>
      </c>
      <c r="M413">
        <v>4267671200</v>
      </c>
      <c r="N413">
        <v>5215442600</v>
      </c>
      <c r="O413">
        <v>9483113800</v>
      </c>
      <c r="P413">
        <v>143700</v>
      </c>
      <c r="Q413">
        <v>10370221300</v>
      </c>
      <c r="R413">
        <v>10370365000</v>
      </c>
      <c r="S413">
        <v>2361000</v>
      </c>
      <c r="T413">
        <v>67416300</v>
      </c>
      <c r="U413">
        <v>27809165800</v>
      </c>
      <c r="V413">
        <v>82304430900</v>
      </c>
      <c r="W413">
        <v>919400</v>
      </c>
      <c r="X413">
        <v>20757117600</v>
      </c>
    </row>
    <row r="414" spans="1:24" x14ac:dyDescent="0.3">
      <c r="A414">
        <v>88</v>
      </c>
      <c r="B414">
        <v>262144</v>
      </c>
      <c r="C414">
        <v>7</v>
      </c>
      <c r="D414">
        <v>512</v>
      </c>
      <c r="E414">
        <v>0.65</v>
      </c>
      <c r="F414">
        <v>9</v>
      </c>
      <c r="G414">
        <v>1023</v>
      </c>
      <c r="H414">
        <v>8672</v>
      </c>
      <c r="I414">
        <v>12049288100</v>
      </c>
      <c r="J414">
        <v>55424245000</v>
      </c>
      <c r="K414">
        <v>4.5997941571336396</v>
      </c>
      <c r="L414">
        <v>1586300</v>
      </c>
      <c r="M414">
        <v>4274583400</v>
      </c>
      <c r="N414">
        <v>2225153500</v>
      </c>
      <c r="O414">
        <v>6499736900</v>
      </c>
      <c r="P414">
        <v>189300</v>
      </c>
      <c r="Q414">
        <v>4653326900</v>
      </c>
      <c r="R414">
        <v>4653516200</v>
      </c>
      <c r="S414">
        <v>2272000</v>
      </c>
      <c r="T414">
        <v>66176400</v>
      </c>
      <c r="U414">
        <v>11891975800</v>
      </c>
      <c r="V414">
        <v>37018732500</v>
      </c>
      <c r="W414">
        <v>891800</v>
      </c>
      <c r="X414">
        <v>12049288100</v>
      </c>
    </row>
    <row r="415" spans="1:24" x14ac:dyDescent="0.3">
      <c r="A415">
        <v>89</v>
      </c>
      <c r="B415">
        <v>262144</v>
      </c>
      <c r="C415">
        <v>7</v>
      </c>
      <c r="D415">
        <v>512</v>
      </c>
      <c r="E415">
        <v>0.8</v>
      </c>
      <c r="F415">
        <v>9</v>
      </c>
      <c r="G415">
        <v>1023</v>
      </c>
      <c r="H415">
        <v>4780</v>
      </c>
      <c r="I415">
        <v>9039649500</v>
      </c>
      <c r="J415">
        <v>33916143200</v>
      </c>
      <c r="K415">
        <v>3.7519312225545902</v>
      </c>
      <c r="L415">
        <v>1046100</v>
      </c>
      <c r="M415">
        <v>4274762800</v>
      </c>
      <c r="N415">
        <v>1317357900</v>
      </c>
      <c r="O415">
        <v>5592120700</v>
      </c>
      <c r="P415">
        <v>76300</v>
      </c>
      <c r="Q415">
        <v>2564553900</v>
      </c>
      <c r="R415">
        <v>2564630200</v>
      </c>
      <c r="S415">
        <v>2383200</v>
      </c>
      <c r="T415">
        <v>62512300</v>
      </c>
      <c r="U415">
        <v>7007281800</v>
      </c>
      <c r="V415">
        <v>20355466000</v>
      </c>
      <c r="W415">
        <v>895900</v>
      </c>
      <c r="X415">
        <v>9039649500</v>
      </c>
    </row>
    <row r="416" spans="1:24" x14ac:dyDescent="0.3">
      <c r="A416">
        <v>90</v>
      </c>
      <c r="B416">
        <v>262144</v>
      </c>
      <c r="C416">
        <v>7</v>
      </c>
      <c r="D416">
        <v>512</v>
      </c>
      <c r="E416">
        <v>0.95</v>
      </c>
      <c r="F416">
        <v>9</v>
      </c>
      <c r="G416">
        <v>1023</v>
      </c>
      <c r="H416">
        <v>3072</v>
      </c>
      <c r="I416">
        <v>7290000600</v>
      </c>
      <c r="J416">
        <v>22206013700</v>
      </c>
      <c r="K416">
        <v>3.04609216355894</v>
      </c>
      <c r="L416">
        <v>428800</v>
      </c>
      <c r="M416">
        <v>4275822000</v>
      </c>
      <c r="N416">
        <v>471722400</v>
      </c>
      <c r="O416">
        <v>4747544400</v>
      </c>
      <c r="P416">
        <v>107300</v>
      </c>
      <c r="Q416">
        <v>1654723500</v>
      </c>
      <c r="R416">
        <v>1654830800</v>
      </c>
      <c r="S416">
        <v>2199000</v>
      </c>
      <c r="T416">
        <v>73108300</v>
      </c>
      <c r="U416">
        <v>2514192400</v>
      </c>
      <c r="V416">
        <v>13165717800</v>
      </c>
      <c r="W416">
        <v>862100</v>
      </c>
      <c r="X416">
        <v>7290000600</v>
      </c>
    </row>
    <row r="417" spans="1:24" x14ac:dyDescent="0.3">
      <c r="A417">
        <v>91</v>
      </c>
      <c r="B417">
        <v>524288</v>
      </c>
      <c r="C417">
        <v>3</v>
      </c>
      <c r="D417">
        <v>64</v>
      </c>
      <c r="E417">
        <v>0.2</v>
      </c>
      <c r="F417">
        <v>13</v>
      </c>
      <c r="G417">
        <v>16383</v>
      </c>
      <c r="H417" s="1">
        <v>3671400</v>
      </c>
      <c r="I417">
        <v>57936138700</v>
      </c>
      <c r="J417">
        <v>352900538800</v>
      </c>
      <c r="K417">
        <v>6.0911988047280703</v>
      </c>
      <c r="L417">
        <v>780816000</v>
      </c>
      <c r="M417">
        <v>20968300</v>
      </c>
      <c r="N417">
        <v>25199241100</v>
      </c>
      <c r="O417">
        <v>25220209400</v>
      </c>
      <c r="P417">
        <v>10626000</v>
      </c>
      <c r="Q417">
        <v>31097161600</v>
      </c>
      <c r="R417">
        <v>31107787600</v>
      </c>
      <c r="S417">
        <v>4496700</v>
      </c>
      <c r="T417">
        <v>191830900</v>
      </c>
      <c r="U417">
        <v>129512322400</v>
      </c>
      <c r="V417">
        <v>219728067800</v>
      </c>
      <c r="W417">
        <v>1928000</v>
      </c>
      <c r="X417">
        <v>57936138700</v>
      </c>
    </row>
    <row r="418" spans="1:24" x14ac:dyDescent="0.3">
      <c r="A418">
        <v>92</v>
      </c>
      <c r="B418">
        <v>524288</v>
      </c>
      <c r="C418">
        <v>3</v>
      </c>
      <c r="D418">
        <v>64</v>
      </c>
      <c r="E418">
        <v>0.35</v>
      </c>
      <c r="F418">
        <v>13</v>
      </c>
      <c r="G418">
        <v>16383</v>
      </c>
      <c r="H418">
        <v>828236</v>
      </c>
      <c r="I418">
        <v>14736726000</v>
      </c>
      <c r="J418">
        <v>85434558300</v>
      </c>
      <c r="K418">
        <v>5.7973907026567497</v>
      </c>
      <c r="L418">
        <v>179621900</v>
      </c>
      <c r="M418">
        <v>490593500</v>
      </c>
      <c r="N418">
        <v>6267251000</v>
      </c>
      <c r="O418">
        <v>6757844500</v>
      </c>
      <c r="P418">
        <v>2636300</v>
      </c>
      <c r="Q418">
        <v>6973212600</v>
      </c>
      <c r="R418">
        <v>6975848900</v>
      </c>
      <c r="S418">
        <v>4495600</v>
      </c>
      <c r="T418">
        <v>192012100</v>
      </c>
      <c r="U418">
        <v>32405083100</v>
      </c>
      <c r="V418">
        <v>49834797200</v>
      </c>
      <c r="W418">
        <v>1883100</v>
      </c>
      <c r="X418">
        <v>14736726000</v>
      </c>
    </row>
    <row r="419" spans="1:24" x14ac:dyDescent="0.3">
      <c r="A419">
        <v>93</v>
      </c>
      <c r="B419">
        <v>524288</v>
      </c>
      <c r="C419">
        <v>3</v>
      </c>
      <c r="D419">
        <v>64</v>
      </c>
      <c r="E419">
        <v>0.5</v>
      </c>
      <c r="F419">
        <v>13</v>
      </c>
      <c r="G419">
        <v>16383</v>
      </c>
      <c r="H419">
        <v>301936</v>
      </c>
      <c r="I419">
        <v>6406489500</v>
      </c>
      <c r="J419">
        <v>33576351300</v>
      </c>
      <c r="K419">
        <v>5.2409906080389197</v>
      </c>
      <c r="L419">
        <v>69741600</v>
      </c>
      <c r="M419">
        <v>609313700</v>
      </c>
      <c r="N419">
        <v>2364102600</v>
      </c>
      <c r="O419">
        <v>2973416300</v>
      </c>
      <c r="P419">
        <v>916600</v>
      </c>
      <c r="Q419">
        <v>2537875400</v>
      </c>
      <c r="R419">
        <v>2538792000</v>
      </c>
      <c r="S419">
        <v>4138400</v>
      </c>
      <c r="T419">
        <v>259676500</v>
      </c>
      <c r="U419">
        <v>12197849800</v>
      </c>
      <c r="V419">
        <v>18187355500</v>
      </c>
      <c r="W419">
        <v>1817400</v>
      </c>
      <c r="X419">
        <v>6406489500</v>
      </c>
    </row>
    <row r="420" spans="1:24" x14ac:dyDescent="0.3">
      <c r="A420">
        <v>94</v>
      </c>
      <c r="B420">
        <v>524288</v>
      </c>
      <c r="C420">
        <v>3</v>
      </c>
      <c r="D420">
        <v>64</v>
      </c>
      <c r="E420">
        <v>0.65</v>
      </c>
      <c r="F420">
        <v>13</v>
      </c>
      <c r="G420">
        <v>16383</v>
      </c>
      <c r="H420">
        <v>101444</v>
      </c>
      <c r="I420">
        <v>3308634200</v>
      </c>
      <c r="J420">
        <v>14735043700</v>
      </c>
      <c r="K420">
        <v>4.4535124795602901</v>
      </c>
      <c r="L420">
        <v>27971300</v>
      </c>
      <c r="M420">
        <v>645956200</v>
      </c>
      <c r="N420">
        <v>961898000</v>
      </c>
      <c r="O420">
        <v>1607854200</v>
      </c>
      <c r="P420">
        <v>381600</v>
      </c>
      <c r="Q420">
        <v>861873700</v>
      </c>
      <c r="R420">
        <v>862255300</v>
      </c>
      <c r="S420">
        <v>4424800</v>
      </c>
      <c r="T420">
        <v>492677900</v>
      </c>
      <c r="U420">
        <v>4940712700</v>
      </c>
      <c r="V420">
        <v>6202365100</v>
      </c>
      <c r="W420">
        <v>1877800</v>
      </c>
      <c r="X420">
        <v>3308634200</v>
      </c>
    </row>
    <row r="421" spans="1:24" x14ac:dyDescent="0.3">
      <c r="A421">
        <v>95</v>
      </c>
      <c r="B421">
        <v>524288</v>
      </c>
      <c r="C421">
        <v>3</v>
      </c>
      <c r="D421">
        <v>64</v>
      </c>
      <c r="E421">
        <v>0.8</v>
      </c>
      <c r="F421">
        <v>13</v>
      </c>
      <c r="G421">
        <v>16383</v>
      </c>
      <c r="H421">
        <v>54912</v>
      </c>
      <c r="I421">
        <v>2656908000</v>
      </c>
      <c r="J421">
        <v>9109417900</v>
      </c>
      <c r="K421">
        <v>3.4285785958715902</v>
      </c>
      <c r="L421">
        <v>16271900</v>
      </c>
      <c r="M421">
        <v>650411700</v>
      </c>
      <c r="N421">
        <v>517050600</v>
      </c>
      <c r="O421">
        <v>1167462300</v>
      </c>
      <c r="P421">
        <v>129500</v>
      </c>
      <c r="Q421">
        <v>475434800</v>
      </c>
      <c r="R421">
        <v>475564300</v>
      </c>
      <c r="S421">
        <v>4453300</v>
      </c>
      <c r="T421">
        <v>196856000</v>
      </c>
      <c r="U421">
        <v>2637210800</v>
      </c>
      <c r="V421">
        <v>3317971200</v>
      </c>
      <c r="W421">
        <v>1878400</v>
      </c>
      <c r="X421">
        <v>2656908000</v>
      </c>
    </row>
    <row r="422" spans="1:24" x14ac:dyDescent="0.3">
      <c r="A422">
        <v>96</v>
      </c>
      <c r="B422">
        <v>524288</v>
      </c>
      <c r="C422">
        <v>3</v>
      </c>
      <c r="D422">
        <v>64</v>
      </c>
      <c r="E422">
        <v>0.95</v>
      </c>
      <c r="F422">
        <v>13</v>
      </c>
      <c r="G422">
        <v>16383</v>
      </c>
      <c r="H422">
        <v>16396</v>
      </c>
      <c r="I422">
        <v>1447581100</v>
      </c>
      <c r="J422">
        <v>5723452000</v>
      </c>
      <c r="K422">
        <v>3.9538040390275802</v>
      </c>
      <c r="L422">
        <v>5187300</v>
      </c>
      <c r="M422">
        <v>685723100</v>
      </c>
      <c r="N422">
        <v>310316700</v>
      </c>
      <c r="O422">
        <v>996039800</v>
      </c>
      <c r="P422">
        <v>83300</v>
      </c>
      <c r="Q422">
        <v>153192300</v>
      </c>
      <c r="R422">
        <v>153275600</v>
      </c>
      <c r="S422">
        <v>4175200</v>
      </c>
      <c r="T422">
        <v>190321900</v>
      </c>
      <c r="U422">
        <v>1599050500</v>
      </c>
      <c r="V422">
        <v>1034153800</v>
      </c>
      <c r="W422">
        <v>1889700</v>
      </c>
      <c r="X422">
        <v>1447581100</v>
      </c>
    </row>
    <row r="423" spans="1:24" x14ac:dyDescent="0.3">
      <c r="A423">
        <v>97</v>
      </c>
      <c r="B423">
        <v>524288</v>
      </c>
      <c r="C423">
        <v>4</v>
      </c>
      <c r="D423">
        <v>125</v>
      </c>
      <c r="E423">
        <v>0.2</v>
      </c>
      <c r="F423">
        <v>13</v>
      </c>
      <c r="G423">
        <v>16383</v>
      </c>
      <c r="H423" s="1">
        <v>3670468</v>
      </c>
      <c r="I423">
        <v>116887818700</v>
      </c>
      <c r="J423">
        <v>703856646900</v>
      </c>
      <c r="K423">
        <v>6.0216424151646804</v>
      </c>
      <c r="L423">
        <v>793259900</v>
      </c>
      <c r="M423">
        <v>789322300</v>
      </c>
      <c r="N423">
        <v>82932886400</v>
      </c>
      <c r="O423">
        <v>83722208700</v>
      </c>
      <c r="P423">
        <v>12272300</v>
      </c>
      <c r="Q423">
        <v>31864912400</v>
      </c>
      <c r="R423">
        <v>31877184700</v>
      </c>
      <c r="S423">
        <v>4930300</v>
      </c>
      <c r="T423">
        <v>511298100</v>
      </c>
      <c r="U423">
        <v>477280133600</v>
      </c>
      <c r="V423">
        <v>219298099500</v>
      </c>
      <c r="W423">
        <v>1898700</v>
      </c>
      <c r="X423">
        <v>116887818700</v>
      </c>
    </row>
    <row r="424" spans="1:24" x14ac:dyDescent="0.3">
      <c r="A424">
        <v>98</v>
      </c>
      <c r="B424">
        <v>524288</v>
      </c>
      <c r="C424">
        <v>4</v>
      </c>
      <c r="D424">
        <v>125</v>
      </c>
      <c r="E424">
        <v>0.35</v>
      </c>
      <c r="F424">
        <v>13</v>
      </c>
      <c r="G424">
        <v>16383</v>
      </c>
      <c r="H424">
        <v>828836</v>
      </c>
      <c r="I424">
        <v>30190848900</v>
      </c>
      <c r="J424">
        <v>176782481000</v>
      </c>
      <c r="K424">
        <v>5.8554988495205897</v>
      </c>
      <c r="L424">
        <v>234332400</v>
      </c>
      <c r="M424">
        <v>1304360300</v>
      </c>
      <c r="N424">
        <v>20725116300</v>
      </c>
      <c r="O424">
        <v>22029476600</v>
      </c>
      <c r="P424">
        <v>2217000</v>
      </c>
      <c r="Q424">
        <v>7137666100</v>
      </c>
      <c r="R424">
        <v>7139883100</v>
      </c>
      <c r="S424">
        <v>4408700</v>
      </c>
      <c r="T424">
        <v>207821000</v>
      </c>
      <c r="U424">
        <v>120308843000</v>
      </c>
      <c r="V424">
        <v>49585849900</v>
      </c>
      <c r="W424">
        <v>1886000</v>
      </c>
      <c r="X424">
        <v>30190848900</v>
      </c>
    </row>
    <row r="425" spans="1:24" x14ac:dyDescent="0.3">
      <c r="A425">
        <v>99</v>
      </c>
      <c r="B425">
        <v>524288</v>
      </c>
      <c r="C425">
        <v>4</v>
      </c>
      <c r="D425">
        <v>125</v>
      </c>
      <c r="E425">
        <v>0.5</v>
      </c>
      <c r="F425">
        <v>13</v>
      </c>
      <c r="G425">
        <v>16383</v>
      </c>
      <c r="H425">
        <v>301852</v>
      </c>
      <c r="I425">
        <v>12729148800</v>
      </c>
      <c r="J425">
        <v>70132199800</v>
      </c>
      <c r="K425">
        <v>5.5095749843068802</v>
      </c>
      <c r="L425">
        <v>66948500</v>
      </c>
      <c r="M425">
        <v>1482952500</v>
      </c>
      <c r="N425">
        <v>7768890900</v>
      </c>
      <c r="O425">
        <v>9251843400</v>
      </c>
      <c r="P425">
        <v>898600</v>
      </c>
      <c r="Q425">
        <v>2627703900</v>
      </c>
      <c r="R425">
        <v>2628602500</v>
      </c>
      <c r="S425">
        <v>4550800</v>
      </c>
      <c r="T425">
        <v>255977000</v>
      </c>
      <c r="U425">
        <v>45506335300</v>
      </c>
      <c r="V425">
        <v>18130373400</v>
      </c>
      <c r="W425">
        <v>1816300</v>
      </c>
      <c r="X425">
        <v>12729148800</v>
      </c>
    </row>
    <row r="426" spans="1:24" x14ac:dyDescent="0.3">
      <c r="A426">
        <v>100</v>
      </c>
      <c r="B426">
        <v>524288</v>
      </c>
      <c r="C426">
        <v>4</v>
      </c>
      <c r="D426">
        <v>125</v>
      </c>
      <c r="E426">
        <v>0.65</v>
      </c>
      <c r="F426">
        <v>13</v>
      </c>
      <c r="G426">
        <v>16383</v>
      </c>
      <c r="H426">
        <v>101012</v>
      </c>
      <c r="I426">
        <v>6334829500</v>
      </c>
      <c r="J426">
        <v>31038341500</v>
      </c>
      <c r="K426">
        <v>4.8996332892621597</v>
      </c>
      <c r="L426">
        <v>28957500</v>
      </c>
      <c r="M426">
        <v>1514067200</v>
      </c>
      <c r="N426">
        <v>3128782500</v>
      </c>
      <c r="O426">
        <v>4642849700</v>
      </c>
      <c r="P426">
        <v>440100</v>
      </c>
      <c r="Q426">
        <v>878038900</v>
      </c>
      <c r="R426">
        <v>878479000</v>
      </c>
      <c r="S426">
        <v>4230800</v>
      </c>
      <c r="T426">
        <v>253446200</v>
      </c>
      <c r="U426">
        <v>18184457100</v>
      </c>
      <c r="V426">
        <v>6308439800</v>
      </c>
      <c r="W426">
        <v>1813500</v>
      </c>
      <c r="X426">
        <v>6334829500</v>
      </c>
    </row>
    <row r="427" spans="1:24" x14ac:dyDescent="0.3">
      <c r="A427">
        <v>101</v>
      </c>
      <c r="B427">
        <v>524288</v>
      </c>
      <c r="C427">
        <v>4</v>
      </c>
      <c r="D427">
        <v>125</v>
      </c>
      <c r="E427">
        <v>0.8</v>
      </c>
      <c r="F427">
        <v>13</v>
      </c>
      <c r="G427">
        <v>16383</v>
      </c>
      <c r="H427">
        <v>54748</v>
      </c>
      <c r="I427">
        <v>4530694100</v>
      </c>
      <c r="J427">
        <v>20186237700</v>
      </c>
      <c r="K427">
        <v>4.4554404368196003</v>
      </c>
      <c r="L427">
        <v>11976100</v>
      </c>
      <c r="M427">
        <v>1532197400</v>
      </c>
      <c r="N427">
        <v>1714885700</v>
      </c>
      <c r="O427">
        <v>3247083100</v>
      </c>
      <c r="P427">
        <v>144100</v>
      </c>
      <c r="Q427">
        <v>486941100</v>
      </c>
      <c r="R427">
        <v>487085200</v>
      </c>
      <c r="S427">
        <v>4088800</v>
      </c>
      <c r="T427">
        <v>546802500</v>
      </c>
      <c r="U427">
        <v>9965426700</v>
      </c>
      <c r="V427">
        <v>3307981400</v>
      </c>
      <c r="W427">
        <v>1927200</v>
      </c>
      <c r="X427">
        <v>4530694100</v>
      </c>
    </row>
    <row r="428" spans="1:24" x14ac:dyDescent="0.3">
      <c r="A428">
        <v>102</v>
      </c>
      <c r="B428">
        <v>524288</v>
      </c>
      <c r="C428">
        <v>4</v>
      </c>
      <c r="D428">
        <v>125</v>
      </c>
      <c r="E428">
        <v>0.95</v>
      </c>
      <c r="F428">
        <v>13</v>
      </c>
      <c r="G428">
        <v>16383</v>
      </c>
      <c r="H428">
        <v>16400</v>
      </c>
      <c r="I428">
        <v>3499846800</v>
      </c>
      <c r="J428">
        <v>13412786900</v>
      </c>
      <c r="K428">
        <v>3.8323925778693999</v>
      </c>
      <c r="L428">
        <v>5124800</v>
      </c>
      <c r="M428">
        <v>1533588400</v>
      </c>
      <c r="N428">
        <v>1013837900</v>
      </c>
      <c r="O428">
        <v>2547426300</v>
      </c>
      <c r="P428">
        <v>80000</v>
      </c>
      <c r="Q428">
        <v>153560900</v>
      </c>
      <c r="R428">
        <v>153640900</v>
      </c>
      <c r="S428">
        <v>4115400</v>
      </c>
      <c r="T428">
        <v>248179700</v>
      </c>
      <c r="U428">
        <v>5854496700</v>
      </c>
      <c r="V428">
        <v>1018968900</v>
      </c>
      <c r="W428">
        <v>1792400</v>
      </c>
      <c r="X428">
        <v>3499846800</v>
      </c>
    </row>
    <row r="429" spans="1:24" x14ac:dyDescent="0.3">
      <c r="A429">
        <v>103</v>
      </c>
      <c r="B429">
        <v>524288</v>
      </c>
      <c r="C429">
        <v>5</v>
      </c>
      <c r="D429">
        <v>216</v>
      </c>
      <c r="E429">
        <v>0.2</v>
      </c>
      <c r="F429">
        <v>12</v>
      </c>
      <c r="G429">
        <v>8191</v>
      </c>
      <c r="H429" s="1">
        <v>2241580</v>
      </c>
      <c r="I429">
        <v>172112842300</v>
      </c>
      <c r="J429">
        <v>1007969670600</v>
      </c>
      <c r="K429">
        <v>5.8564466028808297</v>
      </c>
      <c r="L429">
        <v>717471600</v>
      </c>
      <c r="M429">
        <v>2285219900</v>
      </c>
      <c r="N429">
        <v>92315739600</v>
      </c>
      <c r="O429">
        <v>94600959500</v>
      </c>
      <c r="P429">
        <v>5913900</v>
      </c>
      <c r="Q429">
        <v>75681613500</v>
      </c>
      <c r="R429">
        <v>75687527400</v>
      </c>
      <c r="S429">
        <v>4443200</v>
      </c>
      <c r="T429">
        <v>254594100</v>
      </c>
      <c r="U429">
        <v>439744692400</v>
      </c>
      <c r="V429">
        <v>559204022400</v>
      </c>
      <c r="W429">
        <v>1916600</v>
      </c>
      <c r="X429">
        <v>172112842300</v>
      </c>
    </row>
    <row r="430" spans="1:24" x14ac:dyDescent="0.3">
      <c r="A430">
        <v>104</v>
      </c>
      <c r="B430">
        <v>524288</v>
      </c>
      <c r="C430">
        <v>5</v>
      </c>
      <c r="D430">
        <v>216</v>
      </c>
      <c r="E430">
        <v>0.35</v>
      </c>
      <c r="F430">
        <v>12</v>
      </c>
      <c r="G430">
        <v>8191</v>
      </c>
      <c r="H430">
        <v>504764</v>
      </c>
      <c r="I430">
        <v>47275733700</v>
      </c>
      <c r="J430">
        <v>259720752100</v>
      </c>
      <c r="K430">
        <v>5.4937434445358999</v>
      </c>
      <c r="L430">
        <v>85951600</v>
      </c>
      <c r="M430">
        <v>2892526700</v>
      </c>
      <c r="N430">
        <v>26454417000</v>
      </c>
      <c r="O430">
        <v>29346943700</v>
      </c>
      <c r="P430">
        <v>1300500</v>
      </c>
      <c r="Q430">
        <v>16890624700</v>
      </c>
      <c r="R430">
        <v>16891925200</v>
      </c>
      <c r="S430">
        <v>4158300</v>
      </c>
      <c r="T430">
        <v>195245000</v>
      </c>
      <c r="U430">
        <v>126647869100</v>
      </c>
      <c r="V430">
        <v>124242836600</v>
      </c>
      <c r="W430">
        <v>1895700</v>
      </c>
      <c r="X430">
        <v>47275733700</v>
      </c>
    </row>
    <row r="431" spans="1:24" x14ac:dyDescent="0.3">
      <c r="A431">
        <v>105</v>
      </c>
      <c r="B431">
        <v>524288</v>
      </c>
      <c r="C431">
        <v>5</v>
      </c>
      <c r="D431">
        <v>216</v>
      </c>
      <c r="E431">
        <v>0.5</v>
      </c>
      <c r="F431">
        <v>12</v>
      </c>
      <c r="G431">
        <v>8191</v>
      </c>
      <c r="H431">
        <v>178420</v>
      </c>
      <c r="I431">
        <v>21960280400</v>
      </c>
      <c r="J431">
        <v>110183928600</v>
      </c>
      <c r="K431">
        <v>5.0174190216624002</v>
      </c>
      <c r="L431">
        <v>38826300</v>
      </c>
      <c r="M431">
        <v>2976349200</v>
      </c>
      <c r="N431">
        <v>11998816800</v>
      </c>
      <c r="O431">
        <v>14975166000</v>
      </c>
      <c r="P431">
        <v>587900</v>
      </c>
      <c r="Q431">
        <v>6001349400</v>
      </c>
      <c r="R431">
        <v>6001937300</v>
      </c>
      <c r="S431">
        <v>4422600</v>
      </c>
      <c r="T431">
        <v>239693100</v>
      </c>
      <c r="U431">
        <v>57320041300</v>
      </c>
      <c r="V431">
        <v>43851262100</v>
      </c>
      <c r="W431">
        <v>1828400</v>
      </c>
      <c r="X431">
        <v>21960280400</v>
      </c>
    </row>
    <row r="432" spans="1:24" x14ac:dyDescent="0.3">
      <c r="A432">
        <v>106</v>
      </c>
      <c r="B432">
        <v>524288</v>
      </c>
      <c r="C432">
        <v>5</v>
      </c>
      <c r="D432">
        <v>216</v>
      </c>
      <c r="E432">
        <v>0.65</v>
      </c>
      <c r="F432">
        <v>12</v>
      </c>
      <c r="G432">
        <v>8191</v>
      </c>
      <c r="H432">
        <v>70904</v>
      </c>
      <c r="I432">
        <v>10670012300</v>
      </c>
      <c r="J432">
        <v>47370742600</v>
      </c>
      <c r="K432">
        <v>4.4396146197507198</v>
      </c>
      <c r="L432">
        <v>18829800</v>
      </c>
      <c r="M432">
        <v>3003381400</v>
      </c>
      <c r="N432">
        <v>4305774900</v>
      </c>
      <c r="O432">
        <v>7309156300</v>
      </c>
      <c r="P432">
        <v>251500</v>
      </c>
      <c r="Q432">
        <v>2395687400</v>
      </c>
      <c r="R432">
        <v>2395938900</v>
      </c>
      <c r="S432">
        <v>4144100</v>
      </c>
      <c r="T432">
        <v>531896800</v>
      </c>
      <c r="U432">
        <v>20697786600</v>
      </c>
      <c r="V432">
        <v>17506856700</v>
      </c>
      <c r="W432">
        <v>1898500</v>
      </c>
      <c r="X432">
        <v>10670012300</v>
      </c>
    </row>
    <row r="433" spans="1:24" x14ac:dyDescent="0.3">
      <c r="A433">
        <v>107</v>
      </c>
      <c r="B433">
        <v>524288</v>
      </c>
      <c r="C433">
        <v>5</v>
      </c>
      <c r="D433">
        <v>216</v>
      </c>
      <c r="E433">
        <v>0.8</v>
      </c>
      <c r="F433">
        <v>12</v>
      </c>
      <c r="G433">
        <v>8191</v>
      </c>
      <c r="H433">
        <v>34220</v>
      </c>
      <c r="I433">
        <v>7618659800</v>
      </c>
      <c r="J433">
        <v>29587914800</v>
      </c>
      <c r="K433">
        <v>3.88361149817977</v>
      </c>
      <c r="L433">
        <v>6251700</v>
      </c>
      <c r="M433">
        <v>3008336300</v>
      </c>
      <c r="N433">
        <v>2507508500</v>
      </c>
      <c r="O433">
        <v>5515844800</v>
      </c>
      <c r="P433">
        <v>185600</v>
      </c>
      <c r="Q433">
        <v>1155236700</v>
      </c>
      <c r="R433">
        <v>1155422300</v>
      </c>
      <c r="S433">
        <v>4404500</v>
      </c>
      <c r="T433">
        <v>192311700</v>
      </c>
      <c r="U433">
        <v>12221087300</v>
      </c>
      <c r="V433">
        <v>8431077100</v>
      </c>
      <c r="W433">
        <v>1803200</v>
      </c>
      <c r="X433">
        <v>7618659800</v>
      </c>
    </row>
    <row r="434" spans="1:24" x14ac:dyDescent="0.3">
      <c r="A434">
        <v>108</v>
      </c>
      <c r="B434">
        <v>524288</v>
      </c>
      <c r="C434">
        <v>5</v>
      </c>
      <c r="D434">
        <v>216</v>
      </c>
      <c r="E434">
        <v>0.95</v>
      </c>
      <c r="F434">
        <v>12</v>
      </c>
      <c r="G434">
        <v>8191</v>
      </c>
      <c r="H434">
        <v>24564</v>
      </c>
      <c r="I434">
        <v>5577901000</v>
      </c>
      <c r="J434">
        <v>18462362700</v>
      </c>
      <c r="K434">
        <v>3.3099122232538698</v>
      </c>
      <c r="L434">
        <v>3154200</v>
      </c>
      <c r="M434">
        <v>3037717700</v>
      </c>
      <c r="N434">
        <v>760473500</v>
      </c>
      <c r="O434">
        <v>3798191200</v>
      </c>
      <c r="P434">
        <v>159400</v>
      </c>
      <c r="Q434">
        <v>833587500</v>
      </c>
      <c r="R434">
        <v>833746900</v>
      </c>
      <c r="S434">
        <v>4207600</v>
      </c>
      <c r="T434">
        <v>180359700</v>
      </c>
      <c r="U434">
        <v>3652310600</v>
      </c>
      <c r="V434">
        <v>6041360900</v>
      </c>
      <c r="W434">
        <v>1845000</v>
      </c>
      <c r="X434">
        <v>5577901000</v>
      </c>
    </row>
    <row r="435" spans="1:24" x14ac:dyDescent="0.3">
      <c r="A435">
        <v>109</v>
      </c>
      <c r="B435">
        <v>524288</v>
      </c>
      <c r="C435">
        <v>6</v>
      </c>
      <c r="D435">
        <v>343</v>
      </c>
      <c r="E435">
        <v>0.2</v>
      </c>
      <c r="F435">
        <v>11</v>
      </c>
      <c r="G435">
        <v>4095</v>
      </c>
      <c r="H435">
        <v>951868</v>
      </c>
      <c r="I435">
        <v>213743378600</v>
      </c>
      <c r="J435">
        <v>1364132273300</v>
      </c>
      <c r="K435">
        <v>6.3821030725486896</v>
      </c>
      <c r="L435">
        <v>147914300</v>
      </c>
      <c r="M435">
        <v>7107443200</v>
      </c>
      <c r="N435">
        <v>77406197000</v>
      </c>
      <c r="O435">
        <v>84513640200</v>
      </c>
      <c r="P435">
        <v>2653300</v>
      </c>
      <c r="Q435">
        <v>127964123300</v>
      </c>
      <c r="R435">
        <v>127966776600</v>
      </c>
      <c r="S435">
        <v>4101900</v>
      </c>
      <c r="T435">
        <v>170625300</v>
      </c>
      <c r="U435">
        <v>365487922800</v>
      </c>
      <c r="V435">
        <v>987711147100</v>
      </c>
      <c r="W435">
        <v>1832800</v>
      </c>
      <c r="X435">
        <v>213743378600</v>
      </c>
    </row>
    <row r="436" spans="1:24" x14ac:dyDescent="0.3">
      <c r="A436">
        <v>110</v>
      </c>
      <c r="B436">
        <v>524288</v>
      </c>
      <c r="C436">
        <v>6</v>
      </c>
      <c r="D436">
        <v>343</v>
      </c>
      <c r="E436">
        <v>0.35</v>
      </c>
      <c r="F436">
        <v>11</v>
      </c>
      <c r="G436">
        <v>4095</v>
      </c>
      <c r="H436">
        <v>215992</v>
      </c>
      <c r="I436">
        <v>68601001600</v>
      </c>
      <c r="J436">
        <v>384519335500</v>
      </c>
      <c r="K436">
        <v>5.6051562882720303</v>
      </c>
      <c r="L436">
        <v>36636300</v>
      </c>
      <c r="M436">
        <v>7018280500</v>
      </c>
      <c r="N436">
        <v>31475403200</v>
      </c>
      <c r="O436">
        <v>38493683700</v>
      </c>
      <c r="P436">
        <v>666900</v>
      </c>
      <c r="Q436">
        <v>28965140000</v>
      </c>
      <c r="R436">
        <v>28965806900</v>
      </c>
      <c r="S436">
        <v>4114200</v>
      </c>
      <c r="T436">
        <v>196296100</v>
      </c>
      <c r="U436">
        <v>149295415400</v>
      </c>
      <c r="V436">
        <v>224169613400</v>
      </c>
      <c r="W436">
        <v>1835400</v>
      </c>
      <c r="X436">
        <v>68601001600</v>
      </c>
    </row>
    <row r="437" spans="1:24" x14ac:dyDescent="0.3">
      <c r="A437">
        <v>111</v>
      </c>
      <c r="B437">
        <v>524288</v>
      </c>
      <c r="C437">
        <v>6</v>
      </c>
      <c r="D437">
        <v>343</v>
      </c>
      <c r="E437">
        <v>0.5</v>
      </c>
      <c r="F437">
        <v>11</v>
      </c>
      <c r="G437">
        <v>4095</v>
      </c>
      <c r="H437">
        <v>88872</v>
      </c>
      <c r="I437">
        <v>32580725800</v>
      </c>
      <c r="J437">
        <v>163057121200</v>
      </c>
      <c r="K437">
        <v>5.0047111350723803</v>
      </c>
      <c r="L437">
        <v>18911200</v>
      </c>
      <c r="M437">
        <v>7012177300</v>
      </c>
      <c r="N437">
        <v>12612352500</v>
      </c>
      <c r="O437">
        <v>19624529800</v>
      </c>
      <c r="P437">
        <v>253600</v>
      </c>
      <c r="Q437">
        <v>11822425900</v>
      </c>
      <c r="R437">
        <v>11822679500</v>
      </c>
      <c r="S437">
        <v>4460700</v>
      </c>
      <c r="T437">
        <v>185688600</v>
      </c>
      <c r="U437">
        <v>60088755300</v>
      </c>
      <c r="V437">
        <v>92105662200</v>
      </c>
      <c r="W437">
        <v>1903000</v>
      </c>
      <c r="X437">
        <v>32580725800</v>
      </c>
    </row>
    <row r="438" spans="1:24" x14ac:dyDescent="0.3">
      <c r="A438">
        <v>112</v>
      </c>
      <c r="B438">
        <v>524288</v>
      </c>
      <c r="C438">
        <v>6</v>
      </c>
      <c r="D438">
        <v>343</v>
      </c>
      <c r="E438">
        <v>0.65</v>
      </c>
      <c r="F438">
        <v>11</v>
      </c>
      <c r="G438">
        <v>4095</v>
      </c>
      <c r="H438">
        <v>31284</v>
      </c>
      <c r="I438">
        <v>17871659200</v>
      </c>
      <c r="J438">
        <v>69431479800</v>
      </c>
      <c r="K438">
        <v>3.8850046894358798</v>
      </c>
      <c r="L438">
        <v>5735800</v>
      </c>
      <c r="M438">
        <v>7036789500</v>
      </c>
      <c r="N438">
        <v>5514087000</v>
      </c>
      <c r="O438">
        <v>12550876500</v>
      </c>
      <c r="P438">
        <v>192300</v>
      </c>
      <c r="Q438">
        <v>4218543600</v>
      </c>
      <c r="R438">
        <v>4218735900</v>
      </c>
      <c r="S438">
        <v>4178600</v>
      </c>
      <c r="T438">
        <v>174886200</v>
      </c>
      <c r="U438">
        <v>26184034700</v>
      </c>
      <c r="V438">
        <v>32366344900</v>
      </c>
      <c r="W438">
        <v>1844100</v>
      </c>
      <c r="X438">
        <v>17871659200</v>
      </c>
    </row>
    <row r="439" spans="1:24" x14ac:dyDescent="0.3">
      <c r="A439">
        <v>113</v>
      </c>
      <c r="B439">
        <v>524288</v>
      </c>
      <c r="C439">
        <v>6</v>
      </c>
      <c r="D439">
        <v>343</v>
      </c>
      <c r="E439">
        <v>0.8</v>
      </c>
      <c r="F439">
        <v>11</v>
      </c>
      <c r="G439">
        <v>4095</v>
      </c>
      <c r="H439">
        <v>15320</v>
      </c>
      <c r="I439">
        <v>13420441000</v>
      </c>
      <c r="J439">
        <v>42283354400</v>
      </c>
      <c r="K439">
        <v>3.15066802946341</v>
      </c>
      <c r="L439">
        <v>3179400</v>
      </c>
      <c r="M439">
        <v>7032659100</v>
      </c>
      <c r="N439">
        <v>3216110100</v>
      </c>
      <c r="O439">
        <v>10248769200</v>
      </c>
      <c r="P439">
        <v>170200</v>
      </c>
      <c r="Q439">
        <v>2068336100</v>
      </c>
      <c r="R439">
        <v>2068506300</v>
      </c>
      <c r="S439">
        <v>4178100</v>
      </c>
      <c r="T439">
        <v>185364300</v>
      </c>
      <c r="U439">
        <v>15487085200</v>
      </c>
      <c r="V439">
        <v>15863180400</v>
      </c>
      <c r="W439">
        <v>1935100</v>
      </c>
      <c r="X439">
        <v>13420441000</v>
      </c>
    </row>
    <row r="440" spans="1:24" x14ac:dyDescent="0.3">
      <c r="A440">
        <v>114</v>
      </c>
      <c r="B440">
        <v>524288</v>
      </c>
      <c r="C440">
        <v>6</v>
      </c>
      <c r="D440">
        <v>343</v>
      </c>
      <c r="E440">
        <v>0.95</v>
      </c>
      <c r="F440">
        <v>11</v>
      </c>
      <c r="G440">
        <v>4095</v>
      </c>
      <c r="H440">
        <v>8192</v>
      </c>
      <c r="I440">
        <v>10398273200</v>
      </c>
      <c r="J440">
        <v>24955436500</v>
      </c>
      <c r="K440">
        <v>2.3999596875373501</v>
      </c>
      <c r="L440">
        <v>1514200</v>
      </c>
      <c r="M440">
        <v>7032978500</v>
      </c>
      <c r="N440">
        <v>1139117900</v>
      </c>
      <c r="O440">
        <v>8172096400</v>
      </c>
      <c r="P440">
        <v>120500</v>
      </c>
      <c r="Q440">
        <v>1110973400</v>
      </c>
      <c r="R440">
        <v>1111093900</v>
      </c>
      <c r="S440">
        <v>4477600</v>
      </c>
      <c r="T440">
        <v>182875500</v>
      </c>
      <c r="U440">
        <v>5365966900</v>
      </c>
      <c r="V440">
        <v>8481959900</v>
      </c>
      <c r="W440">
        <v>1896900</v>
      </c>
      <c r="X440">
        <v>10398273200</v>
      </c>
    </row>
    <row r="441" spans="1:24" x14ac:dyDescent="0.3">
      <c r="A441">
        <v>115</v>
      </c>
      <c r="B441">
        <v>524288</v>
      </c>
      <c r="C441">
        <v>7</v>
      </c>
      <c r="D441">
        <v>512</v>
      </c>
      <c r="E441">
        <v>0.2</v>
      </c>
      <c r="F441">
        <v>10</v>
      </c>
      <c r="G441">
        <v>2047</v>
      </c>
      <c r="H441">
        <v>337884</v>
      </c>
      <c r="I441">
        <v>266645107000</v>
      </c>
      <c r="J441">
        <v>1869039229500</v>
      </c>
      <c r="K441">
        <v>7.0094638170127697</v>
      </c>
      <c r="L441">
        <v>55940500</v>
      </c>
      <c r="M441">
        <v>8448927200</v>
      </c>
      <c r="N441">
        <v>73946637500</v>
      </c>
      <c r="O441">
        <v>82395564700</v>
      </c>
      <c r="P441">
        <v>943300</v>
      </c>
      <c r="Q441">
        <v>183083937800</v>
      </c>
      <c r="R441">
        <v>183084881100</v>
      </c>
      <c r="S441">
        <v>4540700</v>
      </c>
      <c r="T441">
        <v>163700800</v>
      </c>
      <c r="U441">
        <v>390131416500</v>
      </c>
      <c r="V441">
        <v>1466088452500</v>
      </c>
      <c r="W441">
        <v>1889100</v>
      </c>
      <c r="X441">
        <v>266645107000</v>
      </c>
    </row>
    <row r="442" spans="1:24" x14ac:dyDescent="0.3">
      <c r="A442">
        <v>116</v>
      </c>
      <c r="B442">
        <v>524288</v>
      </c>
      <c r="C442">
        <v>7</v>
      </c>
      <c r="D442">
        <v>512</v>
      </c>
      <c r="E442">
        <v>0.35</v>
      </c>
      <c r="F442">
        <v>10</v>
      </c>
      <c r="G442">
        <v>2047</v>
      </c>
      <c r="H442">
        <v>93424</v>
      </c>
      <c r="I442">
        <v>89724724000</v>
      </c>
      <c r="J442">
        <v>577267584900</v>
      </c>
      <c r="K442">
        <v>6.4337627263138701</v>
      </c>
      <c r="L442">
        <v>23276300</v>
      </c>
      <c r="M442">
        <v>8416470200</v>
      </c>
      <c r="N442">
        <v>29928449900</v>
      </c>
      <c r="O442">
        <v>38344920100</v>
      </c>
      <c r="P442">
        <v>204400</v>
      </c>
      <c r="Q442">
        <v>50249762300</v>
      </c>
      <c r="R442">
        <v>50249966700</v>
      </c>
      <c r="S442">
        <v>3912100</v>
      </c>
      <c r="T442">
        <v>168306900</v>
      </c>
      <c r="U442">
        <v>160075391300</v>
      </c>
      <c r="V442">
        <v>404449092000</v>
      </c>
      <c r="W442">
        <v>1911200</v>
      </c>
      <c r="X442">
        <v>89724724000</v>
      </c>
    </row>
    <row r="443" spans="1:24" x14ac:dyDescent="0.3">
      <c r="A443">
        <v>117</v>
      </c>
      <c r="B443">
        <v>524288</v>
      </c>
      <c r="C443">
        <v>7</v>
      </c>
      <c r="D443">
        <v>512</v>
      </c>
      <c r="E443">
        <v>0.5</v>
      </c>
      <c r="F443">
        <v>10</v>
      </c>
      <c r="G443">
        <v>2047</v>
      </c>
      <c r="H443">
        <v>35012</v>
      </c>
      <c r="I443">
        <v>41406315000</v>
      </c>
      <c r="J443">
        <v>234958799900</v>
      </c>
      <c r="K443">
        <v>5.6744677689864398</v>
      </c>
      <c r="L443">
        <v>6751200</v>
      </c>
      <c r="M443">
        <v>8401338500</v>
      </c>
      <c r="N443">
        <v>13170186300</v>
      </c>
      <c r="O443">
        <v>21571524800</v>
      </c>
      <c r="P443">
        <v>134900</v>
      </c>
      <c r="Q443">
        <v>18711224900</v>
      </c>
      <c r="R443">
        <v>18711359800</v>
      </c>
      <c r="S443">
        <v>4458800</v>
      </c>
      <c r="T443">
        <v>160084100</v>
      </c>
      <c r="U443">
        <v>70567702400</v>
      </c>
      <c r="V443">
        <v>151790872100</v>
      </c>
      <c r="W443">
        <v>1909400</v>
      </c>
      <c r="X443">
        <v>41406315000</v>
      </c>
    </row>
    <row r="444" spans="1:24" x14ac:dyDescent="0.3">
      <c r="A444">
        <v>118</v>
      </c>
      <c r="B444">
        <v>524288</v>
      </c>
      <c r="C444">
        <v>7</v>
      </c>
      <c r="D444">
        <v>512</v>
      </c>
      <c r="E444">
        <v>0.65</v>
      </c>
      <c r="F444">
        <v>10</v>
      </c>
      <c r="G444">
        <v>2047</v>
      </c>
      <c r="H444">
        <v>12416</v>
      </c>
      <c r="I444">
        <v>22525947900</v>
      </c>
      <c r="J444">
        <v>101246290200</v>
      </c>
      <c r="K444">
        <v>4.4946517078644197</v>
      </c>
      <c r="L444">
        <v>2783000</v>
      </c>
      <c r="M444">
        <v>8419748300</v>
      </c>
      <c r="N444">
        <v>6295690700</v>
      </c>
      <c r="O444">
        <v>14715439000</v>
      </c>
      <c r="P444">
        <v>87900</v>
      </c>
      <c r="Q444">
        <v>6701496700</v>
      </c>
      <c r="R444">
        <v>6701584600</v>
      </c>
      <c r="S444">
        <v>4102700</v>
      </c>
      <c r="T444">
        <v>165798400</v>
      </c>
      <c r="U444">
        <v>33552299200</v>
      </c>
      <c r="V444">
        <v>54303051900</v>
      </c>
      <c r="W444">
        <v>1947600</v>
      </c>
      <c r="X444">
        <v>22525947900</v>
      </c>
    </row>
    <row r="445" spans="1:24" x14ac:dyDescent="0.3">
      <c r="A445">
        <v>119</v>
      </c>
      <c r="B445">
        <v>524288</v>
      </c>
      <c r="C445">
        <v>7</v>
      </c>
      <c r="D445">
        <v>512</v>
      </c>
      <c r="E445">
        <v>0.8</v>
      </c>
      <c r="F445">
        <v>10</v>
      </c>
      <c r="G445">
        <v>2047</v>
      </c>
      <c r="H445">
        <v>7852</v>
      </c>
      <c r="I445">
        <v>17566519500</v>
      </c>
      <c r="J445">
        <v>66866081800</v>
      </c>
      <c r="K445">
        <v>3.8064502077375</v>
      </c>
      <c r="L445">
        <v>1698700</v>
      </c>
      <c r="M445">
        <v>8418349300</v>
      </c>
      <c r="N445">
        <v>3807033100</v>
      </c>
      <c r="O445">
        <v>12225382400</v>
      </c>
      <c r="P445">
        <v>92300</v>
      </c>
      <c r="Q445">
        <v>4233770700</v>
      </c>
      <c r="R445">
        <v>4233863000</v>
      </c>
      <c r="S445">
        <v>4539000</v>
      </c>
      <c r="T445">
        <v>173011000</v>
      </c>
      <c r="U445">
        <v>20230464800</v>
      </c>
      <c r="V445">
        <v>33981235600</v>
      </c>
      <c r="W445">
        <v>1932500</v>
      </c>
      <c r="X445">
        <v>17566519500</v>
      </c>
    </row>
    <row r="446" spans="1:24" x14ac:dyDescent="0.3">
      <c r="A446">
        <v>120</v>
      </c>
      <c r="B446">
        <v>524288</v>
      </c>
      <c r="C446">
        <v>7</v>
      </c>
      <c r="D446">
        <v>512</v>
      </c>
      <c r="E446">
        <v>0.95</v>
      </c>
      <c r="F446">
        <v>10</v>
      </c>
      <c r="G446">
        <v>2047</v>
      </c>
      <c r="H446">
        <v>2048</v>
      </c>
      <c r="I446">
        <v>12890353400</v>
      </c>
      <c r="J446">
        <v>33629068800</v>
      </c>
      <c r="K446">
        <v>2.6088554562049402</v>
      </c>
      <c r="L446">
        <v>795400</v>
      </c>
      <c r="M446">
        <v>8422221600</v>
      </c>
      <c r="N446">
        <v>2252856300</v>
      </c>
      <c r="O446">
        <v>10675077900</v>
      </c>
      <c r="P446">
        <v>99100</v>
      </c>
      <c r="Q446">
        <v>1115598500</v>
      </c>
      <c r="R446">
        <v>1115697600</v>
      </c>
      <c r="S446">
        <v>4153900</v>
      </c>
      <c r="T446">
        <v>169643400</v>
      </c>
      <c r="U446">
        <v>11899870800</v>
      </c>
      <c r="V446">
        <v>9004977600</v>
      </c>
      <c r="W446">
        <v>1913700</v>
      </c>
      <c r="X446">
        <v>12890353400</v>
      </c>
    </row>
    <row r="447" spans="1:24" x14ac:dyDescent="0.3">
      <c r="A447">
        <v>121</v>
      </c>
      <c r="B447">
        <v>1048576</v>
      </c>
      <c r="C447">
        <v>3</v>
      </c>
      <c r="D447">
        <v>64</v>
      </c>
      <c r="E447">
        <v>0.2</v>
      </c>
      <c r="F447">
        <v>14</v>
      </c>
      <c r="G447">
        <v>32767</v>
      </c>
      <c r="H447" s="1">
        <v>9796224</v>
      </c>
      <c r="I447">
        <v>130574326000</v>
      </c>
      <c r="J447">
        <v>819368816900</v>
      </c>
      <c r="K447">
        <v>6.27511427399594</v>
      </c>
      <c r="L447">
        <v>2146796700</v>
      </c>
      <c r="M447">
        <v>31277700</v>
      </c>
      <c r="N447">
        <v>44086162800</v>
      </c>
      <c r="O447">
        <v>44117440500</v>
      </c>
      <c r="P447">
        <v>28121800</v>
      </c>
      <c r="Q447">
        <v>83281004600</v>
      </c>
      <c r="R447">
        <v>83309126400</v>
      </c>
      <c r="S447">
        <v>7949900</v>
      </c>
      <c r="T447">
        <v>503598900</v>
      </c>
      <c r="U447">
        <v>224773598100</v>
      </c>
      <c r="V447">
        <v>587299706800</v>
      </c>
      <c r="W447">
        <v>4044900</v>
      </c>
      <c r="X447">
        <v>130574326000</v>
      </c>
    </row>
    <row r="448" spans="1:24" x14ac:dyDescent="0.3">
      <c r="A448">
        <v>122</v>
      </c>
      <c r="B448">
        <v>1048576</v>
      </c>
      <c r="C448">
        <v>3</v>
      </c>
      <c r="D448">
        <v>64</v>
      </c>
      <c r="E448">
        <v>0.35</v>
      </c>
      <c r="F448">
        <v>14</v>
      </c>
      <c r="G448">
        <v>32767</v>
      </c>
      <c r="H448" s="1">
        <v>1925584</v>
      </c>
      <c r="I448">
        <v>29812993600</v>
      </c>
      <c r="J448">
        <v>182302033300</v>
      </c>
      <c r="K448">
        <v>6.1148516564938298</v>
      </c>
      <c r="L448">
        <v>396083700</v>
      </c>
      <c r="M448">
        <v>664616000</v>
      </c>
      <c r="N448">
        <v>11661467300</v>
      </c>
      <c r="O448">
        <v>12326083300</v>
      </c>
      <c r="P448">
        <v>4984800</v>
      </c>
      <c r="Q448">
        <v>16083734100</v>
      </c>
      <c r="R448">
        <v>16088718900</v>
      </c>
      <c r="S448">
        <v>8607700</v>
      </c>
      <c r="T448">
        <v>808906100</v>
      </c>
      <c r="U448">
        <v>60018266100</v>
      </c>
      <c r="V448">
        <v>115893627800</v>
      </c>
      <c r="W448">
        <v>3874400</v>
      </c>
      <c r="X448">
        <v>29812993600</v>
      </c>
    </row>
    <row r="449" spans="1:24" x14ac:dyDescent="0.3">
      <c r="A449">
        <v>123</v>
      </c>
      <c r="B449">
        <v>1048576</v>
      </c>
      <c r="C449">
        <v>3</v>
      </c>
      <c r="D449">
        <v>64</v>
      </c>
      <c r="E449">
        <v>0.5</v>
      </c>
      <c r="F449">
        <v>14</v>
      </c>
      <c r="G449">
        <v>32767</v>
      </c>
      <c r="H449">
        <v>721012</v>
      </c>
      <c r="I449">
        <v>12544461800</v>
      </c>
      <c r="J449">
        <v>72221754700</v>
      </c>
      <c r="K449">
        <v>5.7572621170562996</v>
      </c>
      <c r="L449">
        <v>502092200</v>
      </c>
      <c r="M449">
        <v>567775700</v>
      </c>
      <c r="N449">
        <v>4408548700</v>
      </c>
      <c r="O449">
        <v>4976324400</v>
      </c>
      <c r="P449">
        <v>1988000</v>
      </c>
      <c r="Q449">
        <v>6067009300</v>
      </c>
      <c r="R449">
        <v>6068997300</v>
      </c>
      <c r="S449">
        <v>8666100</v>
      </c>
      <c r="T449">
        <v>528875500</v>
      </c>
      <c r="U449">
        <v>22826986800</v>
      </c>
      <c r="V449">
        <v>43224869600</v>
      </c>
      <c r="W449">
        <v>3852900</v>
      </c>
      <c r="X449">
        <v>12544461800</v>
      </c>
    </row>
    <row r="450" spans="1:24" x14ac:dyDescent="0.3">
      <c r="A450">
        <v>124</v>
      </c>
      <c r="B450">
        <v>1048576</v>
      </c>
      <c r="C450">
        <v>3</v>
      </c>
      <c r="D450">
        <v>64</v>
      </c>
      <c r="E450">
        <v>0.65</v>
      </c>
      <c r="F450">
        <v>14</v>
      </c>
      <c r="G450">
        <v>32767</v>
      </c>
      <c r="H450">
        <v>249128</v>
      </c>
      <c r="I450">
        <v>5771063200</v>
      </c>
      <c r="J450">
        <v>29359125100</v>
      </c>
      <c r="K450">
        <v>5.08729918258389</v>
      </c>
      <c r="L450">
        <v>48326800</v>
      </c>
      <c r="M450">
        <v>1038515900</v>
      </c>
      <c r="N450">
        <v>1598421600</v>
      </c>
      <c r="O450">
        <v>2636937500</v>
      </c>
      <c r="P450">
        <v>748800</v>
      </c>
      <c r="Q450">
        <v>2111317500</v>
      </c>
      <c r="R450">
        <v>2112066300</v>
      </c>
      <c r="S450">
        <v>8087600</v>
      </c>
      <c r="T450">
        <v>451674500</v>
      </c>
      <c r="U450">
        <v>8235894700</v>
      </c>
      <c r="V450">
        <v>15015160000</v>
      </c>
      <c r="W450">
        <v>3790100</v>
      </c>
      <c r="X450">
        <v>5771063200</v>
      </c>
    </row>
    <row r="451" spans="1:24" x14ac:dyDescent="0.3">
      <c r="A451">
        <v>125</v>
      </c>
      <c r="B451">
        <v>1048576</v>
      </c>
      <c r="C451">
        <v>3</v>
      </c>
      <c r="D451">
        <v>64</v>
      </c>
      <c r="E451">
        <v>0.8</v>
      </c>
      <c r="F451">
        <v>14</v>
      </c>
      <c r="G451">
        <v>32767</v>
      </c>
      <c r="H451">
        <v>115748</v>
      </c>
      <c r="I451">
        <v>3962858400</v>
      </c>
      <c r="J451">
        <v>18366812100</v>
      </c>
      <c r="K451">
        <v>4.6347384251730999</v>
      </c>
      <c r="L451">
        <v>24188500</v>
      </c>
      <c r="M451">
        <v>1048255600</v>
      </c>
      <c r="N451">
        <v>896970100</v>
      </c>
      <c r="O451">
        <v>1945225700</v>
      </c>
      <c r="P451">
        <v>423400</v>
      </c>
      <c r="Q451">
        <v>1001221900</v>
      </c>
      <c r="R451">
        <v>1001645300</v>
      </c>
      <c r="S451">
        <v>7966400</v>
      </c>
      <c r="T451">
        <v>776376700</v>
      </c>
      <c r="U451">
        <v>4594253900</v>
      </c>
      <c r="V451">
        <v>7008114300</v>
      </c>
      <c r="W451">
        <v>3784300</v>
      </c>
      <c r="X451">
        <v>3962858400</v>
      </c>
    </row>
    <row r="452" spans="1:24" x14ac:dyDescent="0.3">
      <c r="A452">
        <v>126</v>
      </c>
      <c r="B452">
        <v>1048576</v>
      </c>
      <c r="C452">
        <v>3</v>
      </c>
      <c r="D452">
        <v>64</v>
      </c>
      <c r="E452">
        <v>0.95</v>
      </c>
      <c r="F452">
        <v>14</v>
      </c>
      <c r="G452">
        <v>32767</v>
      </c>
      <c r="H452">
        <v>65536</v>
      </c>
      <c r="I452">
        <v>2954115800</v>
      </c>
      <c r="J452">
        <v>12390354300</v>
      </c>
      <c r="K452">
        <v>4.1942683154126801</v>
      </c>
      <c r="L452">
        <v>10496800</v>
      </c>
      <c r="M452">
        <v>1075512200</v>
      </c>
      <c r="N452">
        <v>307342800</v>
      </c>
      <c r="O452">
        <v>1382855000</v>
      </c>
      <c r="P452">
        <v>125300</v>
      </c>
      <c r="Q452">
        <v>579050100</v>
      </c>
      <c r="R452">
        <v>579175400</v>
      </c>
      <c r="S452">
        <v>7988000</v>
      </c>
      <c r="T452">
        <v>802454500</v>
      </c>
      <c r="U452">
        <v>1592984000</v>
      </c>
      <c r="V452">
        <v>4073231000</v>
      </c>
      <c r="W452">
        <v>4223200</v>
      </c>
      <c r="X452">
        <v>2954115800</v>
      </c>
    </row>
    <row r="453" spans="1:24" x14ac:dyDescent="0.3">
      <c r="A453">
        <v>127</v>
      </c>
      <c r="B453">
        <v>1048576</v>
      </c>
      <c r="C453">
        <v>4</v>
      </c>
      <c r="D453">
        <v>125</v>
      </c>
      <c r="E453">
        <v>0.2</v>
      </c>
      <c r="F453">
        <v>14</v>
      </c>
      <c r="G453">
        <v>32767</v>
      </c>
      <c r="H453" s="1">
        <v>9805088</v>
      </c>
      <c r="I453">
        <v>233525472000</v>
      </c>
      <c r="J453">
        <v>1431951914000</v>
      </c>
      <c r="K453">
        <v>6.13188746279463</v>
      </c>
      <c r="L453">
        <v>2227842200</v>
      </c>
      <c r="M453">
        <v>734715300</v>
      </c>
      <c r="N453">
        <v>143413347200</v>
      </c>
      <c r="O453">
        <v>144148062500</v>
      </c>
      <c r="P453">
        <v>29421600</v>
      </c>
      <c r="Q453">
        <v>85564286000</v>
      </c>
      <c r="R453">
        <v>85593707600</v>
      </c>
      <c r="S453">
        <v>8768000</v>
      </c>
      <c r="T453">
        <v>782745000</v>
      </c>
      <c r="U453">
        <v>829033534200</v>
      </c>
      <c r="V453">
        <v>588288560600</v>
      </c>
      <c r="W453">
        <v>3843100</v>
      </c>
      <c r="X453">
        <v>233525472000</v>
      </c>
    </row>
    <row r="454" spans="1:24" x14ac:dyDescent="0.3">
      <c r="A454">
        <v>128</v>
      </c>
      <c r="B454">
        <v>1048576</v>
      </c>
      <c r="C454">
        <v>4</v>
      </c>
      <c r="D454">
        <v>125</v>
      </c>
      <c r="E454">
        <v>0.35</v>
      </c>
      <c r="F454">
        <v>14</v>
      </c>
      <c r="G454">
        <v>32767</v>
      </c>
      <c r="H454" s="1">
        <v>1928056</v>
      </c>
      <c r="I454">
        <v>59394013300</v>
      </c>
      <c r="J454">
        <v>351896038700</v>
      </c>
      <c r="K454">
        <v>5.9247728710058301</v>
      </c>
      <c r="L454">
        <v>387537400</v>
      </c>
      <c r="M454">
        <v>2585111600</v>
      </c>
      <c r="N454">
        <v>38388202300</v>
      </c>
      <c r="O454">
        <v>40973313900</v>
      </c>
      <c r="P454">
        <v>4923900</v>
      </c>
      <c r="Q454">
        <v>16662571400</v>
      </c>
      <c r="R454">
        <v>16667495300</v>
      </c>
      <c r="S454">
        <v>8282000</v>
      </c>
      <c r="T454">
        <v>888294100</v>
      </c>
      <c r="U454">
        <v>222600604600</v>
      </c>
      <c r="V454">
        <v>115658693200</v>
      </c>
      <c r="W454">
        <v>3718700</v>
      </c>
      <c r="X454">
        <v>59394013300</v>
      </c>
    </row>
    <row r="455" spans="1:24" x14ac:dyDescent="0.3">
      <c r="A455">
        <v>129</v>
      </c>
      <c r="B455">
        <v>1048576</v>
      </c>
      <c r="C455">
        <v>4</v>
      </c>
      <c r="D455">
        <v>125</v>
      </c>
      <c r="E455">
        <v>0.5</v>
      </c>
      <c r="F455">
        <v>14</v>
      </c>
      <c r="G455">
        <v>32767</v>
      </c>
      <c r="H455">
        <v>722352</v>
      </c>
      <c r="I455">
        <v>25119524200</v>
      </c>
      <c r="J455">
        <v>140595809900</v>
      </c>
      <c r="K455">
        <v>5.59707296924039</v>
      </c>
      <c r="L455">
        <v>144099500</v>
      </c>
      <c r="M455">
        <v>2807484700</v>
      </c>
      <c r="N455">
        <v>14513486500</v>
      </c>
      <c r="O455">
        <v>17320971200</v>
      </c>
      <c r="P455">
        <v>2119400</v>
      </c>
      <c r="Q455">
        <v>6270907600</v>
      </c>
      <c r="R455">
        <v>6273027000</v>
      </c>
      <c r="S455">
        <v>8000000</v>
      </c>
      <c r="T455">
        <v>845724700</v>
      </c>
      <c r="U455">
        <v>83861915000</v>
      </c>
      <c r="V455">
        <v>43432244600</v>
      </c>
      <c r="W455">
        <v>3781500</v>
      </c>
      <c r="X455">
        <v>25119524200</v>
      </c>
    </row>
    <row r="456" spans="1:24" x14ac:dyDescent="0.3">
      <c r="A456">
        <v>130</v>
      </c>
      <c r="B456">
        <v>1048576</v>
      </c>
      <c r="C456">
        <v>4</v>
      </c>
      <c r="D456">
        <v>125</v>
      </c>
      <c r="E456">
        <v>0.65</v>
      </c>
      <c r="F456">
        <v>14</v>
      </c>
      <c r="G456">
        <v>32767</v>
      </c>
      <c r="H456">
        <v>250256</v>
      </c>
      <c r="I456">
        <v>11829666600</v>
      </c>
      <c r="J456">
        <v>59332923200</v>
      </c>
      <c r="K456">
        <v>5.0156040069632999</v>
      </c>
      <c r="L456">
        <v>49796000</v>
      </c>
      <c r="M456">
        <v>2890396700</v>
      </c>
      <c r="N456">
        <v>5296886900</v>
      </c>
      <c r="O456">
        <v>8187283600</v>
      </c>
      <c r="P456">
        <v>770200</v>
      </c>
      <c r="Q456">
        <v>2184903300</v>
      </c>
      <c r="R456">
        <v>2185673500</v>
      </c>
      <c r="S456">
        <v>7930500</v>
      </c>
      <c r="T456">
        <v>841927100</v>
      </c>
      <c r="U456">
        <v>30847767400</v>
      </c>
      <c r="V456">
        <v>15128774100</v>
      </c>
      <c r="W456">
        <v>3906400</v>
      </c>
      <c r="X456">
        <v>11829666600</v>
      </c>
    </row>
    <row r="457" spans="1:24" x14ac:dyDescent="0.3">
      <c r="A457">
        <v>131</v>
      </c>
      <c r="B457">
        <v>1048576</v>
      </c>
      <c r="C457">
        <v>4</v>
      </c>
      <c r="D457">
        <v>125</v>
      </c>
      <c r="E457">
        <v>0.8</v>
      </c>
      <c r="F457">
        <v>14</v>
      </c>
      <c r="G457">
        <v>32767</v>
      </c>
      <c r="H457">
        <v>116548</v>
      </c>
      <c r="I457">
        <v>8324657700</v>
      </c>
      <c r="J457">
        <v>38167339800</v>
      </c>
      <c r="K457">
        <v>4.58485395741857</v>
      </c>
      <c r="L457">
        <v>24660400</v>
      </c>
      <c r="M457">
        <v>2941303800</v>
      </c>
      <c r="N457">
        <v>2958459200</v>
      </c>
      <c r="O457">
        <v>5899763000</v>
      </c>
      <c r="P457">
        <v>509700</v>
      </c>
      <c r="Q457">
        <v>1040587600</v>
      </c>
      <c r="R457">
        <v>1041097300</v>
      </c>
      <c r="S457">
        <v>8799200</v>
      </c>
      <c r="T457">
        <v>858445300</v>
      </c>
      <c r="U457">
        <v>17183990200</v>
      </c>
      <c r="V457">
        <v>7114729800</v>
      </c>
      <c r="W457">
        <v>3754500</v>
      </c>
      <c r="X457">
        <v>8324657700</v>
      </c>
    </row>
    <row r="458" spans="1:24" x14ac:dyDescent="0.3">
      <c r="A458">
        <v>132</v>
      </c>
      <c r="B458">
        <v>1048576</v>
      </c>
      <c r="C458">
        <v>4</v>
      </c>
      <c r="D458">
        <v>125</v>
      </c>
      <c r="E458">
        <v>0.95</v>
      </c>
      <c r="F458">
        <v>14</v>
      </c>
      <c r="G458">
        <v>32767</v>
      </c>
      <c r="H458">
        <v>65536</v>
      </c>
      <c r="I458">
        <v>5927591900</v>
      </c>
      <c r="J458">
        <v>23267066500</v>
      </c>
      <c r="K458">
        <v>3.9252139642069399</v>
      </c>
      <c r="L458">
        <v>10409700</v>
      </c>
      <c r="M458">
        <v>2953753200</v>
      </c>
      <c r="N458">
        <v>1015262500</v>
      </c>
      <c r="O458">
        <v>3969015700</v>
      </c>
      <c r="P458">
        <v>156200</v>
      </c>
      <c r="Q458">
        <v>581946600</v>
      </c>
      <c r="R458">
        <v>582102800</v>
      </c>
      <c r="S458">
        <v>8129200</v>
      </c>
      <c r="T458">
        <v>895958300</v>
      </c>
      <c r="U458">
        <v>5909566500</v>
      </c>
      <c r="V458">
        <v>3994094600</v>
      </c>
      <c r="W458">
        <v>3811400</v>
      </c>
      <c r="X458">
        <v>5927591900</v>
      </c>
    </row>
    <row r="459" spans="1:24" x14ac:dyDescent="0.3">
      <c r="A459">
        <v>133</v>
      </c>
      <c r="B459">
        <v>1048576</v>
      </c>
      <c r="C459">
        <v>5</v>
      </c>
      <c r="D459">
        <v>216</v>
      </c>
      <c r="E459">
        <v>0.2</v>
      </c>
      <c r="F459">
        <v>13</v>
      </c>
      <c r="G459">
        <v>16383</v>
      </c>
      <c r="H459" s="1">
        <v>3775764</v>
      </c>
      <c r="I459">
        <v>430662975300</v>
      </c>
      <c r="J459">
        <v>2349051574400</v>
      </c>
      <c r="K459">
        <v>5.4545008722044104</v>
      </c>
      <c r="L459">
        <v>863598900</v>
      </c>
      <c r="M459">
        <v>5010787600</v>
      </c>
      <c r="N459">
        <v>295464285600</v>
      </c>
      <c r="O459">
        <v>300475073200</v>
      </c>
      <c r="P459">
        <v>10156000</v>
      </c>
      <c r="Q459">
        <v>127627304100</v>
      </c>
      <c r="R459">
        <v>127637460100</v>
      </c>
      <c r="S459">
        <v>22683700</v>
      </c>
      <c r="T459">
        <v>540795100</v>
      </c>
      <c r="U459">
        <v>1397275653300</v>
      </c>
      <c r="V459">
        <v>933743733200</v>
      </c>
      <c r="W459">
        <v>3797000</v>
      </c>
      <c r="X459">
        <v>430662975300</v>
      </c>
    </row>
    <row r="460" spans="1:24" x14ac:dyDescent="0.3">
      <c r="A460">
        <v>134</v>
      </c>
      <c r="B460">
        <v>1048576</v>
      </c>
      <c r="C460">
        <v>5</v>
      </c>
      <c r="D460">
        <v>216</v>
      </c>
      <c r="E460">
        <v>0.35</v>
      </c>
      <c r="F460">
        <v>13</v>
      </c>
      <c r="G460">
        <v>16383</v>
      </c>
      <c r="H460">
        <v>863580</v>
      </c>
      <c r="I460">
        <v>110110227800</v>
      </c>
      <c r="J460">
        <v>581782107700</v>
      </c>
      <c r="K460">
        <v>5.28363367621695</v>
      </c>
      <c r="L460">
        <v>180126200</v>
      </c>
      <c r="M460">
        <v>5670287000</v>
      </c>
      <c r="N460">
        <v>73546262800</v>
      </c>
      <c r="O460">
        <v>79216549800</v>
      </c>
      <c r="P460">
        <v>2464700</v>
      </c>
      <c r="Q460">
        <v>29028521300</v>
      </c>
      <c r="R460">
        <v>29030986000</v>
      </c>
      <c r="S460">
        <v>22876100</v>
      </c>
      <c r="T460">
        <v>817927400</v>
      </c>
      <c r="U460">
        <v>350106349200</v>
      </c>
      <c r="V460">
        <v>213847119200</v>
      </c>
      <c r="W460">
        <v>4418100</v>
      </c>
      <c r="X460">
        <v>110110227800</v>
      </c>
    </row>
    <row r="461" spans="1:24" x14ac:dyDescent="0.3">
      <c r="A461">
        <v>135</v>
      </c>
      <c r="B461">
        <v>1048576</v>
      </c>
      <c r="C461">
        <v>5</v>
      </c>
      <c r="D461">
        <v>216</v>
      </c>
      <c r="E461">
        <v>0.5</v>
      </c>
      <c r="F461">
        <v>13</v>
      </c>
      <c r="G461">
        <v>16383</v>
      </c>
      <c r="H461">
        <v>310336</v>
      </c>
      <c r="I461">
        <v>45487142800</v>
      </c>
      <c r="J461">
        <v>226761317100</v>
      </c>
      <c r="K461">
        <v>4.9851739006126303</v>
      </c>
      <c r="L461">
        <v>65736400</v>
      </c>
      <c r="M461">
        <v>5812415500</v>
      </c>
      <c r="N461">
        <v>27536248700</v>
      </c>
      <c r="O461">
        <v>33348664200</v>
      </c>
      <c r="P461">
        <v>970700</v>
      </c>
      <c r="Q461">
        <v>10408837700</v>
      </c>
      <c r="R461">
        <v>10409808400</v>
      </c>
      <c r="S461">
        <v>8651400</v>
      </c>
      <c r="T461">
        <v>844604100</v>
      </c>
      <c r="U461">
        <v>131927677100</v>
      </c>
      <c r="V461">
        <v>76896994600</v>
      </c>
      <c r="W461">
        <v>3801700</v>
      </c>
      <c r="X461">
        <v>45487142800</v>
      </c>
    </row>
    <row r="462" spans="1:24" x14ac:dyDescent="0.3">
      <c r="A462">
        <v>136</v>
      </c>
      <c r="B462">
        <v>1048576</v>
      </c>
      <c r="C462">
        <v>5</v>
      </c>
      <c r="D462">
        <v>216</v>
      </c>
      <c r="E462">
        <v>0.65</v>
      </c>
      <c r="F462">
        <v>13</v>
      </c>
      <c r="G462">
        <v>16383</v>
      </c>
      <c r="H462">
        <v>102840</v>
      </c>
      <c r="I462">
        <v>22122133500</v>
      </c>
      <c r="J462">
        <v>96576825200</v>
      </c>
      <c r="K462">
        <v>4.3656198530761001</v>
      </c>
      <c r="L462">
        <v>23665700</v>
      </c>
      <c r="M462">
        <v>5835748600</v>
      </c>
      <c r="N462">
        <v>11106103300</v>
      </c>
      <c r="O462">
        <v>16941851900</v>
      </c>
      <c r="P462">
        <v>405400</v>
      </c>
      <c r="Q462">
        <v>3481640600</v>
      </c>
      <c r="R462">
        <v>3482046000</v>
      </c>
      <c r="S462">
        <v>8115300</v>
      </c>
      <c r="T462">
        <v>842471000</v>
      </c>
      <c r="U462">
        <v>53067289900</v>
      </c>
      <c r="V462">
        <v>25448503500</v>
      </c>
      <c r="W462">
        <v>3817900</v>
      </c>
      <c r="X462">
        <v>22122133500</v>
      </c>
    </row>
    <row r="463" spans="1:24" x14ac:dyDescent="0.3">
      <c r="A463">
        <v>137</v>
      </c>
      <c r="B463">
        <v>1048576</v>
      </c>
      <c r="C463">
        <v>5</v>
      </c>
      <c r="D463">
        <v>216</v>
      </c>
      <c r="E463">
        <v>0.8</v>
      </c>
      <c r="F463">
        <v>13</v>
      </c>
      <c r="G463">
        <v>16383</v>
      </c>
      <c r="H463">
        <v>59456</v>
      </c>
      <c r="I463">
        <v>15282089600</v>
      </c>
      <c r="J463">
        <v>60613788000</v>
      </c>
      <c r="K463">
        <v>3.9663285314071102</v>
      </c>
      <c r="L463">
        <v>12492100</v>
      </c>
      <c r="M463">
        <v>5817888500</v>
      </c>
      <c r="N463">
        <v>5745031900</v>
      </c>
      <c r="O463">
        <v>11562920400</v>
      </c>
      <c r="P463">
        <v>173600</v>
      </c>
      <c r="Q463">
        <v>2027183000</v>
      </c>
      <c r="R463">
        <v>2027356600</v>
      </c>
      <c r="S463">
        <v>8020300</v>
      </c>
      <c r="T463">
        <v>833101900</v>
      </c>
      <c r="U463">
        <v>27860530800</v>
      </c>
      <c r="V463">
        <v>14829866200</v>
      </c>
      <c r="W463">
        <v>3786200</v>
      </c>
      <c r="X463">
        <v>15282089600</v>
      </c>
    </row>
    <row r="464" spans="1:24" x14ac:dyDescent="0.3">
      <c r="A464">
        <v>138</v>
      </c>
      <c r="B464">
        <v>1048576</v>
      </c>
      <c r="C464">
        <v>5</v>
      </c>
      <c r="D464">
        <v>216</v>
      </c>
      <c r="E464">
        <v>0.95</v>
      </c>
      <c r="F464">
        <v>13</v>
      </c>
      <c r="G464">
        <v>16383</v>
      </c>
      <c r="H464">
        <v>16384</v>
      </c>
      <c r="I464">
        <v>11607966000</v>
      </c>
      <c r="J464">
        <v>39560799100</v>
      </c>
      <c r="K464">
        <v>3.4080733093118898</v>
      </c>
      <c r="L464">
        <v>5454700</v>
      </c>
      <c r="M464">
        <v>5817982800</v>
      </c>
      <c r="N464">
        <v>3548021900</v>
      </c>
      <c r="O464">
        <v>9366004700</v>
      </c>
      <c r="P464">
        <v>112700</v>
      </c>
      <c r="Q464">
        <v>577494000</v>
      </c>
      <c r="R464">
        <v>577606700</v>
      </c>
      <c r="S464">
        <v>8012200</v>
      </c>
      <c r="T464">
        <v>854309600</v>
      </c>
      <c r="U464">
        <v>17347093400</v>
      </c>
      <c r="V464">
        <v>4123702700</v>
      </c>
      <c r="W464">
        <v>3793100</v>
      </c>
      <c r="X464">
        <v>11607966000</v>
      </c>
    </row>
    <row r="465" spans="1:24" x14ac:dyDescent="0.3">
      <c r="A465">
        <v>139</v>
      </c>
      <c r="B465">
        <v>1048576</v>
      </c>
      <c r="C465">
        <v>6</v>
      </c>
      <c r="D465">
        <v>343</v>
      </c>
      <c r="E465">
        <v>0.2</v>
      </c>
      <c r="F465">
        <v>12</v>
      </c>
      <c r="G465">
        <v>8191</v>
      </c>
      <c r="H465" s="1">
        <v>2283060</v>
      </c>
      <c r="I465">
        <v>554902130400</v>
      </c>
      <c r="J465">
        <v>3482209818000</v>
      </c>
      <c r="K465">
        <v>6.2753585312239704</v>
      </c>
      <c r="L465">
        <v>370864800</v>
      </c>
      <c r="M465">
        <v>13535764400</v>
      </c>
      <c r="N465">
        <v>230702156400</v>
      </c>
      <c r="O465">
        <v>244237920800</v>
      </c>
      <c r="P465">
        <v>6178600</v>
      </c>
      <c r="Q465">
        <v>308284810600</v>
      </c>
      <c r="R465">
        <v>308290989200</v>
      </c>
      <c r="S465">
        <v>8661000</v>
      </c>
      <c r="T465">
        <v>777395900</v>
      </c>
      <c r="U465">
        <v>1085289887400</v>
      </c>
      <c r="V465">
        <v>2374926945800</v>
      </c>
      <c r="W465">
        <v>3776600</v>
      </c>
      <c r="X465">
        <v>554902130400</v>
      </c>
    </row>
    <row r="466" spans="1:24" x14ac:dyDescent="0.3">
      <c r="A466">
        <v>140</v>
      </c>
      <c r="B466">
        <v>1048576</v>
      </c>
      <c r="C466">
        <v>6</v>
      </c>
      <c r="D466">
        <v>343</v>
      </c>
      <c r="E466">
        <v>0.35</v>
      </c>
      <c r="F466">
        <v>12</v>
      </c>
      <c r="G466">
        <v>8191</v>
      </c>
      <c r="H466">
        <v>511060</v>
      </c>
      <c r="I466">
        <v>151356167100</v>
      </c>
      <c r="J466">
        <v>870198795200</v>
      </c>
      <c r="K466">
        <v>5.7493448193958603</v>
      </c>
      <c r="L466">
        <v>85629400</v>
      </c>
      <c r="M466">
        <v>13829314400</v>
      </c>
      <c r="N466">
        <v>66339471800</v>
      </c>
      <c r="O466">
        <v>80168786200</v>
      </c>
      <c r="P466">
        <v>1468900</v>
      </c>
      <c r="Q466">
        <v>68762652000</v>
      </c>
      <c r="R466">
        <v>68764120900</v>
      </c>
      <c r="S466">
        <v>8329400</v>
      </c>
      <c r="T466">
        <v>458287600</v>
      </c>
      <c r="U466">
        <v>314131511500</v>
      </c>
      <c r="V466">
        <v>534507538700</v>
      </c>
      <c r="W466">
        <v>3970700</v>
      </c>
      <c r="X466">
        <v>151356167100</v>
      </c>
    </row>
    <row r="467" spans="1:24" x14ac:dyDescent="0.3">
      <c r="A467">
        <v>141</v>
      </c>
      <c r="B467">
        <v>1048576</v>
      </c>
      <c r="C467">
        <v>6</v>
      </c>
      <c r="D467">
        <v>343</v>
      </c>
      <c r="E467">
        <v>0.5</v>
      </c>
      <c r="F467">
        <v>12</v>
      </c>
      <c r="G467">
        <v>8191</v>
      </c>
      <c r="H467">
        <v>180952</v>
      </c>
      <c r="I467">
        <v>70841308700</v>
      </c>
      <c r="J467">
        <v>355553552600</v>
      </c>
      <c r="K467">
        <v>5.0190144581561</v>
      </c>
      <c r="L467">
        <v>35166900</v>
      </c>
      <c r="M467">
        <v>13860360800</v>
      </c>
      <c r="N467">
        <v>30631435700</v>
      </c>
      <c r="O467">
        <v>44491796500</v>
      </c>
      <c r="P467">
        <v>605900</v>
      </c>
      <c r="Q467">
        <v>24281289400</v>
      </c>
      <c r="R467">
        <v>24281895300</v>
      </c>
      <c r="S467">
        <v>22739200</v>
      </c>
      <c r="T467">
        <v>788392200</v>
      </c>
      <c r="U467">
        <v>145169965100</v>
      </c>
      <c r="V467">
        <v>188352049100</v>
      </c>
      <c r="W467">
        <v>3874800</v>
      </c>
      <c r="X467">
        <v>70841308700</v>
      </c>
    </row>
    <row r="468" spans="1:24" x14ac:dyDescent="0.3">
      <c r="A468">
        <v>142</v>
      </c>
      <c r="B468">
        <v>1048576</v>
      </c>
      <c r="C468">
        <v>6</v>
      </c>
      <c r="D468">
        <v>343</v>
      </c>
      <c r="E468">
        <v>0.65</v>
      </c>
      <c r="F468">
        <v>12</v>
      </c>
      <c r="G468">
        <v>8191</v>
      </c>
      <c r="H468">
        <v>73392</v>
      </c>
      <c r="I468">
        <v>36777471100</v>
      </c>
      <c r="J468">
        <v>151655214900</v>
      </c>
      <c r="K468">
        <v>4.1235900774047503</v>
      </c>
      <c r="L468">
        <v>12516100</v>
      </c>
      <c r="M468">
        <v>13869555800</v>
      </c>
      <c r="N468">
        <v>11118240300</v>
      </c>
      <c r="O468">
        <v>24987796100</v>
      </c>
      <c r="P468">
        <v>255300</v>
      </c>
      <c r="Q468">
        <v>9779528300</v>
      </c>
      <c r="R468">
        <v>9779783600</v>
      </c>
      <c r="S468">
        <v>8027600</v>
      </c>
      <c r="T468">
        <v>800739600</v>
      </c>
      <c r="U468">
        <v>52740160700</v>
      </c>
      <c r="V468">
        <v>76668554600</v>
      </c>
      <c r="W468">
        <v>3915300</v>
      </c>
      <c r="X468">
        <v>36777471100</v>
      </c>
    </row>
    <row r="469" spans="1:24" x14ac:dyDescent="0.3">
      <c r="A469">
        <v>143</v>
      </c>
      <c r="B469">
        <v>1048576</v>
      </c>
      <c r="C469">
        <v>6</v>
      </c>
      <c r="D469">
        <v>343</v>
      </c>
      <c r="E469">
        <v>0.8</v>
      </c>
      <c r="F469">
        <v>12</v>
      </c>
      <c r="G469">
        <v>8191</v>
      </c>
      <c r="H469">
        <v>36028</v>
      </c>
      <c r="I469">
        <v>26885585000</v>
      </c>
      <c r="J469">
        <v>88261128900</v>
      </c>
      <c r="K469">
        <v>3.2828420471416102</v>
      </c>
      <c r="L469">
        <v>6232900</v>
      </c>
      <c r="M469">
        <v>13910772400</v>
      </c>
      <c r="N469">
        <v>6109222000</v>
      </c>
      <c r="O469">
        <v>20019994400</v>
      </c>
      <c r="P469">
        <v>189400</v>
      </c>
      <c r="Q469">
        <v>4863511400</v>
      </c>
      <c r="R469">
        <v>4863700800</v>
      </c>
      <c r="S469">
        <v>8703200</v>
      </c>
      <c r="T469">
        <v>848860800</v>
      </c>
      <c r="U469">
        <v>29182624500</v>
      </c>
      <c r="V469">
        <v>37268439900</v>
      </c>
      <c r="W469">
        <v>3819000</v>
      </c>
      <c r="X469">
        <v>26885585000</v>
      </c>
    </row>
    <row r="470" spans="1:24" x14ac:dyDescent="0.3">
      <c r="A470">
        <v>144</v>
      </c>
      <c r="B470">
        <v>1048576</v>
      </c>
      <c r="C470">
        <v>6</v>
      </c>
      <c r="D470">
        <v>343</v>
      </c>
      <c r="E470">
        <v>0.95</v>
      </c>
      <c r="F470">
        <v>12</v>
      </c>
      <c r="G470">
        <v>8191</v>
      </c>
      <c r="H470">
        <v>24576</v>
      </c>
      <c r="I470">
        <v>21148411600</v>
      </c>
      <c r="J470">
        <v>56545390100</v>
      </c>
      <c r="K470">
        <v>2.6737417054999999</v>
      </c>
      <c r="L470">
        <v>3293800</v>
      </c>
      <c r="M470">
        <v>13917385500</v>
      </c>
      <c r="N470">
        <v>1909721700</v>
      </c>
      <c r="O470">
        <v>15827107200</v>
      </c>
      <c r="P470">
        <v>172800</v>
      </c>
      <c r="Q470">
        <v>3326629400</v>
      </c>
      <c r="R470">
        <v>3326802200</v>
      </c>
      <c r="S470">
        <v>7957700</v>
      </c>
      <c r="T470">
        <v>811023100</v>
      </c>
      <c r="U470">
        <v>8971061900</v>
      </c>
      <c r="V470">
        <v>25508988400</v>
      </c>
      <c r="W470">
        <v>3933200</v>
      </c>
      <c r="X470">
        <v>21148411600</v>
      </c>
    </row>
    <row r="471" spans="1:24" x14ac:dyDescent="0.3">
      <c r="A471">
        <v>145</v>
      </c>
      <c r="B471">
        <v>1048576</v>
      </c>
      <c r="C471">
        <v>7</v>
      </c>
      <c r="D471">
        <v>512</v>
      </c>
      <c r="E471">
        <v>0.2</v>
      </c>
      <c r="F471">
        <v>11</v>
      </c>
      <c r="G471">
        <v>4095</v>
      </c>
      <c r="H471">
        <v>959988</v>
      </c>
      <c r="I471">
        <v>690134863600</v>
      </c>
      <c r="J471">
        <v>5056862234700</v>
      </c>
      <c r="K471">
        <v>7.3273536831939197</v>
      </c>
      <c r="L471">
        <v>143886600</v>
      </c>
      <c r="M471">
        <v>16571034900</v>
      </c>
      <c r="N471">
        <v>151469436300</v>
      </c>
      <c r="O471">
        <v>168040471200</v>
      </c>
      <c r="P471">
        <v>2727000</v>
      </c>
      <c r="Q471">
        <v>519930483100</v>
      </c>
      <c r="R471">
        <v>519933210100</v>
      </c>
      <c r="S471">
        <v>22373600</v>
      </c>
      <c r="T471">
        <v>766508800</v>
      </c>
      <c r="U471">
        <v>802244344500</v>
      </c>
      <c r="V471">
        <v>4228525953900</v>
      </c>
      <c r="W471">
        <v>3912700</v>
      </c>
      <c r="X471">
        <v>690134863600</v>
      </c>
    </row>
    <row r="472" spans="1:24" x14ac:dyDescent="0.3">
      <c r="A472">
        <v>146</v>
      </c>
      <c r="B472">
        <v>1048576</v>
      </c>
      <c r="C472">
        <v>7</v>
      </c>
      <c r="D472">
        <v>512</v>
      </c>
      <c r="E472">
        <v>0.35</v>
      </c>
      <c r="F472">
        <v>11</v>
      </c>
      <c r="G472">
        <v>4095</v>
      </c>
      <c r="H472">
        <v>216376</v>
      </c>
      <c r="I472">
        <v>196722474800</v>
      </c>
      <c r="J472">
        <v>1316550429100</v>
      </c>
      <c r="K472">
        <v>6.6924251051563104</v>
      </c>
      <c r="L472">
        <v>36600700</v>
      </c>
      <c r="M472">
        <v>16543536700</v>
      </c>
      <c r="N472">
        <v>62139198500</v>
      </c>
      <c r="O472">
        <v>78682735200</v>
      </c>
      <c r="P472">
        <v>629600</v>
      </c>
      <c r="Q472">
        <v>116006884000</v>
      </c>
      <c r="R472">
        <v>116007513600</v>
      </c>
      <c r="S472">
        <v>8633900</v>
      </c>
      <c r="T472">
        <v>721615400</v>
      </c>
      <c r="U472">
        <v>341139651100</v>
      </c>
      <c r="V472">
        <v>949621906100</v>
      </c>
      <c r="W472">
        <v>3946200</v>
      </c>
      <c r="X472">
        <v>196722474800</v>
      </c>
    </row>
    <row r="473" spans="1:24" x14ac:dyDescent="0.3">
      <c r="A473">
        <v>147</v>
      </c>
      <c r="B473">
        <v>1048576</v>
      </c>
      <c r="C473">
        <v>7</v>
      </c>
      <c r="D473">
        <v>512</v>
      </c>
      <c r="E473">
        <v>0.5</v>
      </c>
      <c r="F473">
        <v>11</v>
      </c>
      <c r="G473">
        <v>4095</v>
      </c>
      <c r="H473">
        <v>90376</v>
      </c>
      <c r="I473">
        <v>91611061200</v>
      </c>
      <c r="J473">
        <v>552567012100</v>
      </c>
      <c r="K473">
        <v>6.0316626056068401</v>
      </c>
      <c r="L473">
        <v>14900300</v>
      </c>
      <c r="M473">
        <v>16586438100</v>
      </c>
      <c r="N473">
        <v>24390952300</v>
      </c>
      <c r="O473">
        <v>40977390400</v>
      </c>
      <c r="P473">
        <v>272500</v>
      </c>
      <c r="Q473">
        <v>48613375500</v>
      </c>
      <c r="R473">
        <v>48613648000</v>
      </c>
      <c r="S473">
        <v>8363400</v>
      </c>
      <c r="T473">
        <v>737962700</v>
      </c>
      <c r="U473">
        <v>130349834200</v>
      </c>
      <c r="V473">
        <v>396695425700</v>
      </c>
      <c r="W473">
        <v>4066600</v>
      </c>
      <c r="X473">
        <v>91611061200</v>
      </c>
    </row>
    <row r="474" spans="1:24" x14ac:dyDescent="0.3">
      <c r="A474">
        <v>148</v>
      </c>
      <c r="B474">
        <v>1048576</v>
      </c>
      <c r="C474">
        <v>7</v>
      </c>
      <c r="D474">
        <v>512</v>
      </c>
      <c r="E474">
        <v>0.65</v>
      </c>
      <c r="F474">
        <v>11</v>
      </c>
      <c r="G474">
        <v>4095</v>
      </c>
      <c r="H474">
        <v>31376</v>
      </c>
      <c r="I474">
        <v>45747785100</v>
      </c>
      <c r="J474">
        <v>219602866700</v>
      </c>
      <c r="K474">
        <v>4.8002950573447496</v>
      </c>
      <c r="L474">
        <v>5890200</v>
      </c>
      <c r="M474">
        <v>16570439500</v>
      </c>
      <c r="N474">
        <v>10400270000</v>
      </c>
      <c r="O474">
        <v>26970709500</v>
      </c>
      <c r="P474">
        <v>198300</v>
      </c>
      <c r="Q474">
        <v>16778518700</v>
      </c>
      <c r="R474">
        <v>16778717000</v>
      </c>
      <c r="S474">
        <v>8687500</v>
      </c>
      <c r="T474">
        <v>776503900</v>
      </c>
      <c r="U474">
        <v>55854489000</v>
      </c>
      <c r="V474">
        <v>138037226200</v>
      </c>
      <c r="W474">
        <v>3803800</v>
      </c>
      <c r="X474">
        <v>45747785100</v>
      </c>
    </row>
    <row r="475" spans="1:24" x14ac:dyDescent="0.3">
      <c r="A475">
        <v>149</v>
      </c>
      <c r="B475">
        <v>1048576</v>
      </c>
      <c r="C475">
        <v>7</v>
      </c>
      <c r="D475">
        <v>512</v>
      </c>
      <c r="E475">
        <v>0.8</v>
      </c>
      <c r="F475">
        <v>11</v>
      </c>
      <c r="G475">
        <v>4095</v>
      </c>
      <c r="H475">
        <v>15444</v>
      </c>
      <c r="I475">
        <v>33373538100</v>
      </c>
      <c r="J475">
        <v>127302840300</v>
      </c>
      <c r="K475">
        <v>3.8144843953479399</v>
      </c>
      <c r="L475">
        <v>3049100</v>
      </c>
      <c r="M475">
        <v>16653992900</v>
      </c>
      <c r="N475">
        <v>6387500100</v>
      </c>
      <c r="O475">
        <v>23041493000</v>
      </c>
      <c r="P475">
        <v>148400</v>
      </c>
      <c r="Q475">
        <v>8336418900</v>
      </c>
      <c r="R475">
        <v>8336567300</v>
      </c>
      <c r="S475">
        <v>8862200</v>
      </c>
      <c r="T475">
        <v>776723100</v>
      </c>
      <c r="U475">
        <v>34065445500</v>
      </c>
      <c r="V475">
        <v>67827875600</v>
      </c>
      <c r="W475">
        <v>3793400</v>
      </c>
      <c r="X475">
        <v>33373538100</v>
      </c>
    </row>
    <row r="476" spans="1:24" x14ac:dyDescent="0.3">
      <c r="A476">
        <v>150</v>
      </c>
      <c r="B476">
        <v>1048576</v>
      </c>
      <c r="C476">
        <v>7</v>
      </c>
      <c r="D476">
        <v>512</v>
      </c>
      <c r="E476">
        <v>0.95</v>
      </c>
      <c r="F476">
        <v>11</v>
      </c>
      <c r="G476">
        <v>4095</v>
      </c>
      <c r="H476">
        <v>8192</v>
      </c>
      <c r="I476">
        <v>25388032300</v>
      </c>
      <c r="J476">
        <v>73090284300</v>
      </c>
      <c r="K476">
        <v>2.87892670988921</v>
      </c>
      <c r="L476">
        <v>1621500</v>
      </c>
      <c r="M476">
        <v>16719368400</v>
      </c>
      <c r="N476">
        <v>2263387600</v>
      </c>
      <c r="O476">
        <v>18982756000</v>
      </c>
      <c r="P476">
        <v>150500</v>
      </c>
      <c r="Q476">
        <v>4435767500</v>
      </c>
      <c r="R476">
        <v>4435918000</v>
      </c>
      <c r="S476">
        <v>8739700</v>
      </c>
      <c r="T476">
        <v>700532400</v>
      </c>
      <c r="U476">
        <v>12079931000</v>
      </c>
      <c r="V476">
        <v>35712554500</v>
      </c>
      <c r="W476">
        <v>3764200</v>
      </c>
      <c r="X476">
        <v>25388032300</v>
      </c>
    </row>
    <row r="477" spans="1:24" x14ac:dyDescent="0.3">
      <c r="P477" s="1"/>
      <c r="R477" s="1"/>
    </row>
    <row r="478" spans="1:24" x14ac:dyDescent="0.3">
      <c r="O478" s="1"/>
      <c r="P478" s="1"/>
      <c r="R478" s="1"/>
    </row>
    <row r="479" spans="1:24" x14ac:dyDescent="0.3">
      <c r="O479" s="1"/>
      <c r="P479" s="1"/>
      <c r="Q479" s="1"/>
      <c r="R479"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77"/>
  <sheetViews>
    <sheetView topLeftCell="B1" workbookViewId="0">
      <selection activeCell="H1" sqref="H1:X1"/>
    </sheetView>
  </sheetViews>
  <sheetFormatPr defaultRowHeight="14.4" x14ac:dyDescent="0.3"/>
  <sheetData>
    <row r="1" spans="1:24" x14ac:dyDescent="0.3">
      <c r="A1" t="s">
        <v>0</v>
      </c>
      <c r="B1" t="s">
        <v>1</v>
      </c>
      <c r="C1" t="s">
        <v>2</v>
      </c>
      <c r="D1" t="s">
        <v>3</v>
      </c>
      <c r="E1" t="s">
        <v>4</v>
      </c>
      <c r="F1" t="s">
        <v>20</v>
      </c>
      <c r="G1" t="s">
        <v>21</v>
      </c>
      <c r="H1" t="s">
        <v>22</v>
      </c>
      <c r="I1" t="s">
        <v>8</v>
      </c>
      <c r="J1" t="s">
        <v>9</v>
      </c>
      <c r="K1" t="s">
        <v>10</v>
      </c>
      <c r="L1" t="s">
        <v>23</v>
      </c>
      <c r="M1" t="s">
        <v>24</v>
      </c>
      <c r="N1" t="s">
        <v>25</v>
      </c>
      <c r="O1" t="s">
        <v>26</v>
      </c>
      <c r="P1" t="s">
        <v>27</v>
      </c>
      <c r="Q1" t="s">
        <v>28</v>
      </c>
      <c r="R1" t="s">
        <v>29</v>
      </c>
      <c r="S1" t="s">
        <v>30</v>
      </c>
      <c r="T1" t="s">
        <v>31</v>
      </c>
      <c r="U1" t="s">
        <v>11</v>
      </c>
      <c r="V1" t="s">
        <v>12</v>
      </c>
      <c r="W1" t="s">
        <v>32</v>
      </c>
      <c r="X1" t="s">
        <v>33</v>
      </c>
    </row>
    <row r="2" spans="1:24" x14ac:dyDescent="0.3">
      <c r="A2">
        <v>1</v>
      </c>
      <c r="B2">
        <v>65536</v>
      </c>
      <c r="C2">
        <v>3</v>
      </c>
      <c r="D2">
        <v>64</v>
      </c>
      <c r="E2">
        <v>0.5</v>
      </c>
      <c r="F2">
        <v>10</v>
      </c>
      <c r="G2">
        <v>2047</v>
      </c>
      <c r="H2">
        <v>33724</v>
      </c>
      <c r="I2">
        <v>793177300</v>
      </c>
      <c r="J2">
        <v>3531683700</v>
      </c>
      <c r="K2">
        <v>4.4525778788676798</v>
      </c>
      <c r="L2">
        <v>7137700</v>
      </c>
      <c r="M2">
        <v>175556200</v>
      </c>
      <c r="N2">
        <v>281009400</v>
      </c>
      <c r="O2">
        <v>456565600</v>
      </c>
      <c r="P2">
        <v>116500</v>
      </c>
      <c r="Q2">
        <v>297800600</v>
      </c>
      <c r="R2">
        <v>297917100</v>
      </c>
      <c r="S2">
        <v>728000</v>
      </c>
      <c r="T2">
        <v>15081400</v>
      </c>
      <c r="U2">
        <v>1200971300</v>
      </c>
      <c r="V2">
        <v>1979845300</v>
      </c>
      <c r="W2">
        <v>143200</v>
      </c>
      <c r="X2">
        <v>793177300</v>
      </c>
    </row>
    <row r="3" spans="1:24" x14ac:dyDescent="0.3">
      <c r="A3">
        <v>2</v>
      </c>
      <c r="B3">
        <v>65536</v>
      </c>
      <c r="C3">
        <v>3</v>
      </c>
      <c r="D3">
        <v>64</v>
      </c>
      <c r="E3">
        <v>0.2</v>
      </c>
      <c r="F3">
        <v>10</v>
      </c>
      <c r="G3">
        <v>2047</v>
      </c>
      <c r="H3">
        <v>321980</v>
      </c>
      <c r="I3">
        <v>4422129100</v>
      </c>
      <c r="J3">
        <v>26061148100</v>
      </c>
      <c r="K3">
        <v>5.8933485456134598</v>
      </c>
      <c r="L3">
        <v>51612900</v>
      </c>
      <c r="M3">
        <v>212541400</v>
      </c>
      <c r="N3">
        <v>1396591600</v>
      </c>
      <c r="O3">
        <v>1609133000</v>
      </c>
      <c r="P3">
        <v>846200</v>
      </c>
      <c r="Q3">
        <v>2716616000</v>
      </c>
      <c r="R3">
        <v>2717462200</v>
      </c>
      <c r="S3">
        <v>670500</v>
      </c>
      <c r="T3">
        <v>21208100</v>
      </c>
      <c r="U3">
        <v>6752595000</v>
      </c>
      <c r="V3">
        <v>18934114500</v>
      </c>
      <c r="W3">
        <v>166900</v>
      </c>
      <c r="X3">
        <v>4422129100</v>
      </c>
    </row>
    <row r="4" spans="1:24" x14ac:dyDescent="0.3">
      <c r="A4">
        <v>3</v>
      </c>
      <c r="B4">
        <v>65536</v>
      </c>
      <c r="C4">
        <v>3</v>
      </c>
      <c r="D4">
        <v>64</v>
      </c>
      <c r="E4">
        <v>0.35</v>
      </c>
      <c r="F4">
        <v>10</v>
      </c>
      <c r="G4">
        <v>2047</v>
      </c>
      <c r="H4">
        <v>86324</v>
      </c>
      <c r="I4">
        <v>1798688400</v>
      </c>
      <c r="J4">
        <v>8175143900</v>
      </c>
      <c r="K4">
        <v>4.54505844369708</v>
      </c>
      <c r="L4">
        <v>17269900</v>
      </c>
      <c r="M4">
        <v>133638500</v>
      </c>
      <c r="N4">
        <v>601632700</v>
      </c>
      <c r="O4">
        <v>735271200</v>
      </c>
      <c r="P4">
        <v>186600</v>
      </c>
      <c r="Q4">
        <v>726745800</v>
      </c>
      <c r="R4">
        <v>726932400</v>
      </c>
      <c r="S4">
        <v>697500</v>
      </c>
      <c r="T4">
        <v>22467700</v>
      </c>
      <c r="U4">
        <v>2746611100</v>
      </c>
      <c r="V4">
        <v>5094834700</v>
      </c>
      <c r="W4">
        <v>142600</v>
      </c>
      <c r="X4">
        <v>1798688400</v>
      </c>
    </row>
    <row r="5" spans="1:24" x14ac:dyDescent="0.3">
      <c r="A5">
        <v>4</v>
      </c>
      <c r="B5">
        <v>65536</v>
      </c>
      <c r="C5">
        <v>3</v>
      </c>
      <c r="D5">
        <v>64</v>
      </c>
      <c r="E5">
        <v>0.5</v>
      </c>
      <c r="F5">
        <v>10</v>
      </c>
      <c r="G5">
        <v>2047</v>
      </c>
      <c r="H5">
        <v>33668</v>
      </c>
      <c r="I5">
        <v>759899900</v>
      </c>
      <c r="J5">
        <v>3535557400</v>
      </c>
      <c r="K5">
        <v>4.6526620150890903</v>
      </c>
      <c r="L5">
        <v>6268800</v>
      </c>
      <c r="M5">
        <v>147067700</v>
      </c>
      <c r="N5">
        <v>278200700</v>
      </c>
      <c r="O5">
        <v>425268400</v>
      </c>
      <c r="P5">
        <v>102000</v>
      </c>
      <c r="Q5">
        <v>296864000</v>
      </c>
      <c r="R5">
        <v>296966000</v>
      </c>
      <c r="S5">
        <v>687700</v>
      </c>
      <c r="T5">
        <v>15347800</v>
      </c>
      <c r="U5">
        <v>1163417000</v>
      </c>
      <c r="V5">
        <v>1974948500</v>
      </c>
      <c r="W5">
        <v>154000</v>
      </c>
      <c r="X5">
        <v>759899900</v>
      </c>
    </row>
    <row r="6" spans="1:24" x14ac:dyDescent="0.3">
      <c r="A6">
        <v>5</v>
      </c>
      <c r="B6">
        <v>65536</v>
      </c>
      <c r="C6">
        <v>3</v>
      </c>
      <c r="D6">
        <v>64</v>
      </c>
      <c r="E6">
        <v>0.65</v>
      </c>
      <c r="F6">
        <v>10</v>
      </c>
      <c r="G6">
        <v>2047</v>
      </c>
      <c r="H6">
        <v>11940</v>
      </c>
      <c r="I6">
        <v>456397100</v>
      </c>
      <c r="J6">
        <v>1905943200</v>
      </c>
      <c r="K6">
        <v>4.1760633448371998</v>
      </c>
      <c r="L6">
        <v>2539800</v>
      </c>
      <c r="M6">
        <v>163811600</v>
      </c>
      <c r="N6">
        <v>134556700</v>
      </c>
      <c r="O6">
        <v>298368300</v>
      </c>
      <c r="P6">
        <v>45900</v>
      </c>
      <c r="Q6">
        <v>120841500</v>
      </c>
      <c r="R6">
        <v>120887400</v>
      </c>
      <c r="S6">
        <v>711100</v>
      </c>
      <c r="T6">
        <v>14960600</v>
      </c>
      <c r="U6">
        <v>529496400</v>
      </c>
      <c r="V6">
        <v>706189400</v>
      </c>
      <c r="W6">
        <v>145100</v>
      </c>
      <c r="X6">
        <v>456397100</v>
      </c>
    </row>
    <row r="7" spans="1:24" x14ac:dyDescent="0.3">
      <c r="A7">
        <v>6</v>
      </c>
      <c r="B7">
        <v>65536</v>
      </c>
      <c r="C7">
        <v>3</v>
      </c>
      <c r="D7">
        <v>64</v>
      </c>
      <c r="E7">
        <v>0.8</v>
      </c>
      <c r="F7">
        <v>10</v>
      </c>
      <c r="G7">
        <v>2047</v>
      </c>
      <c r="H7">
        <v>6876</v>
      </c>
      <c r="I7">
        <v>330848700</v>
      </c>
      <c r="J7">
        <v>1064127800</v>
      </c>
      <c r="K7">
        <v>3.2163578094760501</v>
      </c>
      <c r="L7">
        <v>1802400</v>
      </c>
      <c r="M7">
        <v>142106700</v>
      </c>
      <c r="N7">
        <v>79042500</v>
      </c>
      <c r="O7">
        <v>221149200</v>
      </c>
      <c r="P7">
        <v>68100</v>
      </c>
      <c r="Q7">
        <v>74582300</v>
      </c>
      <c r="R7">
        <v>74650400</v>
      </c>
      <c r="S7">
        <v>689500</v>
      </c>
      <c r="T7">
        <v>22360800</v>
      </c>
      <c r="U7">
        <v>327323600</v>
      </c>
      <c r="V7">
        <v>404685800</v>
      </c>
      <c r="W7">
        <v>138600</v>
      </c>
      <c r="X7">
        <v>330848700</v>
      </c>
    </row>
    <row r="8" spans="1:24" x14ac:dyDescent="0.3">
      <c r="A8">
        <v>7</v>
      </c>
      <c r="B8">
        <v>65536</v>
      </c>
      <c r="C8">
        <v>3</v>
      </c>
      <c r="D8">
        <v>64</v>
      </c>
      <c r="E8">
        <v>0.95</v>
      </c>
      <c r="F8">
        <v>10</v>
      </c>
      <c r="G8">
        <v>2047</v>
      </c>
      <c r="H8">
        <v>2048</v>
      </c>
      <c r="I8">
        <v>305799000</v>
      </c>
      <c r="J8">
        <v>684244000</v>
      </c>
      <c r="K8">
        <v>2.2375612739086699</v>
      </c>
      <c r="L8">
        <v>738900</v>
      </c>
      <c r="M8">
        <v>196093100</v>
      </c>
      <c r="N8">
        <v>49894300</v>
      </c>
      <c r="O8">
        <v>245987400</v>
      </c>
      <c r="P8">
        <v>101100</v>
      </c>
      <c r="Q8">
        <v>24853000</v>
      </c>
      <c r="R8">
        <v>24954100</v>
      </c>
      <c r="S8">
        <v>711400</v>
      </c>
      <c r="T8">
        <v>14257700</v>
      </c>
      <c r="U8">
        <v>196374900</v>
      </c>
      <c r="V8">
        <v>121178600</v>
      </c>
      <c r="W8">
        <v>136000</v>
      </c>
      <c r="X8">
        <v>305799000</v>
      </c>
    </row>
    <row r="9" spans="1:24" x14ac:dyDescent="0.3">
      <c r="A9">
        <v>8</v>
      </c>
      <c r="B9">
        <v>65536</v>
      </c>
      <c r="C9">
        <v>4</v>
      </c>
      <c r="D9">
        <v>125</v>
      </c>
      <c r="E9">
        <v>0.5</v>
      </c>
      <c r="F9">
        <v>10</v>
      </c>
      <c r="G9">
        <v>2047</v>
      </c>
      <c r="H9">
        <v>33808</v>
      </c>
      <c r="I9">
        <v>1514948000</v>
      </c>
      <c r="J9">
        <v>7146013800</v>
      </c>
      <c r="K9">
        <v>4.7170026958021003</v>
      </c>
      <c r="L9">
        <v>5960000</v>
      </c>
      <c r="M9">
        <v>368276200</v>
      </c>
      <c r="N9">
        <v>789880400</v>
      </c>
      <c r="O9">
        <v>1158156600</v>
      </c>
      <c r="P9">
        <v>115500</v>
      </c>
      <c r="Q9">
        <v>295241300</v>
      </c>
      <c r="R9">
        <v>295356800</v>
      </c>
      <c r="S9">
        <v>711000</v>
      </c>
      <c r="T9">
        <v>23097300</v>
      </c>
      <c r="U9">
        <v>4337255100</v>
      </c>
      <c r="V9">
        <v>2005749100</v>
      </c>
      <c r="W9">
        <v>142800</v>
      </c>
      <c r="X9">
        <v>1514948000</v>
      </c>
    </row>
    <row r="10" spans="1:24" x14ac:dyDescent="0.3">
      <c r="A10">
        <v>9</v>
      </c>
      <c r="B10">
        <v>65536</v>
      </c>
      <c r="C10">
        <v>4</v>
      </c>
      <c r="D10">
        <v>125</v>
      </c>
      <c r="E10">
        <v>0.2</v>
      </c>
      <c r="F10">
        <v>10</v>
      </c>
      <c r="G10">
        <v>2047</v>
      </c>
      <c r="H10">
        <v>322648</v>
      </c>
      <c r="I10">
        <v>7611024400</v>
      </c>
      <c r="J10">
        <v>44952660600</v>
      </c>
      <c r="K10">
        <v>5.9062562721517402</v>
      </c>
      <c r="L10">
        <v>60093700</v>
      </c>
      <c r="M10">
        <v>347593600</v>
      </c>
      <c r="N10">
        <v>4339915500</v>
      </c>
      <c r="O10">
        <v>4687509100</v>
      </c>
      <c r="P10">
        <v>850500</v>
      </c>
      <c r="Q10">
        <v>2808231400</v>
      </c>
      <c r="R10">
        <v>2809081900</v>
      </c>
      <c r="S10">
        <v>676700</v>
      </c>
      <c r="T10">
        <v>21145100</v>
      </c>
      <c r="U10">
        <v>25175461200</v>
      </c>
      <c r="V10">
        <v>18958637100</v>
      </c>
      <c r="W10">
        <v>148800</v>
      </c>
      <c r="X10">
        <v>7611024400</v>
      </c>
    </row>
    <row r="11" spans="1:24" x14ac:dyDescent="0.3">
      <c r="A11">
        <v>10</v>
      </c>
      <c r="B11">
        <v>65536</v>
      </c>
      <c r="C11">
        <v>4</v>
      </c>
      <c r="D11">
        <v>125</v>
      </c>
      <c r="E11">
        <v>0.35</v>
      </c>
      <c r="F11">
        <v>10</v>
      </c>
      <c r="G11">
        <v>2047</v>
      </c>
      <c r="H11">
        <v>86212</v>
      </c>
      <c r="I11">
        <v>3195567700</v>
      </c>
      <c r="J11">
        <v>16074099900</v>
      </c>
      <c r="K11">
        <v>5.0301234112486402</v>
      </c>
      <c r="L11">
        <v>16309900</v>
      </c>
      <c r="M11">
        <v>287380900</v>
      </c>
      <c r="N11">
        <v>1798804100</v>
      </c>
      <c r="O11">
        <v>2086185000</v>
      </c>
      <c r="P11">
        <v>190100</v>
      </c>
      <c r="Q11">
        <v>750439600</v>
      </c>
      <c r="R11">
        <v>750629700</v>
      </c>
      <c r="S11">
        <v>713600</v>
      </c>
      <c r="T11">
        <v>20662000</v>
      </c>
      <c r="U11">
        <v>10208927500</v>
      </c>
      <c r="V11">
        <v>5065207800</v>
      </c>
      <c r="W11">
        <v>155900</v>
      </c>
      <c r="X11">
        <v>3195567700</v>
      </c>
    </row>
    <row r="12" spans="1:24" x14ac:dyDescent="0.3">
      <c r="A12">
        <v>11</v>
      </c>
      <c r="B12">
        <v>65536</v>
      </c>
      <c r="C12">
        <v>4</v>
      </c>
      <c r="D12">
        <v>125</v>
      </c>
      <c r="E12">
        <v>0.5</v>
      </c>
      <c r="F12">
        <v>10</v>
      </c>
      <c r="G12">
        <v>2047</v>
      </c>
      <c r="H12">
        <v>33752</v>
      </c>
      <c r="I12">
        <v>1721156600</v>
      </c>
      <c r="J12">
        <v>7106500100</v>
      </c>
      <c r="K12">
        <v>4.1289096529624301</v>
      </c>
      <c r="L12">
        <v>5984300</v>
      </c>
      <c r="M12">
        <v>292941500</v>
      </c>
      <c r="N12">
        <v>784970700</v>
      </c>
      <c r="O12">
        <v>1077912200</v>
      </c>
      <c r="P12">
        <v>116600</v>
      </c>
      <c r="Q12">
        <v>295011200</v>
      </c>
      <c r="R12">
        <v>295127800</v>
      </c>
      <c r="S12">
        <v>662900</v>
      </c>
      <c r="T12">
        <v>23354800</v>
      </c>
      <c r="U12">
        <v>4354691700</v>
      </c>
      <c r="V12">
        <v>1984990200</v>
      </c>
      <c r="W12">
        <v>144500</v>
      </c>
      <c r="X12">
        <v>1721156600</v>
      </c>
    </row>
    <row r="13" spans="1:24" x14ac:dyDescent="0.3">
      <c r="A13">
        <v>12</v>
      </c>
      <c r="B13">
        <v>65536</v>
      </c>
      <c r="C13">
        <v>4</v>
      </c>
      <c r="D13">
        <v>125</v>
      </c>
      <c r="E13">
        <v>0.65</v>
      </c>
      <c r="F13">
        <v>10</v>
      </c>
      <c r="G13">
        <v>2047</v>
      </c>
      <c r="H13">
        <v>12172</v>
      </c>
      <c r="I13">
        <v>830885600</v>
      </c>
      <c r="J13">
        <v>3890499200</v>
      </c>
      <c r="K13">
        <v>4.6823524201165601</v>
      </c>
      <c r="L13">
        <v>2949300</v>
      </c>
      <c r="M13">
        <v>284139600</v>
      </c>
      <c r="N13">
        <v>382183600</v>
      </c>
      <c r="O13">
        <v>666323200</v>
      </c>
      <c r="P13">
        <v>73100</v>
      </c>
      <c r="Q13">
        <v>107001000</v>
      </c>
      <c r="R13">
        <v>107074100</v>
      </c>
      <c r="S13">
        <v>733700</v>
      </c>
      <c r="T13">
        <v>25523100</v>
      </c>
      <c r="U13">
        <v>2044896300</v>
      </c>
      <c r="V13">
        <v>721313200</v>
      </c>
      <c r="W13">
        <v>147800</v>
      </c>
      <c r="X13">
        <v>830885600</v>
      </c>
    </row>
    <row r="14" spans="1:24" x14ac:dyDescent="0.3">
      <c r="A14">
        <v>13</v>
      </c>
      <c r="B14">
        <v>65536</v>
      </c>
      <c r="C14">
        <v>4</v>
      </c>
      <c r="D14">
        <v>125</v>
      </c>
      <c r="E14">
        <v>0.8</v>
      </c>
      <c r="F14">
        <v>10</v>
      </c>
      <c r="G14">
        <v>2047</v>
      </c>
      <c r="H14">
        <v>6736</v>
      </c>
      <c r="I14">
        <v>722307300</v>
      </c>
      <c r="J14">
        <v>2363338300</v>
      </c>
      <c r="K14">
        <v>3.2719291359785498</v>
      </c>
      <c r="L14">
        <v>1520500</v>
      </c>
      <c r="M14">
        <v>361925000</v>
      </c>
      <c r="N14">
        <v>238214700</v>
      </c>
      <c r="O14">
        <v>600139700</v>
      </c>
      <c r="P14">
        <v>76800</v>
      </c>
      <c r="Q14">
        <v>64153900</v>
      </c>
      <c r="R14">
        <v>64230700</v>
      </c>
      <c r="S14">
        <v>758700</v>
      </c>
      <c r="T14">
        <v>25988700</v>
      </c>
      <c r="U14">
        <v>1213987600</v>
      </c>
      <c r="V14">
        <v>397460000</v>
      </c>
      <c r="W14">
        <v>153500</v>
      </c>
      <c r="X14">
        <v>722307300</v>
      </c>
    </row>
    <row r="15" spans="1:24" x14ac:dyDescent="0.3">
      <c r="A15">
        <v>14</v>
      </c>
      <c r="B15">
        <v>65536</v>
      </c>
      <c r="C15">
        <v>4</v>
      </c>
      <c r="D15">
        <v>125</v>
      </c>
      <c r="E15">
        <v>0.95</v>
      </c>
      <c r="F15">
        <v>10</v>
      </c>
      <c r="G15">
        <v>2047</v>
      </c>
      <c r="H15">
        <v>2052</v>
      </c>
      <c r="I15">
        <v>528926400</v>
      </c>
      <c r="J15">
        <v>1643024900</v>
      </c>
      <c r="K15">
        <v>3.1063393697119199</v>
      </c>
      <c r="L15">
        <v>711900</v>
      </c>
      <c r="M15">
        <v>300825900</v>
      </c>
      <c r="N15">
        <v>150034300</v>
      </c>
      <c r="O15">
        <v>450860200</v>
      </c>
      <c r="P15">
        <v>89300</v>
      </c>
      <c r="Q15">
        <v>20589800</v>
      </c>
      <c r="R15">
        <v>20679100</v>
      </c>
      <c r="S15">
        <v>807500</v>
      </c>
      <c r="T15">
        <v>26284900</v>
      </c>
      <c r="U15">
        <v>738847300</v>
      </c>
      <c r="V15">
        <v>124170400</v>
      </c>
      <c r="W15">
        <v>145500</v>
      </c>
      <c r="X15">
        <v>528926400</v>
      </c>
    </row>
    <row r="16" spans="1:24" x14ac:dyDescent="0.3">
      <c r="A16">
        <v>15</v>
      </c>
      <c r="B16">
        <v>65536</v>
      </c>
      <c r="C16">
        <v>5</v>
      </c>
      <c r="D16">
        <v>216</v>
      </c>
      <c r="E16">
        <v>0.5</v>
      </c>
      <c r="F16">
        <v>9</v>
      </c>
      <c r="G16">
        <v>1023</v>
      </c>
      <c r="H16">
        <v>19056</v>
      </c>
      <c r="I16">
        <v>2286539200</v>
      </c>
      <c r="J16">
        <v>11095130900</v>
      </c>
      <c r="K16">
        <v>4.8523685489406798</v>
      </c>
      <c r="L16">
        <v>3432800</v>
      </c>
      <c r="M16">
        <v>510252700</v>
      </c>
      <c r="N16">
        <v>1062730100</v>
      </c>
      <c r="O16">
        <v>1572982800</v>
      </c>
      <c r="P16">
        <v>98900</v>
      </c>
      <c r="Q16">
        <v>636857500</v>
      </c>
      <c r="R16">
        <v>636956400</v>
      </c>
      <c r="S16">
        <v>730700</v>
      </c>
      <c r="T16">
        <v>14835800</v>
      </c>
      <c r="U16">
        <v>5109452400</v>
      </c>
      <c r="V16">
        <v>4608742400</v>
      </c>
      <c r="W16">
        <v>164000</v>
      </c>
      <c r="X16">
        <v>2286539200</v>
      </c>
    </row>
    <row r="17" spans="1:24" x14ac:dyDescent="0.3">
      <c r="A17">
        <v>16</v>
      </c>
      <c r="B17">
        <v>65536</v>
      </c>
      <c r="C17">
        <v>5</v>
      </c>
      <c r="D17">
        <v>216</v>
      </c>
      <c r="E17">
        <v>0.2</v>
      </c>
      <c r="F17">
        <v>9</v>
      </c>
      <c r="G17">
        <v>1023</v>
      </c>
      <c r="H17">
        <v>161012</v>
      </c>
      <c r="I17">
        <v>9266234800</v>
      </c>
      <c r="J17">
        <v>53734496500</v>
      </c>
      <c r="K17">
        <v>5.7989569290862297</v>
      </c>
      <c r="L17">
        <v>20093300</v>
      </c>
      <c r="M17">
        <v>496100500</v>
      </c>
      <c r="N17">
        <v>2858487400</v>
      </c>
      <c r="O17">
        <v>3354587900</v>
      </c>
      <c r="P17">
        <v>479600</v>
      </c>
      <c r="Q17">
        <v>5371482700</v>
      </c>
      <c r="R17">
        <v>5371962300</v>
      </c>
      <c r="S17">
        <v>764500</v>
      </c>
      <c r="T17">
        <v>20187800</v>
      </c>
      <c r="U17">
        <v>13747763200</v>
      </c>
      <c r="V17">
        <v>38937127300</v>
      </c>
      <c r="W17">
        <v>179600</v>
      </c>
      <c r="X17">
        <v>9266234800</v>
      </c>
    </row>
    <row r="18" spans="1:24" x14ac:dyDescent="0.3">
      <c r="A18">
        <v>17</v>
      </c>
      <c r="B18">
        <v>65536</v>
      </c>
      <c r="C18">
        <v>5</v>
      </c>
      <c r="D18">
        <v>216</v>
      </c>
      <c r="E18">
        <v>0.35</v>
      </c>
      <c r="F18">
        <v>9</v>
      </c>
      <c r="G18">
        <v>1023</v>
      </c>
      <c r="H18">
        <v>48512</v>
      </c>
      <c r="I18">
        <v>4389047100</v>
      </c>
      <c r="J18">
        <v>21956258600</v>
      </c>
      <c r="K18">
        <v>5.0025115018701802</v>
      </c>
      <c r="L18">
        <v>6959300</v>
      </c>
      <c r="M18">
        <v>509287600</v>
      </c>
      <c r="N18">
        <v>1894872600</v>
      </c>
      <c r="O18">
        <v>2404160200</v>
      </c>
      <c r="P18">
        <v>133100</v>
      </c>
      <c r="Q18">
        <v>1616696100</v>
      </c>
      <c r="R18">
        <v>1616829200</v>
      </c>
      <c r="S18">
        <v>767100</v>
      </c>
      <c r="T18">
        <v>21494700</v>
      </c>
      <c r="U18">
        <v>9092873600</v>
      </c>
      <c r="V18">
        <v>11781955900</v>
      </c>
      <c r="W18">
        <v>146900</v>
      </c>
      <c r="X18">
        <v>4389047100</v>
      </c>
    </row>
    <row r="19" spans="1:24" x14ac:dyDescent="0.3">
      <c r="A19">
        <v>18</v>
      </c>
      <c r="B19">
        <v>65536</v>
      </c>
      <c r="C19">
        <v>5</v>
      </c>
      <c r="D19">
        <v>216</v>
      </c>
      <c r="E19">
        <v>0.5</v>
      </c>
      <c r="F19">
        <v>9</v>
      </c>
      <c r="G19">
        <v>1023</v>
      </c>
      <c r="H19">
        <v>18820</v>
      </c>
      <c r="I19">
        <v>2588649000</v>
      </c>
      <c r="J19">
        <v>11080200600</v>
      </c>
      <c r="K19">
        <v>4.2803024280232602</v>
      </c>
      <c r="L19">
        <v>3192700</v>
      </c>
      <c r="M19">
        <v>507712500</v>
      </c>
      <c r="N19">
        <v>1086598500</v>
      </c>
      <c r="O19">
        <v>1594311000</v>
      </c>
      <c r="P19">
        <v>97300</v>
      </c>
      <c r="Q19">
        <v>629453100</v>
      </c>
      <c r="R19">
        <v>629550400</v>
      </c>
      <c r="S19">
        <v>752000</v>
      </c>
      <c r="T19">
        <v>21352500</v>
      </c>
      <c r="U19">
        <v>5407424100</v>
      </c>
      <c r="V19">
        <v>4553120200</v>
      </c>
      <c r="W19">
        <v>196200</v>
      </c>
      <c r="X19">
        <v>2588649000</v>
      </c>
    </row>
    <row r="20" spans="1:24" x14ac:dyDescent="0.3">
      <c r="A20">
        <v>19</v>
      </c>
      <c r="B20">
        <v>65536</v>
      </c>
      <c r="C20">
        <v>5</v>
      </c>
      <c r="D20">
        <v>216</v>
      </c>
      <c r="E20">
        <v>0.65</v>
      </c>
      <c r="F20">
        <v>9</v>
      </c>
      <c r="G20">
        <v>1023</v>
      </c>
      <c r="H20">
        <v>8288</v>
      </c>
      <c r="I20">
        <v>1790946200</v>
      </c>
      <c r="J20">
        <v>5303421700</v>
      </c>
      <c r="K20">
        <v>2.9612400975529001</v>
      </c>
      <c r="L20">
        <v>1358000</v>
      </c>
      <c r="M20">
        <v>505588300</v>
      </c>
      <c r="N20">
        <v>467506500</v>
      </c>
      <c r="O20">
        <v>973094800</v>
      </c>
      <c r="P20">
        <v>80100</v>
      </c>
      <c r="Q20">
        <v>279445100</v>
      </c>
      <c r="R20">
        <v>279525200</v>
      </c>
      <c r="S20">
        <v>675100</v>
      </c>
      <c r="T20">
        <v>21337300</v>
      </c>
      <c r="U20">
        <v>2223603100</v>
      </c>
      <c r="V20">
        <v>2006512200</v>
      </c>
      <c r="W20">
        <v>179100</v>
      </c>
      <c r="X20">
        <v>1790946200</v>
      </c>
    </row>
    <row r="21" spans="1:24" x14ac:dyDescent="0.3">
      <c r="A21">
        <v>20</v>
      </c>
      <c r="B21">
        <v>65536</v>
      </c>
      <c r="C21">
        <v>5</v>
      </c>
      <c r="D21">
        <v>216</v>
      </c>
      <c r="E21">
        <v>0.8</v>
      </c>
      <c r="F21">
        <v>9</v>
      </c>
      <c r="G21">
        <v>1023</v>
      </c>
      <c r="H21">
        <v>4152</v>
      </c>
      <c r="I21">
        <v>1065337500</v>
      </c>
      <c r="J21">
        <v>3527264500</v>
      </c>
      <c r="K21">
        <v>3.3109362056625198</v>
      </c>
      <c r="L21">
        <v>1100500</v>
      </c>
      <c r="M21">
        <v>543818200</v>
      </c>
      <c r="N21">
        <v>306476200</v>
      </c>
      <c r="O21">
        <v>850294400</v>
      </c>
      <c r="P21">
        <v>60200</v>
      </c>
      <c r="Q21">
        <v>141770900</v>
      </c>
      <c r="R21">
        <v>141831100</v>
      </c>
      <c r="S21">
        <v>685700</v>
      </c>
      <c r="T21">
        <v>20770600</v>
      </c>
      <c r="U21">
        <v>1485460600</v>
      </c>
      <c r="V21">
        <v>1010323800</v>
      </c>
      <c r="W21">
        <v>179500</v>
      </c>
      <c r="X21">
        <v>1065337500</v>
      </c>
    </row>
    <row r="22" spans="1:24" x14ac:dyDescent="0.3">
      <c r="A22">
        <v>21</v>
      </c>
      <c r="B22">
        <v>65536</v>
      </c>
      <c r="C22">
        <v>5</v>
      </c>
      <c r="D22">
        <v>216</v>
      </c>
      <c r="E22">
        <v>0.95</v>
      </c>
      <c r="F22">
        <v>9</v>
      </c>
      <c r="G22">
        <v>1023</v>
      </c>
      <c r="H22">
        <v>3072</v>
      </c>
      <c r="I22">
        <v>878848800</v>
      </c>
      <c r="J22">
        <v>2592503100</v>
      </c>
      <c r="K22">
        <v>2.94988523623176</v>
      </c>
      <c r="L22">
        <v>468300</v>
      </c>
      <c r="M22">
        <v>596809600</v>
      </c>
      <c r="N22">
        <v>99109900</v>
      </c>
      <c r="O22">
        <v>695919500</v>
      </c>
      <c r="P22">
        <v>89700</v>
      </c>
      <c r="Q22">
        <v>107924000</v>
      </c>
      <c r="R22">
        <v>108013700</v>
      </c>
      <c r="S22">
        <v>726600</v>
      </c>
      <c r="T22">
        <v>22021800</v>
      </c>
      <c r="U22">
        <v>740916900</v>
      </c>
      <c r="V22">
        <v>743096200</v>
      </c>
      <c r="W22">
        <v>142500</v>
      </c>
      <c r="X22">
        <v>878848800</v>
      </c>
    </row>
    <row r="23" spans="1:24" x14ac:dyDescent="0.3">
      <c r="A23">
        <v>22</v>
      </c>
      <c r="B23">
        <v>65536</v>
      </c>
      <c r="C23">
        <v>6</v>
      </c>
      <c r="D23">
        <v>343</v>
      </c>
      <c r="E23">
        <v>0.5</v>
      </c>
      <c r="F23">
        <v>8</v>
      </c>
      <c r="G23">
        <v>511</v>
      </c>
      <c r="H23">
        <v>8856</v>
      </c>
      <c r="I23">
        <v>3319513200</v>
      </c>
      <c r="J23">
        <v>15082673500</v>
      </c>
      <c r="K23">
        <v>4.5436401638649899</v>
      </c>
      <c r="L23">
        <v>1505800</v>
      </c>
      <c r="M23">
        <v>1040689300</v>
      </c>
      <c r="N23">
        <v>993000900</v>
      </c>
      <c r="O23">
        <v>2033690200</v>
      </c>
      <c r="P23">
        <v>83000</v>
      </c>
      <c r="Q23">
        <v>1188948000</v>
      </c>
      <c r="R23">
        <v>1189031000</v>
      </c>
      <c r="S23">
        <v>679400</v>
      </c>
      <c r="T23">
        <v>21992700</v>
      </c>
      <c r="U23">
        <v>4710906000</v>
      </c>
      <c r="V23">
        <v>9055634600</v>
      </c>
      <c r="W23">
        <v>150000</v>
      </c>
      <c r="X23">
        <v>3319513200</v>
      </c>
    </row>
    <row r="24" spans="1:24" x14ac:dyDescent="0.3">
      <c r="A24">
        <v>23</v>
      </c>
      <c r="B24">
        <v>65536</v>
      </c>
      <c r="C24">
        <v>6</v>
      </c>
      <c r="D24">
        <v>343</v>
      </c>
      <c r="E24">
        <v>0.2</v>
      </c>
      <c r="F24">
        <v>8</v>
      </c>
      <c r="G24">
        <v>511</v>
      </c>
      <c r="H24">
        <v>56072</v>
      </c>
      <c r="I24">
        <v>10003436100</v>
      </c>
      <c r="J24">
        <v>62313693600</v>
      </c>
      <c r="K24">
        <v>6.2292289346457599</v>
      </c>
      <c r="L24">
        <v>5936300</v>
      </c>
      <c r="M24">
        <v>1047308200</v>
      </c>
      <c r="N24">
        <v>842897300</v>
      </c>
      <c r="O24">
        <v>1890205500</v>
      </c>
      <c r="P24">
        <v>144500</v>
      </c>
      <c r="Q24">
        <v>7543401800</v>
      </c>
      <c r="R24">
        <v>7543546300</v>
      </c>
      <c r="S24">
        <v>778400</v>
      </c>
      <c r="T24">
        <v>13639300</v>
      </c>
      <c r="U24">
        <v>3955548400</v>
      </c>
      <c r="V24">
        <v>57034249400</v>
      </c>
      <c r="W24">
        <v>154400</v>
      </c>
      <c r="X24">
        <v>10003436100</v>
      </c>
    </row>
    <row r="25" spans="1:24" x14ac:dyDescent="0.3">
      <c r="A25">
        <v>24</v>
      </c>
      <c r="B25">
        <v>65536</v>
      </c>
      <c r="C25">
        <v>6</v>
      </c>
      <c r="D25">
        <v>343</v>
      </c>
      <c r="E25">
        <v>0.35</v>
      </c>
      <c r="F25">
        <v>8</v>
      </c>
      <c r="G25">
        <v>511</v>
      </c>
      <c r="H25">
        <v>19440</v>
      </c>
      <c r="I25">
        <v>5837627500</v>
      </c>
      <c r="J25">
        <v>29982616500</v>
      </c>
      <c r="K25">
        <v>5.1360962137443602</v>
      </c>
      <c r="L25">
        <v>2610600</v>
      </c>
      <c r="M25">
        <v>1049599000</v>
      </c>
      <c r="N25">
        <v>1802285300</v>
      </c>
      <c r="O25">
        <v>2851884300</v>
      </c>
      <c r="P25">
        <v>82700</v>
      </c>
      <c r="Q25">
        <v>2601151800</v>
      </c>
      <c r="R25">
        <v>2601234500</v>
      </c>
      <c r="S25">
        <v>699400</v>
      </c>
      <c r="T25">
        <v>12426200</v>
      </c>
      <c r="U25">
        <v>8480873000</v>
      </c>
      <c r="V25">
        <v>19836777300</v>
      </c>
      <c r="W25">
        <v>153100</v>
      </c>
      <c r="X25">
        <v>5837627500</v>
      </c>
    </row>
    <row r="26" spans="1:24" x14ac:dyDescent="0.3">
      <c r="A26">
        <v>25</v>
      </c>
      <c r="B26">
        <v>65536</v>
      </c>
      <c r="C26">
        <v>6</v>
      </c>
      <c r="D26">
        <v>343</v>
      </c>
      <c r="E26">
        <v>0.5</v>
      </c>
      <c r="F26">
        <v>8</v>
      </c>
      <c r="G26">
        <v>511</v>
      </c>
      <c r="H26">
        <v>8924</v>
      </c>
      <c r="I26">
        <v>3642498000</v>
      </c>
      <c r="J26">
        <v>15175987200</v>
      </c>
      <c r="K26">
        <v>4.16636802545945</v>
      </c>
      <c r="L26">
        <v>1273000</v>
      </c>
      <c r="M26">
        <v>1050484000</v>
      </c>
      <c r="N26">
        <v>1011502600</v>
      </c>
      <c r="O26">
        <v>2061986600</v>
      </c>
      <c r="P26">
        <v>79000</v>
      </c>
      <c r="Q26">
        <v>1195862700</v>
      </c>
      <c r="R26">
        <v>1195941700</v>
      </c>
      <c r="S26">
        <v>740000</v>
      </c>
      <c r="T26">
        <v>21231300</v>
      </c>
      <c r="U26">
        <v>4766944500</v>
      </c>
      <c r="V26">
        <v>9075416500</v>
      </c>
      <c r="W26">
        <v>181600</v>
      </c>
      <c r="X26">
        <v>3642498000</v>
      </c>
    </row>
    <row r="27" spans="1:24" x14ac:dyDescent="0.3">
      <c r="A27">
        <v>26</v>
      </c>
      <c r="B27">
        <v>65536</v>
      </c>
      <c r="C27">
        <v>6</v>
      </c>
      <c r="D27">
        <v>343</v>
      </c>
      <c r="E27">
        <v>0.65</v>
      </c>
      <c r="F27">
        <v>8</v>
      </c>
      <c r="G27">
        <v>511</v>
      </c>
      <c r="H27">
        <v>3584</v>
      </c>
      <c r="I27">
        <v>2630493500</v>
      </c>
      <c r="J27">
        <v>7552296500</v>
      </c>
      <c r="K27">
        <v>2.8710568948374098</v>
      </c>
      <c r="L27">
        <v>757700</v>
      </c>
      <c r="M27">
        <v>1050084100</v>
      </c>
      <c r="N27">
        <v>536443600</v>
      </c>
      <c r="O27">
        <v>1586527700</v>
      </c>
      <c r="P27">
        <v>80300</v>
      </c>
      <c r="Q27">
        <v>482554900</v>
      </c>
      <c r="R27">
        <v>482635200</v>
      </c>
      <c r="S27">
        <v>741700</v>
      </c>
      <c r="T27">
        <v>19429500</v>
      </c>
      <c r="U27">
        <v>2533743600</v>
      </c>
      <c r="V27">
        <v>3710631600</v>
      </c>
      <c r="W27">
        <v>150600</v>
      </c>
      <c r="X27">
        <v>2630493500</v>
      </c>
    </row>
    <row r="28" spans="1:24" x14ac:dyDescent="0.3">
      <c r="A28">
        <v>27</v>
      </c>
      <c r="B28">
        <v>65536</v>
      </c>
      <c r="C28">
        <v>6</v>
      </c>
      <c r="D28">
        <v>343</v>
      </c>
      <c r="E28">
        <v>0.8</v>
      </c>
      <c r="F28">
        <v>8</v>
      </c>
      <c r="G28">
        <v>511</v>
      </c>
      <c r="H28">
        <v>1900</v>
      </c>
      <c r="I28">
        <v>1748611200</v>
      </c>
      <c r="J28">
        <v>5254191000</v>
      </c>
      <c r="K28">
        <v>3.00477945011446</v>
      </c>
      <c r="L28">
        <v>378500</v>
      </c>
      <c r="M28">
        <v>1034478500</v>
      </c>
      <c r="N28">
        <v>360488400</v>
      </c>
      <c r="O28">
        <v>1394966900</v>
      </c>
      <c r="P28">
        <v>97400</v>
      </c>
      <c r="Q28">
        <v>258027600</v>
      </c>
      <c r="R28">
        <v>258125000</v>
      </c>
      <c r="S28">
        <v>681800</v>
      </c>
      <c r="T28">
        <v>20850200</v>
      </c>
      <c r="U28">
        <v>1704607400</v>
      </c>
      <c r="V28">
        <v>1938077700</v>
      </c>
      <c r="W28">
        <v>151600</v>
      </c>
      <c r="X28">
        <v>1748611200</v>
      </c>
    </row>
    <row r="29" spans="1:24" x14ac:dyDescent="0.3">
      <c r="A29">
        <v>28</v>
      </c>
      <c r="B29">
        <v>65536</v>
      </c>
      <c r="C29">
        <v>6</v>
      </c>
      <c r="D29">
        <v>343</v>
      </c>
      <c r="E29">
        <v>0.95</v>
      </c>
      <c r="F29">
        <v>8</v>
      </c>
      <c r="G29">
        <v>511</v>
      </c>
      <c r="H29">
        <v>1024</v>
      </c>
      <c r="I29">
        <v>1418578000</v>
      </c>
      <c r="J29">
        <v>3028026400</v>
      </c>
      <c r="K29">
        <v>2.1345505146703201</v>
      </c>
      <c r="L29">
        <v>192100</v>
      </c>
      <c r="M29">
        <v>1038892600</v>
      </c>
      <c r="N29">
        <v>143099200</v>
      </c>
      <c r="O29">
        <v>1181991800</v>
      </c>
      <c r="P29">
        <v>83600</v>
      </c>
      <c r="Q29">
        <v>140692600</v>
      </c>
      <c r="R29">
        <v>140776200</v>
      </c>
      <c r="S29">
        <v>684500</v>
      </c>
      <c r="T29">
        <v>22820800</v>
      </c>
      <c r="U29">
        <v>666993400</v>
      </c>
      <c r="V29">
        <v>1046141600</v>
      </c>
      <c r="W29">
        <v>261700</v>
      </c>
      <c r="X29">
        <v>1418578000</v>
      </c>
    </row>
    <row r="30" spans="1:24" x14ac:dyDescent="0.3">
      <c r="A30">
        <v>29</v>
      </c>
      <c r="B30">
        <v>65536</v>
      </c>
      <c r="C30">
        <v>7</v>
      </c>
      <c r="D30">
        <v>512</v>
      </c>
      <c r="E30">
        <v>0.5</v>
      </c>
      <c r="F30">
        <v>7</v>
      </c>
      <c r="G30">
        <v>255</v>
      </c>
      <c r="H30">
        <v>3376</v>
      </c>
      <c r="I30">
        <v>4084729100</v>
      </c>
      <c r="J30">
        <v>20897960100</v>
      </c>
      <c r="K30">
        <v>5.1161189857119203</v>
      </c>
      <c r="L30">
        <v>580400</v>
      </c>
      <c r="M30">
        <v>1287481500</v>
      </c>
      <c r="N30">
        <v>880894800</v>
      </c>
      <c r="O30">
        <v>2168376300</v>
      </c>
      <c r="P30">
        <v>88100</v>
      </c>
      <c r="Q30">
        <v>1818980600</v>
      </c>
      <c r="R30">
        <v>1819068700</v>
      </c>
      <c r="S30">
        <v>785400</v>
      </c>
      <c r="T30">
        <v>19190300</v>
      </c>
      <c r="U30">
        <v>4681546300</v>
      </c>
      <c r="V30">
        <v>14690852200</v>
      </c>
      <c r="W30">
        <v>149900</v>
      </c>
      <c r="X30">
        <v>4084729100</v>
      </c>
    </row>
    <row r="31" spans="1:24" x14ac:dyDescent="0.3">
      <c r="A31">
        <v>30</v>
      </c>
      <c r="B31">
        <v>65536</v>
      </c>
      <c r="C31">
        <v>7</v>
      </c>
      <c r="D31">
        <v>512</v>
      </c>
      <c r="E31">
        <v>0.2</v>
      </c>
      <c r="F31">
        <v>7</v>
      </c>
      <c r="G31">
        <v>255</v>
      </c>
      <c r="H31">
        <v>15772</v>
      </c>
      <c r="I31">
        <v>10313790100</v>
      </c>
      <c r="J31">
        <v>68930363800</v>
      </c>
      <c r="K31">
        <v>6.6833204022641404</v>
      </c>
      <c r="L31">
        <v>1686500</v>
      </c>
      <c r="M31">
        <v>1257948400</v>
      </c>
      <c r="N31">
        <v>155612500</v>
      </c>
      <c r="O31">
        <v>1413560900</v>
      </c>
      <c r="P31">
        <v>93700</v>
      </c>
      <c r="Q31">
        <v>8513924300</v>
      </c>
      <c r="R31">
        <v>8514018000</v>
      </c>
      <c r="S31">
        <v>673600</v>
      </c>
      <c r="T31">
        <v>11656100</v>
      </c>
      <c r="U31">
        <v>754614800</v>
      </c>
      <c r="V31">
        <v>66309019200</v>
      </c>
      <c r="W31">
        <v>170900</v>
      </c>
      <c r="X31">
        <v>10313790100</v>
      </c>
    </row>
    <row r="32" spans="1:24" x14ac:dyDescent="0.3">
      <c r="A32">
        <v>31</v>
      </c>
      <c r="B32">
        <v>65536</v>
      </c>
      <c r="C32">
        <v>7</v>
      </c>
      <c r="D32">
        <v>512</v>
      </c>
      <c r="E32">
        <v>0.35</v>
      </c>
      <c r="F32">
        <v>7</v>
      </c>
      <c r="G32">
        <v>255</v>
      </c>
      <c r="H32">
        <v>7560</v>
      </c>
      <c r="I32">
        <v>7066422700</v>
      </c>
      <c r="J32">
        <v>43775331900</v>
      </c>
      <c r="K32">
        <v>6.19483630663645</v>
      </c>
      <c r="L32">
        <v>1013300</v>
      </c>
      <c r="M32">
        <v>1259005000</v>
      </c>
      <c r="N32">
        <v>1353692300</v>
      </c>
      <c r="O32">
        <v>2612697300</v>
      </c>
      <c r="P32">
        <v>79300</v>
      </c>
      <c r="Q32">
        <v>4068527400</v>
      </c>
      <c r="R32">
        <v>4068606700</v>
      </c>
      <c r="S32">
        <v>669100</v>
      </c>
      <c r="T32">
        <v>17269600</v>
      </c>
      <c r="U32">
        <v>7378687200</v>
      </c>
      <c r="V32">
        <v>34767806500</v>
      </c>
      <c r="W32">
        <v>230800</v>
      </c>
      <c r="X32">
        <v>7066422700</v>
      </c>
    </row>
    <row r="33" spans="1:24" x14ac:dyDescent="0.3">
      <c r="A33">
        <v>32</v>
      </c>
      <c r="B33">
        <v>65536</v>
      </c>
      <c r="C33">
        <v>7</v>
      </c>
      <c r="D33">
        <v>512</v>
      </c>
      <c r="E33">
        <v>0.5</v>
      </c>
      <c r="F33">
        <v>7</v>
      </c>
      <c r="G33">
        <v>255</v>
      </c>
      <c r="H33">
        <v>3408</v>
      </c>
      <c r="I33">
        <v>4391944200</v>
      </c>
      <c r="J33">
        <v>23037360600</v>
      </c>
      <c r="K33">
        <v>5.2453673250220199</v>
      </c>
      <c r="L33">
        <v>601500</v>
      </c>
      <c r="M33">
        <v>1259237100</v>
      </c>
      <c r="N33">
        <v>915599600</v>
      </c>
      <c r="O33">
        <v>2174836700</v>
      </c>
      <c r="P33">
        <v>99700</v>
      </c>
      <c r="Q33">
        <v>1832675100</v>
      </c>
      <c r="R33">
        <v>1832774800</v>
      </c>
      <c r="S33">
        <v>776000</v>
      </c>
      <c r="T33">
        <v>20866600</v>
      </c>
      <c r="U33">
        <v>5271067900</v>
      </c>
      <c r="V33">
        <v>16031262000</v>
      </c>
      <c r="W33">
        <v>181600</v>
      </c>
      <c r="X33">
        <v>4391944200</v>
      </c>
    </row>
    <row r="34" spans="1:24" x14ac:dyDescent="0.3">
      <c r="A34">
        <v>33</v>
      </c>
      <c r="B34">
        <v>65536</v>
      </c>
      <c r="C34">
        <v>7</v>
      </c>
      <c r="D34">
        <v>512</v>
      </c>
      <c r="E34">
        <v>0.65</v>
      </c>
      <c r="F34">
        <v>7</v>
      </c>
      <c r="G34">
        <v>255</v>
      </c>
      <c r="H34">
        <v>1408</v>
      </c>
      <c r="I34">
        <v>3005824200</v>
      </c>
      <c r="J34">
        <v>11839358400</v>
      </c>
      <c r="K34">
        <v>3.9388060020276598</v>
      </c>
      <c r="L34">
        <v>337900</v>
      </c>
      <c r="M34">
        <v>1258416100</v>
      </c>
      <c r="N34">
        <v>597794900</v>
      </c>
      <c r="O34">
        <v>1856211000</v>
      </c>
      <c r="P34">
        <v>103300</v>
      </c>
      <c r="Q34">
        <v>763035100</v>
      </c>
      <c r="R34">
        <v>763138400</v>
      </c>
      <c r="S34">
        <v>679000</v>
      </c>
      <c r="T34">
        <v>12545500</v>
      </c>
      <c r="U34">
        <v>3328629800</v>
      </c>
      <c r="V34">
        <v>6493981300</v>
      </c>
      <c r="W34">
        <v>264600</v>
      </c>
      <c r="X34">
        <v>3005824200</v>
      </c>
    </row>
    <row r="35" spans="1:24" x14ac:dyDescent="0.3">
      <c r="A35">
        <v>34</v>
      </c>
      <c r="B35">
        <v>65536</v>
      </c>
      <c r="C35">
        <v>7</v>
      </c>
      <c r="D35">
        <v>512</v>
      </c>
      <c r="E35">
        <v>0.8</v>
      </c>
      <c r="F35">
        <v>7</v>
      </c>
      <c r="G35">
        <v>255</v>
      </c>
      <c r="H35">
        <v>984</v>
      </c>
      <c r="I35">
        <v>2771403300</v>
      </c>
      <c r="J35">
        <v>8398416000</v>
      </c>
      <c r="K35">
        <v>3.0303839213874002</v>
      </c>
      <c r="L35">
        <v>230100</v>
      </c>
      <c r="M35">
        <v>1259407500</v>
      </c>
      <c r="N35">
        <v>412570600</v>
      </c>
      <c r="O35">
        <v>1671978100</v>
      </c>
      <c r="P35">
        <v>85800</v>
      </c>
      <c r="Q35">
        <v>535862000</v>
      </c>
      <c r="R35">
        <v>535947800</v>
      </c>
      <c r="S35">
        <v>658300</v>
      </c>
      <c r="T35">
        <v>11792700</v>
      </c>
      <c r="U35">
        <v>2331700800</v>
      </c>
      <c r="V35">
        <v>4446890200</v>
      </c>
      <c r="W35">
        <v>159300</v>
      </c>
      <c r="X35">
        <v>2771403300</v>
      </c>
    </row>
    <row r="36" spans="1:24" x14ac:dyDescent="0.3">
      <c r="A36">
        <v>35</v>
      </c>
      <c r="B36">
        <v>65536</v>
      </c>
      <c r="C36">
        <v>7</v>
      </c>
      <c r="D36">
        <v>512</v>
      </c>
      <c r="E36">
        <v>0.95</v>
      </c>
      <c r="F36">
        <v>7</v>
      </c>
      <c r="G36">
        <v>255</v>
      </c>
      <c r="H36">
        <v>256</v>
      </c>
      <c r="I36">
        <v>1765319300</v>
      </c>
      <c r="J36">
        <v>4373696700</v>
      </c>
      <c r="K36">
        <v>2.4775669194802301</v>
      </c>
      <c r="L36">
        <v>93100</v>
      </c>
      <c r="M36">
        <v>1247382200</v>
      </c>
      <c r="N36">
        <v>280852700</v>
      </c>
      <c r="O36">
        <v>1528234900</v>
      </c>
      <c r="P36">
        <v>46700</v>
      </c>
      <c r="Q36">
        <v>140584700</v>
      </c>
      <c r="R36">
        <v>140631400</v>
      </c>
      <c r="S36">
        <v>683700</v>
      </c>
      <c r="T36">
        <v>11723900</v>
      </c>
      <c r="U36">
        <v>1598117900</v>
      </c>
      <c r="V36">
        <v>1155933200</v>
      </c>
      <c r="W36">
        <v>233500</v>
      </c>
      <c r="X36">
        <v>1765319300</v>
      </c>
    </row>
    <row r="37" spans="1:24" x14ac:dyDescent="0.3">
      <c r="A37">
        <v>36</v>
      </c>
      <c r="B37">
        <v>131072</v>
      </c>
      <c r="C37">
        <v>3</v>
      </c>
      <c r="D37">
        <v>64</v>
      </c>
      <c r="E37">
        <v>0.5</v>
      </c>
      <c r="F37">
        <v>11</v>
      </c>
      <c r="G37">
        <v>4095</v>
      </c>
      <c r="H37">
        <v>82644</v>
      </c>
      <c r="I37">
        <v>1477844300</v>
      </c>
      <c r="J37">
        <v>8914018600</v>
      </c>
      <c r="K37">
        <v>6.0317711412494504</v>
      </c>
      <c r="L37">
        <v>21770900</v>
      </c>
      <c r="M37">
        <v>200284400</v>
      </c>
      <c r="N37">
        <v>494052600</v>
      </c>
      <c r="O37">
        <v>694337000</v>
      </c>
      <c r="P37">
        <v>242300</v>
      </c>
      <c r="Q37">
        <v>697578300</v>
      </c>
      <c r="R37">
        <v>697820600</v>
      </c>
      <c r="S37">
        <v>1439000</v>
      </c>
      <c r="T37">
        <v>41340500</v>
      </c>
      <c r="U37">
        <v>2476137600</v>
      </c>
      <c r="V37">
        <v>5314399500</v>
      </c>
      <c r="W37">
        <v>378600</v>
      </c>
      <c r="X37">
        <v>1477844300</v>
      </c>
    </row>
    <row r="38" spans="1:24" x14ac:dyDescent="0.3">
      <c r="A38">
        <v>37</v>
      </c>
      <c r="B38">
        <v>131072</v>
      </c>
      <c r="C38">
        <v>3</v>
      </c>
      <c r="D38">
        <v>64</v>
      </c>
      <c r="E38">
        <v>0.2</v>
      </c>
      <c r="F38">
        <v>11</v>
      </c>
      <c r="G38">
        <v>4095</v>
      </c>
      <c r="H38">
        <v>915856</v>
      </c>
      <c r="I38">
        <v>10990595400</v>
      </c>
      <c r="J38">
        <v>75656499700</v>
      </c>
      <c r="K38">
        <v>6.8837489641370997</v>
      </c>
      <c r="L38">
        <v>153637800</v>
      </c>
      <c r="M38">
        <v>297509400</v>
      </c>
      <c r="N38">
        <v>2788556600</v>
      </c>
      <c r="O38">
        <v>3086066000</v>
      </c>
      <c r="P38">
        <v>2365700</v>
      </c>
      <c r="Q38">
        <v>7682129200</v>
      </c>
      <c r="R38">
        <v>7684494900</v>
      </c>
      <c r="S38">
        <v>1293000</v>
      </c>
      <c r="T38">
        <v>40698100</v>
      </c>
      <c r="U38">
        <v>15431834400</v>
      </c>
      <c r="V38">
        <v>59363269300</v>
      </c>
      <c r="W38">
        <v>483900</v>
      </c>
      <c r="X38">
        <v>10990595400</v>
      </c>
    </row>
    <row r="39" spans="1:24" x14ac:dyDescent="0.3">
      <c r="A39">
        <v>38</v>
      </c>
      <c r="B39">
        <v>131072</v>
      </c>
      <c r="C39">
        <v>3</v>
      </c>
      <c r="D39">
        <v>64</v>
      </c>
      <c r="E39">
        <v>0.35</v>
      </c>
      <c r="F39">
        <v>11</v>
      </c>
      <c r="G39">
        <v>4095</v>
      </c>
      <c r="H39">
        <v>207824</v>
      </c>
      <c r="I39">
        <v>3526910600</v>
      </c>
      <c r="J39">
        <v>20165138700</v>
      </c>
      <c r="K39">
        <v>5.7175077531026703</v>
      </c>
      <c r="L39">
        <v>43779900</v>
      </c>
      <c r="M39">
        <v>268589300</v>
      </c>
      <c r="N39">
        <v>1119088300</v>
      </c>
      <c r="O39">
        <v>1387677600</v>
      </c>
      <c r="P39">
        <v>618100</v>
      </c>
      <c r="Q39">
        <v>1738183600</v>
      </c>
      <c r="R39">
        <v>1738801700</v>
      </c>
      <c r="S39">
        <v>1240600</v>
      </c>
      <c r="T39">
        <v>36562900</v>
      </c>
      <c r="U39">
        <v>5875486300</v>
      </c>
      <c r="V39">
        <v>13476702600</v>
      </c>
      <c r="W39">
        <v>479300</v>
      </c>
      <c r="X39">
        <v>3526910600</v>
      </c>
    </row>
    <row r="40" spans="1:24" x14ac:dyDescent="0.3">
      <c r="A40">
        <v>39</v>
      </c>
      <c r="B40">
        <v>131072</v>
      </c>
      <c r="C40">
        <v>3</v>
      </c>
      <c r="D40">
        <v>64</v>
      </c>
      <c r="E40">
        <v>0.5</v>
      </c>
      <c r="F40">
        <v>11</v>
      </c>
      <c r="G40">
        <v>4095</v>
      </c>
      <c r="H40">
        <v>82440</v>
      </c>
      <c r="I40">
        <v>1749486200</v>
      </c>
      <c r="J40">
        <v>8971353900</v>
      </c>
      <c r="K40">
        <v>5.1279935217551298</v>
      </c>
      <c r="L40">
        <v>20417400</v>
      </c>
      <c r="M40">
        <v>191493500</v>
      </c>
      <c r="N40">
        <v>492096900</v>
      </c>
      <c r="O40">
        <v>683590400</v>
      </c>
      <c r="P40">
        <v>257800</v>
      </c>
      <c r="Q40">
        <v>693262500</v>
      </c>
      <c r="R40">
        <v>693520300</v>
      </c>
      <c r="S40">
        <v>1335300</v>
      </c>
      <c r="T40">
        <v>43614200</v>
      </c>
      <c r="U40">
        <v>2501656600</v>
      </c>
      <c r="V40">
        <v>5328645800</v>
      </c>
      <c r="W40">
        <v>552300</v>
      </c>
      <c r="X40">
        <v>1749486200</v>
      </c>
    </row>
    <row r="41" spans="1:24" x14ac:dyDescent="0.3">
      <c r="A41">
        <v>40</v>
      </c>
      <c r="B41">
        <v>131072</v>
      </c>
      <c r="C41">
        <v>3</v>
      </c>
      <c r="D41">
        <v>64</v>
      </c>
      <c r="E41">
        <v>0.65</v>
      </c>
      <c r="F41">
        <v>11</v>
      </c>
      <c r="G41">
        <v>4095</v>
      </c>
      <c r="H41">
        <v>29940</v>
      </c>
      <c r="I41">
        <v>813083200</v>
      </c>
      <c r="J41">
        <v>3552387400</v>
      </c>
      <c r="K41">
        <v>4.3690330829612503</v>
      </c>
      <c r="L41">
        <v>5768600</v>
      </c>
      <c r="M41">
        <v>253420700</v>
      </c>
      <c r="N41">
        <v>219113000</v>
      </c>
      <c r="O41">
        <v>472533700</v>
      </c>
      <c r="P41">
        <v>185500</v>
      </c>
      <c r="Q41">
        <v>268876200</v>
      </c>
      <c r="R41">
        <v>269061700</v>
      </c>
      <c r="S41">
        <v>1418900</v>
      </c>
      <c r="T41">
        <v>43364100</v>
      </c>
      <c r="U41">
        <v>983345700</v>
      </c>
      <c r="V41">
        <v>1846033700</v>
      </c>
      <c r="W41">
        <v>526400</v>
      </c>
      <c r="X41">
        <v>813083200</v>
      </c>
    </row>
    <row r="42" spans="1:24" x14ac:dyDescent="0.3">
      <c r="A42">
        <v>41</v>
      </c>
      <c r="B42">
        <v>131072</v>
      </c>
      <c r="C42">
        <v>3</v>
      </c>
      <c r="D42">
        <v>64</v>
      </c>
      <c r="E42">
        <v>0.8</v>
      </c>
      <c r="F42">
        <v>11</v>
      </c>
      <c r="G42">
        <v>4095</v>
      </c>
      <c r="H42">
        <v>14828</v>
      </c>
      <c r="I42">
        <v>569779900</v>
      </c>
      <c r="J42">
        <v>2461696000</v>
      </c>
      <c r="K42">
        <v>4.3204332058747497</v>
      </c>
      <c r="L42">
        <v>3264600</v>
      </c>
      <c r="M42">
        <v>216040600</v>
      </c>
      <c r="N42">
        <v>138395400</v>
      </c>
      <c r="O42">
        <v>354436000</v>
      </c>
      <c r="P42">
        <v>143700</v>
      </c>
      <c r="Q42">
        <v>144545600</v>
      </c>
      <c r="R42">
        <v>144689300</v>
      </c>
      <c r="S42">
        <v>1206400</v>
      </c>
      <c r="T42">
        <v>33344700</v>
      </c>
      <c r="U42">
        <v>577886600</v>
      </c>
      <c r="V42">
        <v>889363800</v>
      </c>
      <c r="W42">
        <v>342100</v>
      </c>
      <c r="X42">
        <v>569779900</v>
      </c>
    </row>
    <row r="43" spans="1:24" x14ac:dyDescent="0.3">
      <c r="A43">
        <v>42</v>
      </c>
      <c r="B43">
        <v>131072</v>
      </c>
      <c r="C43">
        <v>3</v>
      </c>
      <c r="D43">
        <v>64</v>
      </c>
      <c r="E43">
        <v>0.95</v>
      </c>
      <c r="F43">
        <v>11</v>
      </c>
      <c r="G43">
        <v>4095</v>
      </c>
      <c r="H43">
        <v>8192</v>
      </c>
      <c r="I43">
        <v>361351100</v>
      </c>
      <c r="J43">
        <v>1356508000</v>
      </c>
      <c r="K43">
        <v>3.7539888490722699</v>
      </c>
      <c r="L43">
        <v>1248500</v>
      </c>
      <c r="M43">
        <v>145264100</v>
      </c>
      <c r="N43">
        <v>49558300</v>
      </c>
      <c r="O43">
        <v>194822400</v>
      </c>
      <c r="P43">
        <v>107600</v>
      </c>
      <c r="Q43">
        <v>86751400</v>
      </c>
      <c r="R43">
        <v>86859000</v>
      </c>
      <c r="S43">
        <v>1364900</v>
      </c>
      <c r="T43">
        <v>33081700</v>
      </c>
      <c r="U43">
        <v>200249500</v>
      </c>
      <c r="V43">
        <v>492379300</v>
      </c>
      <c r="W43">
        <v>445100</v>
      </c>
      <c r="X43">
        <v>361351100</v>
      </c>
    </row>
    <row r="44" spans="1:24" x14ac:dyDescent="0.3">
      <c r="A44">
        <v>43</v>
      </c>
      <c r="B44">
        <v>131072</v>
      </c>
      <c r="C44">
        <v>4</v>
      </c>
      <c r="D44">
        <v>125</v>
      </c>
      <c r="E44">
        <v>0.5</v>
      </c>
      <c r="F44">
        <v>11</v>
      </c>
      <c r="G44">
        <v>4095</v>
      </c>
      <c r="H44">
        <v>82084</v>
      </c>
      <c r="I44">
        <v>2837250400</v>
      </c>
      <c r="J44">
        <v>15185314500</v>
      </c>
      <c r="K44">
        <v>5.3521234854702904</v>
      </c>
      <c r="L44">
        <v>19360700</v>
      </c>
      <c r="M44">
        <v>515626400</v>
      </c>
      <c r="N44">
        <v>1473527400</v>
      </c>
      <c r="O44">
        <v>1989153800</v>
      </c>
      <c r="P44">
        <v>256100</v>
      </c>
      <c r="Q44">
        <v>718120000</v>
      </c>
      <c r="R44">
        <v>718376100</v>
      </c>
      <c r="S44">
        <v>1225800</v>
      </c>
      <c r="T44">
        <v>43255700</v>
      </c>
      <c r="U44">
        <v>8466056000</v>
      </c>
      <c r="V44">
        <v>4871027200</v>
      </c>
      <c r="W44">
        <v>354600</v>
      </c>
      <c r="X44">
        <v>2837250400</v>
      </c>
    </row>
    <row r="45" spans="1:24" x14ac:dyDescent="0.3">
      <c r="A45">
        <v>44</v>
      </c>
      <c r="B45">
        <v>131072</v>
      </c>
      <c r="C45">
        <v>4</v>
      </c>
      <c r="D45">
        <v>125</v>
      </c>
      <c r="E45">
        <v>0.2</v>
      </c>
      <c r="F45">
        <v>11</v>
      </c>
      <c r="G45">
        <v>4095</v>
      </c>
      <c r="H45">
        <v>916252</v>
      </c>
      <c r="I45">
        <v>18200316200</v>
      </c>
      <c r="J45">
        <v>107758597500</v>
      </c>
      <c r="K45">
        <v>5.9206991964238496</v>
      </c>
      <c r="L45">
        <v>137615200</v>
      </c>
      <c r="M45">
        <v>515912500</v>
      </c>
      <c r="N45">
        <v>8972505300</v>
      </c>
      <c r="O45">
        <v>9488417800</v>
      </c>
      <c r="P45">
        <v>2204700</v>
      </c>
      <c r="Q45">
        <v>8018804800</v>
      </c>
      <c r="R45">
        <v>8021009500</v>
      </c>
      <c r="S45">
        <v>1303600</v>
      </c>
      <c r="T45">
        <v>41979300</v>
      </c>
      <c r="U45">
        <v>51971529500</v>
      </c>
      <c r="V45">
        <v>54165091200</v>
      </c>
      <c r="W45">
        <v>375900</v>
      </c>
      <c r="X45">
        <v>18200316200</v>
      </c>
    </row>
    <row r="46" spans="1:24" x14ac:dyDescent="0.3">
      <c r="A46">
        <v>45</v>
      </c>
      <c r="B46">
        <v>131072</v>
      </c>
      <c r="C46">
        <v>4</v>
      </c>
      <c r="D46">
        <v>125</v>
      </c>
      <c r="E46">
        <v>0.35</v>
      </c>
      <c r="F46">
        <v>11</v>
      </c>
      <c r="G46">
        <v>4095</v>
      </c>
      <c r="H46">
        <v>208808</v>
      </c>
      <c r="I46">
        <v>6323106600</v>
      </c>
      <c r="J46">
        <v>34119287200</v>
      </c>
      <c r="K46">
        <v>5.3959690004277299</v>
      </c>
      <c r="L46">
        <v>45998700</v>
      </c>
      <c r="M46">
        <v>561365000</v>
      </c>
      <c r="N46">
        <v>3506382800</v>
      </c>
      <c r="O46">
        <v>4067747800</v>
      </c>
      <c r="P46">
        <v>591800</v>
      </c>
      <c r="Q46">
        <v>1811921200</v>
      </c>
      <c r="R46">
        <v>1812513000</v>
      </c>
      <c r="S46">
        <v>1213200</v>
      </c>
      <c r="T46">
        <v>39046700</v>
      </c>
      <c r="U46">
        <v>20180683100</v>
      </c>
      <c r="V46">
        <v>12349616700</v>
      </c>
      <c r="W46">
        <v>357700</v>
      </c>
      <c r="X46">
        <v>6323106600</v>
      </c>
    </row>
    <row r="47" spans="1:24" x14ac:dyDescent="0.3">
      <c r="A47">
        <v>46</v>
      </c>
      <c r="B47">
        <v>131072</v>
      </c>
      <c r="C47">
        <v>4</v>
      </c>
      <c r="D47">
        <v>125</v>
      </c>
      <c r="E47">
        <v>0.5</v>
      </c>
      <c r="F47">
        <v>11</v>
      </c>
      <c r="G47">
        <v>4095</v>
      </c>
      <c r="H47">
        <v>81912</v>
      </c>
      <c r="I47">
        <v>3183753400</v>
      </c>
      <c r="J47">
        <v>15301351900</v>
      </c>
      <c r="K47">
        <v>4.8060732027800901</v>
      </c>
      <c r="L47">
        <v>23893600</v>
      </c>
      <c r="M47">
        <v>557278500</v>
      </c>
      <c r="N47">
        <v>1494333500</v>
      </c>
      <c r="O47">
        <v>2051612000</v>
      </c>
      <c r="P47">
        <v>226400</v>
      </c>
      <c r="Q47">
        <v>711148900</v>
      </c>
      <c r="R47">
        <v>711375300</v>
      </c>
      <c r="S47">
        <v>1234500</v>
      </c>
      <c r="T47">
        <v>41194700</v>
      </c>
      <c r="U47">
        <v>8564270000</v>
      </c>
      <c r="V47">
        <v>4847623200</v>
      </c>
      <c r="W47">
        <v>377700</v>
      </c>
      <c r="X47">
        <v>3183753400</v>
      </c>
    </row>
    <row r="48" spans="1:24" x14ac:dyDescent="0.3">
      <c r="A48">
        <v>47</v>
      </c>
      <c r="B48">
        <v>131072</v>
      </c>
      <c r="C48">
        <v>4</v>
      </c>
      <c r="D48">
        <v>125</v>
      </c>
      <c r="E48">
        <v>0.65</v>
      </c>
      <c r="F48">
        <v>11</v>
      </c>
      <c r="G48">
        <v>4095</v>
      </c>
      <c r="H48">
        <v>30432</v>
      </c>
      <c r="I48">
        <v>1954318900</v>
      </c>
      <c r="J48">
        <v>6895263000</v>
      </c>
      <c r="K48">
        <v>3.5282179382290102</v>
      </c>
      <c r="L48">
        <v>5551100</v>
      </c>
      <c r="M48">
        <v>475466500</v>
      </c>
      <c r="N48">
        <v>624124700</v>
      </c>
      <c r="O48">
        <v>1099591200</v>
      </c>
      <c r="P48">
        <v>172800</v>
      </c>
      <c r="Q48">
        <v>265578200</v>
      </c>
      <c r="R48">
        <v>265751000</v>
      </c>
      <c r="S48">
        <v>1278900</v>
      </c>
      <c r="T48">
        <v>40193300</v>
      </c>
      <c r="U48">
        <v>3577474300</v>
      </c>
      <c r="V48">
        <v>1815682200</v>
      </c>
      <c r="W48">
        <v>373800</v>
      </c>
      <c r="X48">
        <v>1954318900</v>
      </c>
    </row>
    <row r="49" spans="1:24" x14ac:dyDescent="0.3">
      <c r="A49">
        <v>48</v>
      </c>
      <c r="B49">
        <v>131072</v>
      </c>
      <c r="C49">
        <v>4</v>
      </c>
      <c r="D49">
        <v>125</v>
      </c>
      <c r="E49">
        <v>0.8</v>
      </c>
      <c r="F49">
        <v>11</v>
      </c>
      <c r="G49">
        <v>4095</v>
      </c>
      <c r="H49">
        <v>14492</v>
      </c>
      <c r="I49">
        <v>1189340000</v>
      </c>
      <c r="J49">
        <v>4864160700</v>
      </c>
      <c r="K49">
        <v>4.08979829148939</v>
      </c>
      <c r="L49">
        <v>3037400</v>
      </c>
      <c r="M49">
        <v>571628200</v>
      </c>
      <c r="N49">
        <v>373684700</v>
      </c>
      <c r="O49">
        <v>945312900</v>
      </c>
      <c r="P49">
        <v>141800</v>
      </c>
      <c r="Q49">
        <v>129568800</v>
      </c>
      <c r="R49">
        <v>129710600</v>
      </c>
      <c r="S49">
        <v>1259100</v>
      </c>
      <c r="T49">
        <v>42533100</v>
      </c>
      <c r="U49">
        <v>2112691900</v>
      </c>
      <c r="V49">
        <v>867341100</v>
      </c>
      <c r="W49">
        <v>397000</v>
      </c>
      <c r="X49">
        <v>1189340000</v>
      </c>
    </row>
    <row r="50" spans="1:24" x14ac:dyDescent="0.3">
      <c r="A50">
        <v>49</v>
      </c>
      <c r="B50">
        <v>131072</v>
      </c>
      <c r="C50">
        <v>4</v>
      </c>
      <c r="D50">
        <v>125</v>
      </c>
      <c r="E50">
        <v>0.95</v>
      </c>
      <c r="F50">
        <v>11</v>
      </c>
      <c r="G50">
        <v>4095</v>
      </c>
      <c r="H50">
        <v>8192</v>
      </c>
      <c r="I50">
        <v>737458000</v>
      </c>
      <c r="J50">
        <v>2788910000</v>
      </c>
      <c r="K50">
        <v>3.7817882509919198</v>
      </c>
      <c r="L50">
        <v>1374300</v>
      </c>
      <c r="M50">
        <v>415965500</v>
      </c>
      <c r="N50">
        <v>132364900</v>
      </c>
      <c r="O50">
        <v>548330400</v>
      </c>
      <c r="P50">
        <v>145300</v>
      </c>
      <c r="Q50">
        <v>73420100</v>
      </c>
      <c r="R50">
        <v>73565400</v>
      </c>
      <c r="S50">
        <v>1348800</v>
      </c>
      <c r="T50">
        <v>42914000</v>
      </c>
      <c r="U50">
        <v>731852000</v>
      </c>
      <c r="V50">
        <v>490323800</v>
      </c>
      <c r="W50">
        <v>354600</v>
      </c>
      <c r="X50">
        <v>737458000</v>
      </c>
    </row>
    <row r="51" spans="1:24" x14ac:dyDescent="0.3">
      <c r="A51">
        <v>50</v>
      </c>
      <c r="B51">
        <v>131072</v>
      </c>
      <c r="C51">
        <v>5</v>
      </c>
      <c r="D51">
        <v>216</v>
      </c>
      <c r="E51">
        <v>0.5</v>
      </c>
      <c r="F51">
        <v>10</v>
      </c>
      <c r="G51">
        <v>2047</v>
      </c>
      <c r="H51">
        <v>34572</v>
      </c>
      <c r="I51">
        <v>4804534500</v>
      </c>
      <c r="J51">
        <v>23378717300</v>
      </c>
      <c r="K51">
        <v>4.8659692838088597</v>
      </c>
      <c r="L51">
        <v>6384700</v>
      </c>
      <c r="M51">
        <v>873008100</v>
      </c>
      <c r="N51">
        <v>2622310100</v>
      </c>
      <c r="O51">
        <v>3495318200</v>
      </c>
      <c r="P51">
        <v>136000</v>
      </c>
      <c r="Q51">
        <v>1155346600</v>
      </c>
      <c r="R51">
        <v>1155482600</v>
      </c>
      <c r="S51">
        <v>1219200</v>
      </c>
      <c r="T51">
        <v>41283000</v>
      </c>
      <c r="U51">
        <v>12515648500</v>
      </c>
      <c r="V51">
        <v>8416963100</v>
      </c>
      <c r="W51">
        <v>416400</v>
      </c>
      <c r="X51">
        <v>4804534500</v>
      </c>
    </row>
    <row r="52" spans="1:24" x14ac:dyDescent="0.3">
      <c r="A52">
        <v>51</v>
      </c>
      <c r="B52">
        <v>131072</v>
      </c>
      <c r="C52">
        <v>5</v>
      </c>
      <c r="D52">
        <v>216</v>
      </c>
      <c r="E52">
        <v>0.2</v>
      </c>
      <c r="F52">
        <v>10</v>
      </c>
      <c r="G52">
        <v>2047</v>
      </c>
      <c r="H52">
        <v>330512</v>
      </c>
      <c r="I52">
        <v>27599242800</v>
      </c>
      <c r="J52">
        <v>154514764100</v>
      </c>
      <c r="K52">
        <v>5.59851461214725</v>
      </c>
      <c r="L52">
        <v>54195800</v>
      </c>
      <c r="M52">
        <v>928231000</v>
      </c>
      <c r="N52">
        <v>15099810100</v>
      </c>
      <c r="O52">
        <v>16028041100</v>
      </c>
      <c r="P52">
        <v>904500</v>
      </c>
      <c r="Q52">
        <v>11075683300</v>
      </c>
      <c r="R52">
        <v>11076587800</v>
      </c>
      <c r="S52">
        <v>1206000</v>
      </c>
      <c r="T52">
        <v>39730400</v>
      </c>
      <c r="U52">
        <v>71901317200</v>
      </c>
      <c r="V52">
        <v>80472181500</v>
      </c>
      <c r="W52">
        <v>402300</v>
      </c>
      <c r="X52">
        <v>27599242800</v>
      </c>
    </row>
    <row r="53" spans="1:24" x14ac:dyDescent="0.3">
      <c r="A53">
        <v>52</v>
      </c>
      <c r="B53">
        <v>131072</v>
      </c>
      <c r="C53">
        <v>5</v>
      </c>
      <c r="D53">
        <v>216</v>
      </c>
      <c r="E53">
        <v>0.35</v>
      </c>
      <c r="F53">
        <v>10</v>
      </c>
      <c r="G53">
        <v>2047</v>
      </c>
      <c r="H53">
        <v>89900</v>
      </c>
      <c r="I53">
        <v>10483691200</v>
      </c>
      <c r="J53">
        <v>53764752400</v>
      </c>
      <c r="K53">
        <v>5.1284181663038604</v>
      </c>
      <c r="L53">
        <v>23604200</v>
      </c>
      <c r="M53">
        <v>857289500</v>
      </c>
      <c r="N53">
        <v>6168646200</v>
      </c>
      <c r="O53">
        <v>7025935700</v>
      </c>
      <c r="P53">
        <v>174900</v>
      </c>
      <c r="Q53">
        <v>3000289700</v>
      </c>
      <c r="R53">
        <v>3000464600</v>
      </c>
      <c r="S53">
        <v>1216600</v>
      </c>
      <c r="T53">
        <v>39017900</v>
      </c>
      <c r="U53">
        <v>29389128500</v>
      </c>
      <c r="V53">
        <v>21893062300</v>
      </c>
      <c r="W53">
        <v>350500</v>
      </c>
      <c r="X53">
        <v>10483691200</v>
      </c>
    </row>
    <row r="54" spans="1:24" x14ac:dyDescent="0.3">
      <c r="A54">
        <v>53</v>
      </c>
      <c r="B54">
        <v>131072</v>
      </c>
      <c r="C54">
        <v>5</v>
      </c>
      <c r="D54">
        <v>216</v>
      </c>
      <c r="E54">
        <v>0.5</v>
      </c>
      <c r="F54">
        <v>10</v>
      </c>
      <c r="G54">
        <v>2047</v>
      </c>
      <c r="H54">
        <v>34612</v>
      </c>
      <c r="I54">
        <v>5077706900</v>
      </c>
      <c r="J54">
        <v>22991043000</v>
      </c>
      <c r="K54">
        <v>4.5278397222966902</v>
      </c>
      <c r="L54">
        <v>6208800</v>
      </c>
      <c r="M54">
        <v>853417400</v>
      </c>
      <c r="N54">
        <v>2627045600</v>
      </c>
      <c r="O54">
        <v>3480463000</v>
      </c>
      <c r="P54">
        <v>122600</v>
      </c>
      <c r="Q54">
        <v>1156743500</v>
      </c>
      <c r="R54">
        <v>1156866100</v>
      </c>
      <c r="S54">
        <v>1357400</v>
      </c>
      <c r="T54">
        <v>38343500</v>
      </c>
      <c r="U54">
        <v>12487800600</v>
      </c>
      <c r="V54">
        <v>8437678700</v>
      </c>
      <c r="W54">
        <v>353100</v>
      </c>
      <c r="X54">
        <v>5077706900</v>
      </c>
    </row>
    <row r="55" spans="1:24" x14ac:dyDescent="0.3">
      <c r="A55">
        <v>54</v>
      </c>
      <c r="B55">
        <v>131072</v>
      </c>
      <c r="C55">
        <v>5</v>
      </c>
      <c r="D55">
        <v>216</v>
      </c>
      <c r="E55">
        <v>0.65</v>
      </c>
      <c r="F55">
        <v>10</v>
      </c>
      <c r="G55">
        <v>2047</v>
      </c>
      <c r="H55">
        <v>12284</v>
      </c>
      <c r="I55">
        <v>2951655500</v>
      </c>
      <c r="J55">
        <v>11294684200</v>
      </c>
      <c r="K55">
        <v>3.8265590953957802</v>
      </c>
      <c r="L55">
        <v>2602200</v>
      </c>
      <c r="M55">
        <v>869029200</v>
      </c>
      <c r="N55">
        <v>1231146600</v>
      </c>
      <c r="O55">
        <v>2100175800</v>
      </c>
      <c r="P55">
        <v>88200</v>
      </c>
      <c r="Q55">
        <v>414458400</v>
      </c>
      <c r="R55">
        <v>414546600</v>
      </c>
      <c r="S55">
        <v>1235200</v>
      </c>
      <c r="T55">
        <v>37981300</v>
      </c>
      <c r="U55">
        <v>5882379400</v>
      </c>
      <c r="V55">
        <v>3007185100</v>
      </c>
      <c r="W55">
        <v>364300</v>
      </c>
      <c r="X55">
        <v>2951655500</v>
      </c>
    </row>
    <row r="56" spans="1:24" x14ac:dyDescent="0.3">
      <c r="A56">
        <v>55</v>
      </c>
      <c r="B56">
        <v>131072</v>
      </c>
      <c r="C56">
        <v>5</v>
      </c>
      <c r="D56">
        <v>216</v>
      </c>
      <c r="E56">
        <v>0.8</v>
      </c>
      <c r="F56">
        <v>10</v>
      </c>
      <c r="G56">
        <v>2047</v>
      </c>
      <c r="H56">
        <v>7312</v>
      </c>
      <c r="I56">
        <v>2413343800</v>
      </c>
      <c r="J56">
        <v>7345559800</v>
      </c>
      <c r="K56">
        <v>3.0437270479241199</v>
      </c>
      <c r="L56">
        <v>1588800</v>
      </c>
      <c r="M56">
        <v>856208800</v>
      </c>
      <c r="N56">
        <v>709327100</v>
      </c>
      <c r="O56">
        <v>1565535900</v>
      </c>
      <c r="P56">
        <v>77700</v>
      </c>
      <c r="Q56">
        <v>248353300</v>
      </c>
      <c r="R56">
        <v>248431000</v>
      </c>
      <c r="S56">
        <v>1255100</v>
      </c>
      <c r="T56">
        <v>38545700</v>
      </c>
      <c r="U56">
        <v>3411934600</v>
      </c>
      <c r="V56">
        <v>1796631200</v>
      </c>
      <c r="W56">
        <v>358300</v>
      </c>
      <c r="X56">
        <v>2413343800</v>
      </c>
    </row>
    <row r="57" spans="1:24" x14ac:dyDescent="0.3">
      <c r="A57">
        <v>56</v>
      </c>
      <c r="B57">
        <v>131072</v>
      </c>
      <c r="C57">
        <v>5</v>
      </c>
      <c r="D57">
        <v>216</v>
      </c>
      <c r="E57">
        <v>0.95</v>
      </c>
      <c r="F57">
        <v>10</v>
      </c>
      <c r="G57">
        <v>2047</v>
      </c>
      <c r="H57">
        <v>2048</v>
      </c>
      <c r="I57">
        <v>1559006600</v>
      </c>
      <c r="J57">
        <v>5110210700</v>
      </c>
      <c r="K57">
        <v>3.2778634163575702</v>
      </c>
      <c r="L57">
        <v>770800</v>
      </c>
      <c r="M57">
        <v>893148700</v>
      </c>
      <c r="N57">
        <v>444122500</v>
      </c>
      <c r="O57">
        <v>1337271200</v>
      </c>
      <c r="P57">
        <v>80800</v>
      </c>
      <c r="Q57">
        <v>72673700</v>
      </c>
      <c r="R57">
        <v>72754500</v>
      </c>
      <c r="S57">
        <v>1219500</v>
      </c>
      <c r="T57">
        <v>42620000</v>
      </c>
      <c r="U57">
        <v>2158571600</v>
      </c>
      <c r="V57">
        <v>509379800</v>
      </c>
      <c r="W57">
        <v>380400</v>
      </c>
      <c r="X57">
        <v>1559006600</v>
      </c>
    </row>
    <row r="58" spans="1:24" x14ac:dyDescent="0.3">
      <c r="A58">
        <v>57</v>
      </c>
      <c r="B58">
        <v>131072</v>
      </c>
      <c r="C58">
        <v>6</v>
      </c>
      <c r="D58">
        <v>343</v>
      </c>
      <c r="E58">
        <v>0.5</v>
      </c>
      <c r="F58">
        <v>9</v>
      </c>
      <c r="G58">
        <v>1023</v>
      </c>
      <c r="H58">
        <v>19036</v>
      </c>
      <c r="I58">
        <v>7267676100</v>
      </c>
      <c r="J58">
        <v>34593449700</v>
      </c>
      <c r="K58">
        <v>4.7599052604999796</v>
      </c>
      <c r="L58">
        <v>3011000</v>
      </c>
      <c r="M58">
        <v>1914616000</v>
      </c>
      <c r="N58">
        <v>2617704100</v>
      </c>
      <c r="O58">
        <v>4532320100</v>
      </c>
      <c r="P58">
        <v>109700</v>
      </c>
      <c r="Q58">
        <v>2543639300</v>
      </c>
      <c r="R58">
        <v>2543749000</v>
      </c>
      <c r="S58">
        <v>1341300</v>
      </c>
      <c r="T58">
        <v>31507200</v>
      </c>
      <c r="U58">
        <v>12460070900</v>
      </c>
      <c r="V58">
        <v>19501864500</v>
      </c>
      <c r="W58">
        <v>512100</v>
      </c>
      <c r="X58">
        <v>7267676100</v>
      </c>
    </row>
    <row r="59" spans="1:24" x14ac:dyDescent="0.3">
      <c r="A59">
        <v>58</v>
      </c>
      <c r="B59">
        <v>131072</v>
      </c>
      <c r="C59">
        <v>6</v>
      </c>
      <c r="D59">
        <v>343</v>
      </c>
      <c r="E59">
        <v>0.2</v>
      </c>
      <c r="F59">
        <v>9</v>
      </c>
      <c r="G59">
        <v>1023</v>
      </c>
      <c r="H59">
        <v>163936</v>
      </c>
      <c r="I59">
        <v>31370753300</v>
      </c>
      <c r="J59">
        <v>204000014100</v>
      </c>
      <c r="K59">
        <v>6.5028726645209298</v>
      </c>
      <c r="L59">
        <v>19663500</v>
      </c>
      <c r="M59">
        <v>1887447300</v>
      </c>
      <c r="N59">
        <v>6938795100</v>
      </c>
      <c r="O59">
        <v>8826242400</v>
      </c>
      <c r="P59">
        <v>476400</v>
      </c>
      <c r="Q59">
        <v>22047670000</v>
      </c>
      <c r="R59">
        <v>22048146400</v>
      </c>
      <c r="S59">
        <v>1219800</v>
      </c>
      <c r="T59">
        <v>36088600</v>
      </c>
      <c r="U59">
        <v>32785261000</v>
      </c>
      <c r="V59">
        <v>168252160800</v>
      </c>
      <c r="W59">
        <v>368400</v>
      </c>
      <c r="X59">
        <v>31370753300</v>
      </c>
    </row>
    <row r="60" spans="1:24" x14ac:dyDescent="0.3">
      <c r="A60">
        <v>59</v>
      </c>
      <c r="B60">
        <v>131072</v>
      </c>
      <c r="C60">
        <v>6</v>
      </c>
      <c r="D60">
        <v>343</v>
      </c>
      <c r="E60">
        <v>0.35</v>
      </c>
      <c r="F60">
        <v>9</v>
      </c>
      <c r="G60">
        <v>1023</v>
      </c>
      <c r="H60">
        <v>49568</v>
      </c>
      <c r="I60">
        <v>13611624000</v>
      </c>
      <c r="J60">
        <v>75245845900</v>
      </c>
      <c r="K60">
        <v>5.5280579231398104</v>
      </c>
      <c r="L60">
        <v>6897100</v>
      </c>
      <c r="M60">
        <v>1892882400</v>
      </c>
      <c r="N60">
        <v>4578434300</v>
      </c>
      <c r="O60">
        <v>6471316700</v>
      </c>
      <c r="P60">
        <v>139900</v>
      </c>
      <c r="Q60">
        <v>6655927900</v>
      </c>
      <c r="R60">
        <v>6656067800</v>
      </c>
      <c r="S60">
        <v>1267800</v>
      </c>
      <c r="T60">
        <v>34048100</v>
      </c>
      <c r="U60">
        <v>21689092300</v>
      </c>
      <c r="V60">
        <v>50957678300</v>
      </c>
      <c r="W60">
        <v>360500</v>
      </c>
      <c r="X60">
        <v>13611624000</v>
      </c>
    </row>
    <row r="61" spans="1:24" x14ac:dyDescent="0.3">
      <c r="A61">
        <v>60</v>
      </c>
      <c r="B61">
        <v>131072</v>
      </c>
      <c r="C61">
        <v>6</v>
      </c>
      <c r="D61">
        <v>343</v>
      </c>
      <c r="E61">
        <v>0.5</v>
      </c>
      <c r="F61">
        <v>9</v>
      </c>
      <c r="G61">
        <v>1023</v>
      </c>
      <c r="H61">
        <v>19196</v>
      </c>
      <c r="I61">
        <v>7667811500</v>
      </c>
      <c r="J61">
        <v>36141161000</v>
      </c>
      <c r="K61">
        <v>4.7133606505585002</v>
      </c>
      <c r="L61">
        <v>3707400</v>
      </c>
      <c r="M61">
        <v>1895270500</v>
      </c>
      <c r="N61">
        <v>2734682900</v>
      </c>
      <c r="O61">
        <v>4629953400</v>
      </c>
      <c r="P61">
        <v>81700</v>
      </c>
      <c r="Q61">
        <v>2558677600</v>
      </c>
      <c r="R61">
        <v>2558759300</v>
      </c>
      <c r="S61">
        <v>1211000</v>
      </c>
      <c r="T61">
        <v>34428600</v>
      </c>
      <c r="U61">
        <v>12987809800</v>
      </c>
      <c r="V61">
        <v>20213846300</v>
      </c>
      <c r="W61">
        <v>390200</v>
      </c>
      <c r="X61">
        <v>7667811500</v>
      </c>
    </row>
    <row r="62" spans="1:24" x14ac:dyDescent="0.3">
      <c r="A62">
        <v>61</v>
      </c>
      <c r="B62">
        <v>131072</v>
      </c>
      <c r="C62">
        <v>6</v>
      </c>
      <c r="D62">
        <v>343</v>
      </c>
      <c r="E62">
        <v>0.65</v>
      </c>
      <c r="F62">
        <v>9</v>
      </c>
      <c r="G62">
        <v>1023</v>
      </c>
      <c r="H62">
        <v>8560</v>
      </c>
      <c r="I62">
        <v>4633157100</v>
      </c>
      <c r="J62">
        <v>16682254600</v>
      </c>
      <c r="K62">
        <v>3.6006235575305601</v>
      </c>
      <c r="L62">
        <v>1416600</v>
      </c>
      <c r="M62">
        <v>1893202400</v>
      </c>
      <c r="N62">
        <v>1111641600</v>
      </c>
      <c r="O62">
        <v>3004844000</v>
      </c>
      <c r="P62">
        <v>66300</v>
      </c>
      <c r="Q62">
        <v>1145252900</v>
      </c>
      <c r="R62">
        <v>1145319200</v>
      </c>
      <c r="S62">
        <v>1310200</v>
      </c>
      <c r="T62">
        <v>34698400</v>
      </c>
      <c r="U62">
        <v>5265258700</v>
      </c>
      <c r="V62">
        <v>8770920700</v>
      </c>
      <c r="W62">
        <v>393600</v>
      </c>
      <c r="X62">
        <v>4633157100</v>
      </c>
    </row>
    <row r="63" spans="1:24" x14ac:dyDescent="0.3">
      <c r="A63">
        <v>62</v>
      </c>
      <c r="B63">
        <v>131072</v>
      </c>
      <c r="C63">
        <v>6</v>
      </c>
      <c r="D63">
        <v>343</v>
      </c>
      <c r="E63">
        <v>0.8</v>
      </c>
      <c r="F63">
        <v>9</v>
      </c>
      <c r="G63">
        <v>1023</v>
      </c>
      <c r="H63">
        <v>4580</v>
      </c>
      <c r="I63">
        <v>3665665300</v>
      </c>
      <c r="J63">
        <v>10817799500</v>
      </c>
      <c r="K63">
        <v>2.9511149040257401</v>
      </c>
      <c r="L63">
        <v>865200</v>
      </c>
      <c r="M63">
        <v>1898664800</v>
      </c>
      <c r="N63">
        <v>675072300</v>
      </c>
      <c r="O63">
        <v>2573737100</v>
      </c>
      <c r="P63">
        <v>75000</v>
      </c>
      <c r="Q63">
        <v>615891900</v>
      </c>
      <c r="R63">
        <v>615966900</v>
      </c>
      <c r="S63">
        <v>1247300</v>
      </c>
      <c r="T63">
        <v>34415900</v>
      </c>
      <c r="U63">
        <v>3198999100</v>
      </c>
      <c r="V63">
        <v>4700094100</v>
      </c>
      <c r="W63">
        <v>454000</v>
      </c>
      <c r="X63">
        <v>3665665300</v>
      </c>
    </row>
    <row r="64" spans="1:24" x14ac:dyDescent="0.3">
      <c r="A64">
        <v>63</v>
      </c>
      <c r="B64">
        <v>131072</v>
      </c>
      <c r="C64">
        <v>6</v>
      </c>
      <c r="D64">
        <v>343</v>
      </c>
      <c r="E64">
        <v>0.95</v>
      </c>
      <c r="F64">
        <v>9</v>
      </c>
      <c r="G64">
        <v>1023</v>
      </c>
      <c r="H64">
        <v>3072</v>
      </c>
      <c r="I64">
        <v>3199419100</v>
      </c>
      <c r="J64">
        <v>6990079400</v>
      </c>
      <c r="K64">
        <v>2.1847964213253501</v>
      </c>
      <c r="L64">
        <v>525800</v>
      </c>
      <c r="M64">
        <v>1899770800</v>
      </c>
      <c r="N64">
        <v>240194900</v>
      </c>
      <c r="O64">
        <v>2139965700</v>
      </c>
      <c r="P64">
        <v>71500</v>
      </c>
      <c r="Q64">
        <v>416639400</v>
      </c>
      <c r="R64">
        <v>416710900</v>
      </c>
      <c r="S64">
        <v>1224300</v>
      </c>
      <c r="T64">
        <v>31016700</v>
      </c>
      <c r="U64">
        <v>1212581800</v>
      </c>
      <c r="V64">
        <v>3159171700</v>
      </c>
      <c r="W64">
        <v>384200</v>
      </c>
      <c r="X64">
        <v>3199419100</v>
      </c>
    </row>
    <row r="65" spans="1:24" x14ac:dyDescent="0.3">
      <c r="A65">
        <v>64</v>
      </c>
      <c r="B65">
        <v>131072</v>
      </c>
      <c r="C65">
        <v>7</v>
      </c>
      <c r="D65">
        <v>512</v>
      </c>
      <c r="E65">
        <v>0.5</v>
      </c>
      <c r="F65">
        <v>8</v>
      </c>
      <c r="G65">
        <v>511</v>
      </c>
      <c r="H65">
        <v>9180</v>
      </c>
      <c r="I65">
        <v>9379349000</v>
      </c>
      <c r="J65">
        <v>52529358900</v>
      </c>
      <c r="K65">
        <v>5.6005335658156996</v>
      </c>
      <c r="L65">
        <v>1416400</v>
      </c>
      <c r="M65">
        <v>2351262100</v>
      </c>
      <c r="N65">
        <v>1923214700</v>
      </c>
      <c r="O65">
        <v>4274476800</v>
      </c>
      <c r="P65">
        <v>67800</v>
      </c>
      <c r="Q65">
        <v>4911626400</v>
      </c>
      <c r="R65">
        <v>4911694200</v>
      </c>
      <c r="S65">
        <v>1225800</v>
      </c>
      <c r="T65">
        <v>28965400</v>
      </c>
      <c r="U65">
        <v>10219757500</v>
      </c>
      <c r="V65">
        <v>38914187100</v>
      </c>
      <c r="W65">
        <v>406300</v>
      </c>
      <c r="X65">
        <v>9379349000</v>
      </c>
    </row>
    <row r="66" spans="1:24" x14ac:dyDescent="0.3">
      <c r="A66">
        <v>65</v>
      </c>
      <c r="B66">
        <v>131072</v>
      </c>
      <c r="C66">
        <v>7</v>
      </c>
      <c r="D66">
        <v>512</v>
      </c>
      <c r="E66">
        <v>0.2</v>
      </c>
      <c r="F66">
        <v>8</v>
      </c>
      <c r="G66">
        <v>511</v>
      </c>
      <c r="H66">
        <v>56252</v>
      </c>
      <c r="I66">
        <v>34654215400</v>
      </c>
      <c r="J66">
        <v>251093297000</v>
      </c>
      <c r="K66">
        <v>7.2456783136403002</v>
      </c>
      <c r="L66">
        <v>6421100</v>
      </c>
      <c r="M66">
        <v>2274789400</v>
      </c>
      <c r="N66">
        <v>1592492100</v>
      </c>
      <c r="O66">
        <v>3867281500</v>
      </c>
      <c r="P66">
        <v>147100</v>
      </c>
      <c r="Q66">
        <v>30298804000</v>
      </c>
      <c r="R66">
        <v>30298951100</v>
      </c>
      <c r="S66">
        <v>1319200</v>
      </c>
      <c r="T66">
        <v>30392000</v>
      </c>
      <c r="U66">
        <v>8444070100</v>
      </c>
      <c r="V66">
        <v>239600197500</v>
      </c>
      <c r="W66">
        <v>380900</v>
      </c>
      <c r="X66">
        <v>34654215400</v>
      </c>
    </row>
    <row r="67" spans="1:24" x14ac:dyDescent="0.3">
      <c r="A67">
        <v>66</v>
      </c>
      <c r="B67">
        <v>131072</v>
      </c>
      <c r="C67">
        <v>7</v>
      </c>
      <c r="D67">
        <v>512</v>
      </c>
      <c r="E67">
        <v>0.35</v>
      </c>
      <c r="F67">
        <v>8</v>
      </c>
      <c r="G67">
        <v>511</v>
      </c>
      <c r="H67">
        <v>19436</v>
      </c>
      <c r="I67">
        <v>16826019400</v>
      </c>
      <c r="J67">
        <v>105396174000</v>
      </c>
      <c r="K67">
        <v>6.2638804517246598</v>
      </c>
      <c r="L67">
        <v>3146900</v>
      </c>
      <c r="M67">
        <v>2273088700</v>
      </c>
      <c r="N67">
        <v>3625088900</v>
      </c>
      <c r="O67">
        <v>5898177600</v>
      </c>
      <c r="P67">
        <v>97200</v>
      </c>
      <c r="Q67">
        <v>10445267900</v>
      </c>
      <c r="R67">
        <v>10445365100</v>
      </c>
      <c r="S67">
        <v>1213300</v>
      </c>
      <c r="T67">
        <v>29665500</v>
      </c>
      <c r="U67">
        <v>19340574200</v>
      </c>
      <c r="V67">
        <v>82681974100</v>
      </c>
      <c r="W67">
        <v>381100</v>
      </c>
      <c r="X67">
        <v>16826019400</v>
      </c>
    </row>
    <row r="68" spans="1:24" x14ac:dyDescent="0.3">
      <c r="A68">
        <v>67</v>
      </c>
      <c r="B68">
        <v>131072</v>
      </c>
      <c r="C68">
        <v>7</v>
      </c>
      <c r="D68">
        <v>512</v>
      </c>
      <c r="E68">
        <v>0.5</v>
      </c>
      <c r="F68">
        <v>8</v>
      </c>
      <c r="G68">
        <v>511</v>
      </c>
      <c r="H68">
        <v>9288</v>
      </c>
      <c r="I68">
        <v>9537675700</v>
      </c>
      <c r="J68">
        <v>52202323000</v>
      </c>
      <c r="K68">
        <v>5.4732751083159599</v>
      </c>
      <c r="L68">
        <v>1341300</v>
      </c>
      <c r="M68">
        <v>2277208600</v>
      </c>
      <c r="N68">
        <v>1808064600</v>
      </c>
      <c r="O68">
        <v>4085273200</v>
      </c>
      <c r="P68">
        <v>81500</v>
      </c>
      <c r="Q68">
        <v>4977167500</v>
      </c>
      <c r="R68">
        <v>4977249000</v>
      </c>
      <c r="S68">
        <v>1209500</v>
      </c>
      <c r="T68">
        <v>30594000</v>
      </c>
      <c r="U68">
        <v>9648527400</v>
      </c>
      <c r="V68">
        <v>39466913200</v>
      </c>
      <c r="W68">
        <v>496000</v>
      </c>
      <c r="X68">
        <v>9537675700</v>
      </c>
    </row>
    <row r="69" spans="1:24" x14ac:dyDescent="0.3">
      <c r="A69">
        <v>68</v>
      </c>
      <c r="B69">
        <v>131072</v>
      </c>
      <c r="C69">
        <v>7</v>
      </c>
      <c r="D69">
        <v>512</v>
      </c>
      <c r="E69">
        <v>0.65</v>
      </c>
      <c r="F69">
        <v>8</v>
      </c>
      <c r="G69">
        <v>511</v>
      </c>
      <c r="H69">
        <v>3624</v>
      </c>
      <c r="I69">
        <v>5713229900</v>
      </c>
      <c r="J69">
        <v>24143746300</v>
      </c>
      <c r="K69">
        <v>4.2259364182071497</v>
      </c>
      <c r="L69">
        <v>848300</v>
      </c>
      <c r="M69">
        <v>2279018900</v>
      </c>
      <c r="N69">
        <v>1012107100</v>
      </c>
      <c r="O69">
        <v>3291126000</v>
      </c>
      <c r="P69">
        <v>85900</v>
      </c>
      <c r="Q69">
        <v>1943098800</v>
      </c>
      <c r="R69">
        <v>1943184700</v>
      </c>
      <c r="S69">
        <v>1236600</v>
      </c>
      <c r="T69">
        <v>32037800</v>
      </c>
      <c r="U69">
        <v>5386310400</v>
      </c>
      <c r="V69">
        <v>15379323400</v>
      </c>
      <c r="W69">
        <v>413300</v>
      </c>
      <c r="X69">
        <v>5713229900</v>
      </c>
    </row>
    <row r="70" spans="1:24" x14ac:dyDescent="0.3">
      <c r="A70">
        <v>69</v>
      </c>
      <c r="B70">
        <v>131072</v>
      </c>
      <c r="C70">
        <v>7</v>
      </c>
      <c r="D70">
        <v>512</v>
      </c>
      <c r="E70">
        <v>0.8</v>
      </c>
      <c r="F70">
        <v>8</v>
      </c>
      <c r="G70">
        <v>511</v>
      </c>
      <c r="H70">
        <v>1876</v>
      </c>
      <c r="I70">
        <v>4506064500</v>
      </c>
      <c r="J70">
        <v>14933336400</v>
      </c>
      <c r="K70">
        <v>3.3140529612924898</v>
      </c>
      <c r="L70">
        <v>623800</v>
      </c>
      <c r="M70">
        <v>2276124800</v>
      </c>
      <c r="N70">
        <v>738512500</v>
      </c>
      <c r="O70">
        <v>3014637300</v>
      </c>
      <c r="P70">
        <v>83100</v>
      </c>
      <c r="Q70">
        <v>1010080800</v>
      </c>
      <c r="R70">
        <v>1010163900</v>
      </c>
      <c r="S70">
        <v>1330500</v>
      </c>
      <c r="T70">
        <v>32241900</v>
      </c>
      <c r="U70">
        <v>3923554900</v>
      </c>
      <c r="V70">
        <v>7942764100</v>
      </c>
      <c r="W70">
        <v>400700</v>
      </c>
      <c r="X70">
        <v>4506064500</v>
      </c>
    </row>
    <row r="71" spans="1:24" x14ac:dyDescent="0.3">
      <c r="A71">
        <v>70</v>
      </c>
      <c r="B71">
        <v>131072</v>
      </c>
      <c r="C71">
        <v>7</v>
      </c>
      <c r="D71">
        <v>512</v>
      </c>
      <c r="E71">
        <v>0.95</v>
      </c>
      <c r="F71">
        <v>8</v>
      </c>
      <c r="G71">
        <v>511</v>
      </c>
      <c r="H71">
        <v>1024</v>
      </c>
      <c r="I71">
        <v>3761382700</v>
      </c>
      <c r="J71">
        <v>9220555400</v>
      </c>
      <c r="K71">
        <v>2.4513739056650601</v>
      </c>
      <c r="L71">
        <v>158900</v>
      </c>
      <c r="M71">
        <v>2279502200</v>
      </c>
      <c r="N71">
        <v>277418800</v>
      </c>
      <c r="O71">
        <v>2556921000</v>
      </c>
      <c r="P71">
        <v>76800</v>
      </c>
      <c r="Q71">
        <v>557510100</v>
      </c>
      <c r="R71">
        <v>557586900</v>
      </c>
      <c r="S71">
        <v>1252400</v>
      </c>
      <c r="T71">
        <v>33092000</v>
      </c>
      <c r="U71">
        <v>1464322000</v>
      </c>
      <c r="V71">
        <v>4347135100</v>
      </c>
      <c r="W71">
        <v>410800</v>
      </c>
      <c r="X71">
        <v>3761382700</v>
      </c>
    </row>
    <row r="72" spans="1:24" x14ac:dyDescent="0.3">
      <c r="A72">
        <v>71</v>
      </c>
      <c r="B72">
        <v>262144</v>
      </c>
      <c r="C72">
        <v>3</v>
      </c>
      <c r="D72">
        <v>64</v>
      </c>
      <c r="E72">
        <v>0.5</v>
      </c>
      <c r="F72">
        <v>12</v>
      </c>
      <c r="G72">
        <v>8191</v>
      </c>
      <c r="H72">
        <v>173716</v>
      </c>
      <c r="I72">
        <v>3075861500</v>
      </c>
      <c r="J72">
        <v>17499548200</v>
      </c>
      <c r="K72">
        <v>5.6893160501537503</v>
      </c>
      <c r="L72">
        <v>37873900</v>
      </c>
      <c r="M72">
        <v>375889800</v>
      </c>
      <c r="N72">
        <v>1064496100</v>
      </c>
      <c r="O72">
        <v>1440385900</v>
      </c>
      <c r="P72">
        <v>575500</v>
      </c>
      <c r="Q72">
        <v>1461366000</v>
      </c>
      <c r="R72">
        <v>1461941500</v>
      </c>
      <c r="S72">
        <v>2217800</v>
      </c>
      <c r="T72">
        <v>77585500</v>
      </c>
      <c r="U72">
        <v>5293435400</v>
      </c>
      <c r="V72">
        <v>10453159700</v>
      </c>
      <c r="W72">
        <v>861200</v>
      </c>
      <c r="X72">
        <v>3075861500</v>
      </c>
    </row>
    <row r="73" spans="1:24" x14ac:dyDescent="0.3">
      <c r="A73">
        <v>72</v>
      </c>
      <c r="B73">
        <v>262144</v>
      </c>
      <c r="C73">
        <v>3</v>
      </c>
      <c r="D73">
        <v>64</v>
      </c>
      <c r="E73">
        <v>0.2</v>
      </c>
      <c r="F73">
        <v>12</v>
      </c>
      <c r="G73">
        <v>8191</v>
      </c>
      <c r="H73" s="1">
        <v>2185372</v>
      </c>
      <c r="I73">
        <v>27158592200</v>
      </c>
      <c r="J73">
        <v>172756806700</v>
      </c>
      <c r="K73">
        <v>6.3610368839368601</v>
      </c>
      <c r="L73">
        <v>376569200</v>
      </c>
      <c r="M73">
        <v>52907300</v>
      </c>
      <c r="N73">
        <v>7959393700</v>
      </c>
      <c r="O73">
        <v>8012301000</v>
      </c>
      <c r="P73">
        <v>5406500</v>
      </c>
      <c r="Q73">
        <v>18338481800</v>
      </c>
      <c r="R73">
        <v>18343888300</v>
      </c>
      <c r="S73">
        <v>2233700</v>
      </c>
      <c r="T73">
        <v>119237600</v>
      </c>
      <c r="U73">
        <v>41119911600</v>
      </c>
      <c r="V73">
        <v>129679107500</v>
      </c>
      <c r="W73">
        <v>849700</v>
      </c>
      <c r="X73">
        <v>27158592200</v>
      </c>
    </row>
    <row r="74" spans="1:24" x14ac:dyDescent="0.3">
      <c r="A74">
        <v>73</v>
      </c>
      <c r="B74">
        <v>262144</v>
      </c>
      <c r="C74">
        <v>3</v>
      </c>
      <c r="D74">
        <v>64</v>
      </c>
      <c r="E74">
        <v>0.35</v>
      </c>
      <c r="F74">
        <v>12</v>
      </c>
      <c r="G74">
        <v>8191</v>
      </c>
      <c r="H74">
        <v>489416</v>
      </c>
      <c r="I74">
        <v>7258050400</v>
      </c>
      <c r="J74">
        <v>42692053300</v>
      </c>
      <c r="K74">
        <v>5.8820276723346998</v>
      </c>
      <c r="L74">
        <v>90468400</v>
      </c>
      <c r="M74">
        <v>312283100</v>
      </c>
      <c r="N74">
        <v>2346469800</v>
      </c>
      <c r="O74">
        <v>2658752900</v>
      </c>
      <c r="P74">
        <v>1251400</v>
      </c>
      <c r="Q74">
        <v>4088553900</v>
      </c>
      <c r="R74">
        <v>4089805300</v>
      </c>
      <c r="S74">
        <v>2295500</v>
      </c>
      <c r="T74">
        <v>84478800</v>
      </c>
      <c r="U74">
        <v>11879525300</v>
      </c>
      <c r="V74">
        <v>29090489100</v>
      </c>
      <c r="W74">
        <v>1366900</v>
      </c>
      <c r="X74">
        <v>7258050400</v>
      </c>
    </row>
    <row r="75" spans="1:24" x14ac:dyDescent="0.3">
      <c r="A75">
        <v>74</v>
      </c>
      <c r="B75">
        <v>262144</v>
      </c>
      <c r="C75">
        <v>3</v>
      </c>
      <c r="D75">
        <v>64</v>
      </c>
      <c r="E75">
        <v>0.5</v>
      </c>
      <c r="F75">
        <v>12</v>
      </c>
      <c r="G75">
        <v>8191</v>
      </c>
      <c r="H75">
        <v>173408</v>
      </c>
      <c r="I75">
        <v>3360528500</v>
      </c>
      <c r="J75">
        <v>17266104800</v>
      </c>
      <c r="K75">
        <v>5.1379135156865896</v>
      </c>
      <c r="L75">
        <v>31481400</v>
      </c>
      <c r="M75">
        <v>398973800</v>
      </c>
      <c r="N75">
        <v>1050414100</v>
      </c>
      <c r="O75">
        <v>1449387900</v>
      </c>
      <c r="P75">
        <v>535800</v>
      </c>
      <c r="Q75">
        <v>1457579700</v>
      </c>
      <c r="R75">
        <v>1458115500</v>
      </c>
      <c r="S75">
        <v>2165900</v>
      </c>
      <c r="T75">
        <v>84799600</v>
      </c>
      <c r="U75">
        <v>5237155900</v>
      </c>
      <c r="V75">
        <v>10320731600</v>
      </c>
      <c r="W75">
        <v>830400</v>
      </c>
      <c r="X75">
        <v>3360528500</v>
      </c>
    </row>
    <row r="76" spans="1:24" x14ac:dyDescent="0.3">
      <c r="A76">
        <v>75</v>
      </c>
      <c r="B76">
        <v>262144</v>
      </c>
      <c r="C76">
        <v>3</v>
      </c>
      <c r="D76">
        <v>64</v>
      </c>
      <c r="E76">
        <v>0.65</v>
      </c>
      <c r="F76">
        <v>12</v>
      </c>
      <c r="G76">
        <v>8191</v>
      </c>
      <c r="H76">
        <v>68372</v>
      </c>
      <c r="I76">
        <v>1808201300</v>
      </c>
      <c r="J76">
        <v>7693864800</v>
      </c>
      <c r="K76">
        <v>4.2549824513454304</v>
      </c>
      <c r="L76">
        <v>11971200</v>
      </c>
      <c r="M76">
        <v>394387000</v>
      </c>
      <c r="N76">
        <v>404613400</v>
      </c>
      <c r="O76">
        <v>799000400</v>
      </c>
      <c r="P76">
        <v>212400</v>
      </c>
      <c r="Q76">
        <v>578685400</v>
      </c>
      <c r="R76">
        <v>578897800</v>
      </c>
      <c r="S76">
        <v>2222800</v>
      </c>
      <c r="T76">
        <v>84337500</v>
      </c>
      <c r="U76">
        <v>1910221100</v>
      </c>
      <c r="V76">
        <v>4072480500</v>
      </c>
      <c r="W76">
        <v>847500</v>
      </c>
      <c r="X76">
        <v>1808201300</v>
      </c>
    </row>
    <row r="77" spans="1:24" x14ac:dyDescent="0.3">
      <c r="A77">
        <v>76</v>
      </c>
      <c r="B77">
        <v>262144</v>
      </c>
      <c r="C77">
        <v>3</v>
      </c>
      <c r="D77">
        <v>64</v>
      </c>
      <c r="E77">
        <v>0.8</v>
      </c>
      <c r="F77">
        <v>12</v>
      </c>
      <c r="G77">
        <v>8191</v>
      </c>
      <c r="H77">
        <v>32632</v>
      </c>
      <c r="I77">
        <v>1043668600</v>
      </c>
      <c r="J77">
        <v>4770879100</v>
      </c>
      <c r="K77">
        <v>4.5712586351644502</v>
      </c>
      <c r="L77">
        <v>12749000</v>
      </c>
      <c r="M77">
        <v>372459000</v>
      </c>
      <c r="N77">
        <v>242814700</v>
      </c>
      <c r="O77">
        <v>615273700</v>
      </c>
      <c r="P77">
        <v>151500</v>
      </c>
      <c r="Q77">
        <v>284519900</v>
      </c>
      <c r="R77">
        <v>284671400</v>
      </c>
      <c r="S77">
        <v>1969300</v>
      </c>
      <c r="T77">
        <v>80727700</v>
      </c>
      <c r="U77">
        <v>1118332200</v>
      </c>
      <c r="V77">
        <v>1954989000</v>
      </c>
      <c r="W77">
        <v>834500</v>
      </c>
      <c r="X77">
        <v>1043668600</v>
      </c>
    </row>
    <row r="78" spans="1:24" x14ac:dyDescent="0.3">
      <c r="A78">
        <v>77</v>
      </c>
      <c r="B78">
        <v>262144</v>
      </c>
      <c r="C78">
        <v>3</v>
      </c>
      <c r="D78">
        <v>64</v>
      </c>
      <c r="E78">
        <v>0.95</v>
      </c>
      <c r="F78">
        <v>12</v>
      </c>
      <c r="G78">
        <v>8191</v>
      </c>
      <c r="H78">
        <v>24456</v>
      </c>
      <c r="I78">
        <v>800953600</v>
      </c>
      <c r="J78">
        <v>3543001600</v>
      </c>
      <c r="K78">
        <v>4.4234792127783598</v>
      </c>
      <c r="L78">
        <v>3171700</v>
      </c>
      <c r="M78">
        <v>362454200</v>
      </c>
      <c r="N78">
        <v>78017200</v>
      </c>
      <c r="O78">
        <v>440471400</v>
      </c>
      <c r="P78">
        <v>112600</v>
      </c>
      <c r="Q78">
        <v>224648100</v>
      </c>
      <c r="R78">
        <v>224760700</v>
      </c>
      <c r="S78">
        <v>2200300</v>
      </c>
      <c r="T78">
        <v>83696100</v>
      </c>
      <c r="U78">
        <v>368707700</v>
      </c>
      <c r="V78">
        <v>1463056000</v>
      </c>
      <c r="W78">
        <v>870600</v>
      </c>
      <c r="X78">
        <v>800953600</v>
      </c>
    </row>
    <row r="79" spans="1:24" x14ac:dyDescent="0.3">
      <c r="A79">
        <v>78</v>
      </c>
      <c r="B79">
        <v>262144</v>
      </c>
      <c r="C79">
        <v>4</v>
      </c>
      <c r="D79">
        <v>125</v>
      </c>
      <c r="E79">
        <v>0.5</v>
      </c>
      <c r="F79">
        <v>12</v>
      </c>
      <c r="G79">
        <v>8191</v>
      </c>
      <c r="H79">
        <v>174372</v>
      </c>
      <c r="I79">
        <v>5931668000</v>
      </c>
      <c r="J79">
        <v>33436798100</v>
      </c>
      <c r="K79">
        <v>5.6369975696549401</v>
      </c>
      <c r="L79">
        <v>31143500</v>
      </c>
      <c r="M79">
        <v>789614500</v>
      </c>
      <c r="N79">
        <v>3380409200</v>
      </c>
      <c r="O79">
        <v>4170023700</v>
      </c>
      <c r="P79">
        <v>536600</v>
      </c>
      <c r="Q79">
        <v>1507657800</v>
      </c>
      <c r="R79">
        <v>1508194400</v>
      </c>
      <c r="S79">
        <v>2127300</v>
      </c>
      <c r="T79">
        <v>90116400</v>
      </c>
      <c r="U79">
        <v>19521019800</v>
      </c>
      <c r="V79">
        <v>10404585600</v>
      </c>
      <c r="W79">
        <v>893600</v>
      </c>
      <c r="X79">
        <v>5931668000</v>
      </c>
    </row>
    <row r="80" spans="1:24" x14ac:dyDescent="0.3">
      <c r="A80">
        <v>79</v>
      </c>
      <c r="B80">
        <v>262144</v>
      </c>
      <c r="C80">
        <v>4</v>
      </c>
      <c r="D80">
        <v>125</v>
      </c>
      <c r="E80">
        <v>0.2</v>
      </c>
      <c r="F80">
        <v>12</v>
      </c>
      <c r="G80">
        <v>8191</v>
      </c>
      <c r="H80" s="1">
        <v>2185828</v>
      </c>
      <c r="I80">
        <v>46775670600</v>
      </c>
      <c r="J80">
        <v>284855048800</v>
      </c>
      <c r="K80">
        <v>6.0898121853970801</v>
      </c>
      <c r="L80">
        <v>369159400</v>
      </c>
      <c r="M80">
        <v>568535800</v>
      </c>
      <c r="N80">
        <v>26271560700</v>
      </c>
      <c r="O80">
        <v>26840096500</v>
      </c>
      <c r="P80">
        <v>5644900</v>
      </c>
      <c r="Q80">
        <v>19046462800</v>
      </c>
      <c r="R80">
        <v>19052107700</v>
      </c>
      <c r="S80">
        <v>2082600</v>
      </c>
      <c r="T80">
        <v>420165300</v>
      </c>
      <c r="U80">
        <v>151478406400</v>
      </c>
      <c r="V80">
        <v>129734982600</v>
      </c>
      <c r="W80">
        <v>826700</v>
      </c>
      <c r="X80">
        <v>46775670600</v>
      </c>
    </row>
    <row r="81" spans="1:24" x14ac:dyDescent="0.3">
      <c r="A81">
        <v>80</v>
      </c>
      <c r="B81">
        <v>262144</v>
      </c>
      <c r="C81">
        <v>4</v>
      </c>
      <c r="D81">
        <v>125</v>
      </c>
      <c r="E81">
        <v>0.35</v>
      </c>
      <c r="F81">
        <v>12</v>
      </c>
      <c r="G81">
        <v>8191</v>
      </c>
      <c r="H81">
        <v>488400</v>
      </c>
      <c r="I81">
        <v>13262373800</v>
      </c>
      <c r="J81">
        <v>76300702600</v>
      </c>
      <c r="K81">
        <v>5.7531708690038501</v>
      </c>
      <c r="L81">
        <v>87410000</v>
      </c>
      <c r="M81">
        <v>843917900</v>
      </c>
      <c r="N81">
        <v>7577469400</v>
      </c>
      <c r="O81">
        <v>8421387300</v>
      </c>
      <c r="P81">
        <v>1235900</v>
      </c>
      <c r="Q81">
        <v>4235773200</v>
      </c>
      <c r="R81">
        <v>4237009100</v>
      </c>
      <c r="S81">
        <v>2080200</v>
      </c>
      <c r="T81">
        <v>85732300</v>
      </c>
      <c r="U81">
        <v>43878429000</v>
      </c>
      <c r="V81">
        <v>28964730800</v>
      </c>
      <c r="W81">
        <v>843200</v>
      </c>
      <c r="X81">
        <v>13262373800</v>
      </c>
    </row>
    <row r="82" spans="1:24" x14ac:dyDescent="0.3">
      <c r="A82">
        <v>81</v>
      </c>
      <c r="B82">
        <v>262144</v>
      </c>
      <c r="C82">
        <v>4</v>
      </c>
      <c r="D82">
        <v>125</v>
      </c>
      <c r="E82">
        <v>0.5</v>
      </c>
      <c r="F82">
        <v>12</v>
      </c>
      <c r="G82">
        <v>8191</v>
      </c>
      <c r="H82">
        <v>173880</v>
      </c>
      <c r="I82">
        <v>6335702100</v>
      </c>
      <c r="J82">
        <v>33545740500</v>
      </c>
      <c r="K82">
        <v>5.2947155612003902</v>
      </c>
      <c r="L82">
        <v>38284000</v>
      </c>
      <c r="M82">
        <v>894255500</v>
      </c>
      <c r="N82">
        <v>3388693600</v>
      </c>
      <c r="O82">
        <v>4282949100</v>
      </c>
      <c r="P82">
        <v>605300</v>
      </c>
      <c r="Q82">
        <v>1499362600</v>
      </c>
      <c r="R82">
        <v>1499967900</v>
      </c>
      <c r="S82">
        <v>2259900</v>
      </c>
      <c r="T82">
        <v>85038200</v>
      </c>
      <c r="U82">
        <v>19676031100</v>
      </c>
      <c r="V82">
        <v>10398763200</v>
      </c>
      <c r="W82">
        <v>835100</v>
      </c>
      <c r="X82">
        <v>6335702100</v>
      </c>
    </row>
    <row r="83" spans="1:24" x14ac:dyDescent="0.3">
      <c r="A83">
        <v>82</v>
      </c>
      <c r="B83">
        <v>262144</v>
      </c>
      <c r="C83">
        <v>4</v>
      </c>
      <c r="D83">
        <v>125</v>
      </c>
      <c r="E83">
        <v>0.65</v>
      </c>
      <c r="F83">
        <v>12</v>
      </c>
      <c r="G83">
        <v>8191</v>
      </c>
      <c r="H83">
        <v>68624</v>
      </c>
      <c r="I83">
        <v>3265221200</v>
      </c>
      <c r="J83">
        <v>14540999800</v>
      </c>
      <c r="K83">
        <v>4.4532970078719298</v>
      </c>
      <c r="L83">
        <v>14394200</v>
      </c>
      <c r="M83">
        <v>920354100</v>
      </c>
      <c r="N83">
        <v>1222083400</v>
      </c>
      <c r="O83">
        <v>2142437500</v>
      </c>
      <c r="P83">
        <v>225900</v>
      </c>
      <c r="Q83">
        <v>595959700</v>
      </c>
      <c r="R83">
        <v>596185600</v>
      </c>
      <c r="S83">
        <v>2141200</v>
      </c>
      <c r="T83">
        <v>87668500</v>
      </c>
      <c r="U83">
        <v>7069269900</v>
      </c>
      <c r="V83">
        <v>4083579700</v>
      </c>
      <c r="W83">
        <v>844000</v>
      </c>
      <c r="X83">
        <v>3265221200</v>
      </c>
    </row>
    <row r="84" spans="1:24" x14ac:dyDescent="0.3">
      <c r="A84">
        <v>83</v>
      </c>
      <c r="B84">
        <v>262144</v>
      </c>
      <c r="C84">
        <v>4</v>
      </c>
      <c r="D84">
        <v>125</v>
      </c>
      <c r="E84">
        <v>0.8</v>
      </c>
      <c r="F84">
        <v>12</v>
      </c>
      <c r="G84">
        <v>8191</v>
      </c>
      <c r="H84">
        <v>33076</v>
      </c>
      <c r="I84">
        <v>2614939500</v>
      </c>
      <c r="J84">
        <v>9606621800</v>
      </c>
      <c r="K84">
        <v>3.6737453390413002</v>
      </c>
      <c r="L84">
        <v>6099800</v>
      </c>
      <c r="M84">
        <v>908063400</v>
      </c>
      <c r="N84">
        <v>725460400</v>
      </c>
      <c r="O84">
        <v>1633523800</v>
      </c>
      <c r="P84">
        <v>184500</v>
      </c>
      <c r="Q84">
        <v>292870300</v>
      </c>
      <c r="R84">
        <v>293054800</v>
      </c>
      <c r="S84">
        <v>2086300</v>
      </c>
      <c r="T84">
        <v>90088400</v>
      </c>
      <c r="U84">
        <v>4188933100</v>
      </c>
      <c r="V84">
        <v>1980306000</v>
      </c>
      <c r="W84">
        <v>847500</v>
      </c>
      <c r="X84">
        <v>2614939500</v>
      </c>
    </row>
    <row r="85" spans="1:24" x14ac:dyDescent="0.3">
      <c r="A85">
        <v>84</v>
      </c>
      <c r="B85">
        <v>262144</v>
      </c>
      <c r="C85">
        <v>4</v>
      </c>
      <c r="D85">
        <v>125</v>
      </c>
      <c r="E85">
        <v>0.95</v>
      </c>
      <c r="F85">
        <v>12</v>
      </c>
      <c r="G85">
        <v>8191</v>
      </c>
      <c r="H85">
        <v>24436</v>
      </c>
      <c r="I85">
        <v>1504545000</v>
      </c>
      <c r="J85">
        <v>6260847200</v>
      </c>
      <c r="K85">
        <v>4.16128942637142</v>
      </c>
      <c r="L85">
        <v>3222400</v>
      </c>
      <c r="M85">
        <v>841805700</v>
      </c>
      <c r="N85">
        <v>218301000</v>
      </c>
      <c r="O85">
        <v>1060106700</v>
      </c>
      <c r="P85">
        <v>139100</v>
      </c>
      <c r="Q85">
        <v>214777700</v>
      </c>
      <c r="R85">
        <v>214916800</v>
      </c>
      <c r="S85">
        <v>2118200</v>
      </c>
      <c r="T85">
        <v>90250700</v>
      </c>
      <c r="U85">
        <v>1260972400</v>
      </c>
      <c r="V85">
        <v>1470454500</v>
      </c>
      <c r="W85">
        <v>828500</v>
      </c>
      <c r="X85">
        <v>1504545000</v>
      </c>
    </row>
    <row r="86" spans="1:24" x14ac:dyDescent="0.3">
      <c r="A86">
        <v>85</v>
      </c>
      <c r="B86">
        <v>262144</v>
      </c>
      <c r="C86">
        <v>5</v>
      </c>
      <c r="D86">
        <v>216</v>
      </c>
      <c r="E86">
        <v>0.5</v>
      </c>
      <c r="F86">
        <v>11</v>
      </c>
      <c r="G86">
        <v>4095</v>
      </c>
      <c r="H86">
        <v>85272</v>
      </c>
      <c r="I86">
        <v>9909806500</v>
      </c>
      <c r="J86">
        <v>50185954800</v>
      </c>
      <c r="K86">
        <v>5.0642719209502198</v>
      </c>
      <c r="L86">
        <v>13993500</v>
      </c>
      <c r="M86">
        <v>1598247000</v>
      </c>
      <c r="N86">
        <v>5153253600</v>
      </c>
      <c r="O86">
        <v>6751500600</v>
      </c>
      <c r="P86">
        <v>264700</v>
      </c>
      <c r="Q86">
        <v>2842388800</v>
      </c>
      <c r="R86">
        <v>2842653500</v>
      </c>
      <c r="S86">
        <v>2290600</v>
      </c>
      <c r="T86">
        <v>80470600</v>
      </c>
      <c r="U86">
        <v>24639356700</v>
      </c>
      <c r="V86">
        <v>20951064200</v>
      </c>
      <c r="W86">
        <v>915000</v>
      </c>
      <c r="X86">
        <v>9909806500</v>
      </c>
    </row>
    <row r="87" spans="1:24" x14ac:dyDescent="0.3">
      <c r="A87">
        <v>86</v>
      </c>
      <c r="B87">
        <v>262144</v>
      </c>
      <c r="C87">
        <v>5</v>
      </c>
      <c r="D87">
        <v>216</v>
      </c>
      <c r="E87">
        <v>0.2</v>
      </c>
      <c r="F87">
        <v>11</v>
      </c>
      <c r="G87">
        <v>4095</v>
      </c>
      <c r="H87">
        <v>938968</v>
      </c>
      <c r="I87">
        <v>64959772000</v>
      </c>
      <c r="J87">
        <v>382228910700</v>
      </c>
      <c r="K87">
        <v>5.8840863958081604</v>
      </c>
      <c r="L87">
        <v>146246000</v>
      </c>
      <c r="M87">
        <v>1572451300</v>
      </c>
      <c r="N87">
        <v>31127753700</v>
      </c>
      <c r="O87">
        <v>32700205000</v>
      </c>
      <c r="P87">
        <v>2515100</v>
      </c>
      <c r="Q87">
        <v>31522916200</v>
      </c>
      <c r="R87">
        <v>31525431300</v>
      </c>
      <c r="S87">
        <v>2115300</v>
      </c>
      <c r="T87">
        <v>86142200</v>
      </c>
      <c r="U87">
        <v>147741524100</v>
      </c>
      <c r="V87">
        <v>229935678500</v>
      </c>
      <c r="W87">
        <v>910300</v>
      </c>
      <c r="X87">
        <v>64959772000</v>
      </c>
    </row>
    <row r="88" spans="1:24" x14ac:dyDescent="0.3">
      <c r="A88">
        <v>87</v>
      </c>
      <c r="B88">
        <v>262144</v>
      </c>
      <c r="C88">
        <v>5</v>
      </c>
      <c r="D88">
        <v>216</v>
      </c>
      <c r="E88">
        <v>0.35</v>
      </c>
      <c r="F88">
        <v>11</v>
      </c>
      <c r="G88">
        <v>4095</v>
      </c>
      <c r="H88">
        <v>213980</v>
      </c>
      <c r="I88">
        <v>21867282500</v>
      </c>
      <c r="J88">
        <v>116138524800</v>
      </c>
      <c r="K88">
        <v>5.3110634483274204</v>
      </c>
      <c r="L88">
        <v>46625100</v>
      </c>
      <c r="M88">
        <v>1628656900</v>
      </c>
      <c r="N88">
        <v>12477950000</v>
      </c>
      <c r="O88">
        <v>14106606900</v>
      </c>
      <c r="P88">
        <v>649800</v>
      </c>
      <c r="Q88">
        <v>7122971500</v>
      </c>
      <c r="R88">
        <v>7123621300</v>
      </c>
      <c r="S88">
        <v>2092100</v>
      </c>
      <c r="T88">
        <v>75198000</v>
      </c>
      <c r="U88">
        <v>59248869400</v>
      </c>
      <c r="V88">
        <v>52404567000</v>
      </c>
      <c r="W88">
        <v>846100</v>
      </c>
      <c r="X88">
        <v>21867282500</v>
      </c>
    </row>
    <row r="89" spans="1:24" x14ac:dyDescent="0.3">
      <c r="A89">
        <v>88</v>
      </c>
      <c r="B89">
        <v>262144</v>
      </c>
      <c r="C89">
        <v>5</v>
      </c>
      <c r="D89">
        <v>216</v>
      </c>
      <c r="E89">
        <v>0.5</v>
      </c>
      <c r="F89">
        <v>11</v>
      </c>
      <c r="G89">
        <v>4095</v>
      </c>
      <c r="H89">
        <v>85480</v>
      </c>
      <c r="I89">
        <v>10255009300</v>
      </c>
      <c r="J89">
        <v>50311481900</v>
      </c>
      <c r="K89">
        <v>4.9060396171459297</v>
      </c>
      <c r="L89">
        <v>15358900</v>
      </c>
      <c r="M89">
        <v>1667777400</v>
      </c>
      <c r="N89">
        <v>5128360300</v>
      </c>
      <c r="O89">
        <v>6796137700</v>
      </c>
      <c r="P89">
        <v>232900</v>
      </c>
      <c r="Q89">
        <v>2850138700</v>
      </c>
      <c r="R89">
        <v>2850371600</v>
      </c>
      <c r="S89">
        <v>2106300</v>
      </c>
      <c r="T89">
        <v>87811200</v>
      </c>
      <c r="U89">
        <v>24544478900</v>
      </c>
      <c r="V89">
        <v>21203958300</v>
      </c>
      <c r="W89">
        <v>845800</v>
      </c>
      <c r="X89">
        <v>10255009300</v>
      </c>
    </row>
    <row r="90" spans="1:24" x14ac:dyDescent="0.3">
      <c r="A90">
        <v>89</v>
      </c>
      <c r="B90">
        <v>262144</v>
      </c>
      <c r="C90">
        <v>5</v>
      </c>
      <c r="D90">
        <v>216</v>
      </c>
      <c r="E90">
        <v>0.65</v>
      </c>
      <c r="F90">
        <v>11</v>
      </c>
      <c r="G90">
        <v>4095</v>
      </c>
      <c r="H90">
        <v>30468</v>
      </c>
      <c r="I90">
        <v>5382031300</v>
      </c>
      <c r="J90">
        <v>22208391300</v>
      </c>
      <c r="K90">
        <v>4.1263957903775097</v>
      </c>
      <c r="L90">
        <v>6099100</v>
      </c>
      <c r="M90">
        <v>1644100400</v>
      </c>
      <c r="N90">
        <v>2125714200</v>
      </c>
      <c r="O90">
        <v>3769814600</v>
      </c>
      <c r="P90">
        <v>177100</v>
      </c>
      <c r="Q90">
        <v>1020522100</v>
      </c>
      <c r="R90">
        <v>1020699200</v>
      </c>
      <c r="S90">
        <v>2253600</v>
      </c>
      <c r="T90">
        <v>83038900</v>
      </c>
      <c r="U90">
        <v>10227797900</v>
      </c>
      <c r="V90">
        <v>7476866400</v>
      </c>
      <c r="W90">
        <v>853400</v>
      </c>
      <c r="X90">
        <v>5382031300</v>
      </c>
    </row>
    <row r="91" spans="1:24" x14ac:dyDescent="0.3">
      <c r="A91">
        <v>90</v>
      </c>
      <c r="B91">
        <v>262144</v>
      </c>
      <c r="C91">
        <v>5</v>
      </c>
      <c r="D91">
        <v>216</v>
      </c>
      <c r="E91">
        <v>0.8</v>
      </c>
      <c r="F91">
        <v>11</v>
      </c>
      <c r="G91">
        <v>4095</v>
      </c>
      <c r="H91">
        <v>14888</v>
      </c>
      <c r="I91">
        <v>4047706000</v>
      </c>
      <c r="J91">
        <v>14468512600</v>
      </c>
      <c r="K91">
        <v>3.5744969125721999</v>
      </c>
      <c r="L91">
        <v>3082400</v>
      </c>
      <c r="M91">
        <v>1660819100</v>
      </c>
      <c r="N91">
        <v>1291831600</v>
      </c>
      <c r="O91">
        <v>2952650700</v>
      </c>
      <c r="P91">
        <v>156500</v>
      </c>
      <c r="Q91">
        <v>504627300</v>
      </c>
      <c r="R91">
        <v>504783800</v>
      </c>
      <c r="S91">
        <v>2250700</v>
      </c>
      <c r="T91">
        <v>77799500</v>
      </c>
      <c r="U91">
        <v>6197697400</v>
      </c>
      <c r="V91">
        <v>3661336700</v>
      </c>
      <c r="W91">
        <v>913500</v>
      </c>
      <c r="X91">
        <v>4047706000</v>
      </c>
    </row>
    <row r="92" spans="1:24" x14ac:dyDescent="0.3">
      <c r="A92">
        <v>91</v>
      </c>
      <c r="B92">
        <v>262144</v>
      </c>
      <c r="C92">
        <v>5</v>
      </c>
      <c r="D92">
        <v>216</v>
      </c>
      <c r="E92">
        <v>0.95</v>
      </c>
      <c r="F92">
        <v>11</v>
      </c>
      <c r="G92">
        <v>4095</v>
      </c>
      <c r="H92">
        <v>8192</v>
      </c>
      <c r="I92">
        <v>3168330700</v>
      </c>
      <c r="J92">
        <v>8693048000</v>
      </c>
      <c r="K92">
        <v>2.7437312651738002</v>
      </c>
      <c r="L92">
        <v>1355000</v>
      </c>
      <c r="M92">
        <v>1662145500</v>
      </c>
      <c r="N92">
        <v>455262600</v>
      </c>
      <c r="O92">
        <v>2117408100</v>
      </c>
      <c r="P92">
        <v>143000</v>
      </c>
      <c r="Q92">
        <v>281244700</v>
      </c>
      <c r="R92">
        <v>281387700</v>
      </c>
      <c r="S92">
        <v>2246700</v>
      </c>
      <c r="T92">
        <v>89050900</v>
      </c>
      <c r="U92">
        <v>2159494300</v>
      </c>
      <c r="V92">
        <v>2019752900</v>
      </c>
      <c r="W92">
        <v>856100</v>
      </c>
      <c r="X92">
        <v>3168330700</v>
      </c>
    </row>
    <row r="93" spans="1:24" x14ac:dyDescent="0.3">
      <c r="A93">
        <v>92</v>
      </c>
      <c r="B93">
        <v>262144</v>
      </c>
      <c r="C93">
        <v>6</v>
      </c>
      <c r="D93">
        <v>343</v>
      </c>
      <c r="E93">
        <v>0.5</v>
      </c>
      <c r="F93">
        <v>10</v>
      </c>
      <c r="G93">
        <v>2047</v>
      </c>
      <c r="H93">
        <v>34752</v>
      </c>
      <c r="I93">
        <v>15391112600</v>
      </c>
      <c r="J93">
        <v>72978908400</v>
      </c>
      <c r="K93">
        <v>4.7416265670098401</v>
      </c>
      <c r="L93">
        <v>6210100</v>
      </c>
      <c r="M93">
        <v>3639837700</v>
      </c>
      <c r="N93">
        <v>6705555700</v>
      </c>
      <c r="O93">
        <v>10345393400</v>
      </c>
      <c r="P93">
        <v>115200</v>
      </c>
      <c r="Q93">
        <v>4653394400</v>
      </c>
      <c r="R93">
        <v>4653509600</v>
      </c>
      <c r="S93">
        <v>2098100</v>
      </c>
      <c r="T93">
        <v>72344200</v>
      </c>
      <c r="U93">
        <v>31706871900</v>
      </c>
      <c r="V93">
        <v>35708196800</v>
      </c>
      <c r="W93">
        <v>917200</v>
      </c>
      <c r="X93">
        <v>15391112600</v>
      </c>
    </row>
    <row r="94" spans="1:24" x14ac:dyDescent="0.3">
      <c r="A94">
        <v>93</v>
      </c>
      <c r="B94">
        <v>262144</v>
      </c>
      <c r="C94">
        <v>6</v>
      </c>
      <c r="D94">
        <v>343</v>
      </c>
      <c r="E94">
        <v>0.2</v>
      </c>
      <c r="F94">
        <v>10</v>
      </c>
      <c r="G94">
        <v>2047</v>
      </c>
      <c r="H94">
        <v>335700</v>
      </c>
      <c r="I94">
        <v>87398030700</v>
      </c>
      <c r="J94">
        <v>529255538500</v>
      </c>
      <c r="K94">
        <v>6.0556918074814199</v>
      </c>
      <c r="L94">
        <v>60654900</v>
      </c>
      <c r="M94">
        <v>3654534800</v>
      </c>
      <c r="N94">
        <v>37877146300</v>
      </c>
      <c r="O94">
        <v>41531681100</v>
      </c>
      <c r="P94">
        <v>944600</v>
      </c>
      <c r="Q94">
        <v>45131217000</v>
      </c>
      <c r="R94">
        <v>45132161600</v>
      </c>
      <c r="S94">
        <v>2254500</v>
      </c>
      <c r="T94">
        <v>77969600</v>
      </c>
      <c r="U94">
        <v>177850222000</v>
      </c>
      <c r="V94">
        <v>345822524800</v>
      </c>
      <c r="W94">
        <v>854700</v>
      </c>
      <c r="X94">
        <v>87398030700</v>
      </c>
    </row>
    <row r="95" spans="1:24" x14ac:dyDescent="0.3">
      <c r="A95">
        <v>94</v>
      </c>
      <c r="B95">
        <v>262144</v>
      </c>
      <c r="C95">
        <v>6</v>
      </c>
      <c r="D95">
        <v>343</v>
      </c>
      <c r="E95">
        <v>0.35</v>
      </c>
      <c r="F95">
        <v>10</v>
      </c>
      <c r="G95">
        <v>2047</v>
      </c>
      <c r="H95">
        <v>91800</v>
      </c>
      <c r="I95">
        <v>31819547700</v>
      </c>
      <c r="J95">
        <v>172359991100</v>
      </c>
      <c r="K95">
        <v>5.4167957610535096</v>
      </c>
      <c r="L95">
        <v>16852100</v>
      </c>
      <c r="M95">
        <v>3683222600</v>
      </c>
      <c r="N95">
        <v>15232533700</v>
      </c>
      <c r="O95">
        <v>18915756300</v>
      </c>
      <c r="P95">
        <v>203600</v>
      </c>
      <c r="Q95">
        <v>12214206500</v>
      </c>
      <c r="R95">
        <v>12214410100</v>
      </c>
      <c r="S95">
        <v>2123600</v>
      </c>
      <c r="T95">
        <v>73009600</v>
      </c>
      <c r="U95">
        <v>72107740500</v>
      </c>
      <c r="V95">
        <v>94604783100</v>
      </c>
      <c r="W95">
        <v>943900</v>
      </c>
      <c r="X95">
        <v>31819547700</v>
      </c>
    </row>
    <row r="96" spans="1:24" x14ac:dyDescent="0.3">
      <c r="A96">
        <v>95</v>
      </c>
      <c r="B96">
        <v>262144</v>
      </c>
      <c r="C96">
        <v>6</v>
      </c>
      <c r="D96">
        <v>343</v>
      </c>
      <c r="E96">
        <v>0.5</v>
      </c>
      <c r="F96">
        <v>10</v>
      </c>
      <c r="G96">
        <v>2047</v>
      </c>
      <c r="H96">
        <v>34908</v>
      </c>
      <c r="I96">
        <v>15758630100</v>
      </c>
      <c r="J96">
        <v>73413862400</v>
      </c>
      <c r="K96">
        <v>4.6586449414787596</v>
      </c>
      <c r="L96">
        <v>6914900</v>
      </c>
      <c r="M96">
        <v>3674182900</v>
      </c>
      <c r="N96">
        <v>6757272400</v>
      </c>
      <c r="O96">
        <v>10431455300</v>
      </c>
      <c r="P96">
        <v>126600</v>
      </c>
      <c r="Q96">
        <v>4649874900</v>
      </c>
      <c r="R96">
        <v>4650001500</v>
      </c>
      <c r="S96">
        <v>2086200</v>
      </c>
      <c r="T96">
        <v>75876200</v>
      </c>
      <c r="U96">
        <v>32005444100</v>
      </c>
      <c r="V96">
        <v>35880048000</v>
      </c>
      <c r="W96">
        <v>918200</v>
      </c>
      <c r="X96">
        <v>15758630100</v>
      </c>
    </row>
    <row r="97" spans="1:24" x14ac:dyDescent="0.3">
      <c r="A97">
        <v>96</v>
      </c>
      <c r="B97">
        <v>262144</v>
      </c>
      <c r="C97">
        <v>6</v>
      </c>
      <c r="D97">
        <v>343</v>
      </c>
      <c r="E97">
        <v>0.65</v>
      </c>
      <c r="F97">
        <v>10</v>
      </c>
      <c r="G97">
        <v>2047</v>
      </c>
      <c r="H97">
        <v>12516</v>
      </c>
      <c r="I97">
        <v>9175414800</v>
      </c>
      <c r="J97">
        <v>33357494600</v>
      </c>
      <c r="K97">
        <v>3.6355298727203</v>
      </c>
      <c r="L97">
        <v>2665000</v>
      </c>
      <c r="M97">
        <v>3680091600</v>
      </c>
      <c r="N97">
        <v>3147179200</v>
      </c>
      <c r="O97">
        <v>6827270800</v>
      </c>
      <c r="P97">
        <v>144500</v>
      </c>
      <c r="Q97">
        <v>1674428100</v>
      </c>
      <c r="R97">
        <v>1674572600</v>
      </c>
      <c r="S97">
        <v>2140100</v>
      </c>
      <c r="T97">
        <v>69495600</v>
      </c>
      <c r="U97">
        <v>14882285700</v>
      </c>
      <c r="V97">
        <v>12928524000</v>
      </c>
      <c r="W97">
        <v>914800</v>
      </c>
      <c r="X97">
        <v>9175414800</v>
      </c>
    </row>
    <row r="98" spans="1:24" x14ac:dyDescent="0.3">
      <c r="A98">
        <v>97</v>
      </c>
      <c r="B98">
        <v>262144</v>
      </c>
      <c r="C98">
        <v>6</v>
      </c>
      <c r="D98">
        <v>343</v>
      </c>
      <c r="E98">
        <v>0.8</v>
      </c>
      <c r="F98">
        <v>10</v>
      </c>
      <c r="G98">
        <v>2047</v>
      </c>
      <c r="H98">
        <v>7688</v>
      </c>
      <c r="I98">
        <v>7163600900</v>
      </c>
      <c r="J98">
        <v>21980731000</v>
      </c>
      <c r="K98">
        <v>3.0683913449170501</v>
      </c>
      <c r="L98">
        <v>1706300</v>
      </c>
      <c r="M98">
        <v>3680241600</v>
      </c>
      <c r="N98">
        <v>1774088700</v>
      </c>
      <c r="O98">
        <v>5454330300</v>
      </c>
      <c r="P98">
        <v>80000</v>
      </c>
      <c r="Q98">
        <v>1031773900</v>
      </c>
      <c r="R98">
        <v>1031853900</v>
      </c>
      <c r="S98">
        <v>2243300</v>
      </c>
      <c r="T98">
        <v>74288900</v>
      </c>
      <c r="U98">
        <v>8395359300</v>
      </c>
      <c r="V98">
        <v>7952654900</v>
      </c>
      <c r="W98">
        <v>878200</v>
      </c>
      <c r="X98">
        <v>7163600900</v>
      </c>
    </row>
    <row r="99" spans="1:24" x14ac:dyDescent="0.3">
      <c r="A99">
        <v>98</v>
      </c>
      <c r="B99">
        <v>262144</v>
      </c>
      <c r="C99">
        <v>6</v>
      </c>
      <c r="D99">
        <v>343</v>
      </c>
      <c r="E99">
        <v>0.95</v>
      </c>
      <c r="F99">
        <v>10</v>
      </c>
      <c r="G99">
        <v>2047</v>
      </c>
      <c r="H99">
        <v>2048</v>
      </c>
      <c r="I99">
        <v>5770776600</v>
      </c>
      <c r="J99">
        <v>13189728200</v>
      </c>
      <c r="K99">
        <v>2.2856071399471598</v>
      </c>
      <c r="L99">
        <v>745600</v>
      </c>
      <c r="M99">
        <v>3681328400</v>
      </c>
      <c r="N99">
        <v>1137395800</v>
      </c>
      <c r="O99">
        <v>4818724200</v>
      </c>
      <c r="P99">
        <v>89400</v>
      </c>
      <c r="Q99">
        <v>282283900</v>
      </c>
      <c r="R99">
        <v>282373300</v>
      </c>
      <c r="S99">
        <v>2109400</v>
      </c>
      <c r="T99">
        <v>76013700</v>
      </c>
      <c r="U99">
        <v>5367246100</v>
      </c>
      <c r="V99">
        <v>2129930800</v>
      </c>
      <c r="W99">
        <v>930800</v>
      </c>
      <c r="X99">
        <v>5770776600</v>
      </c>
    </row>
    <row r="100" spans="1:24" x14ac:dyDescent="0.3">
      <c r="A100">
        <v>99</v>
      </c>
      <c r="B100">
        <v>262144</v>
      </c>
      <c r="C100">
        <v>7</v>
      </c>
      <c r="D100">
        <v>512</v>
      </c>
      <c r="E100">
        <v>0.5</v>
      </c>
      <c r="F100">
        <v>9</v>
      </c>
      <c r="G100">
        <v>1023</v>
      </c>
      <c r="H100">
        <v>19088</v>
      </c>
      <c r="I100">
        <v>20789133500</v>
      </c>
      <c r="J100">
        <v>116320898900</v>
      </c>
      <c r="K100">
        <v>5.5952740358322197</v>
      </c>
      <c r="L100">
        <v>3051000</v>
      </c>
      <c r="M100">
        <v>4391087300</v>
      </c>
      <c r="N100">
        <v>5347754100</v>
      </c>
      <c r="O100">
        <v>9738841400</v>
      </c>
      <c r="P100">
        <v>109000</v>
      </c>
      <c r="Q100">
        <v>10195802400</v>
      </c>
      <c r="R100">
        <v>10195911400</v>
      </c>
      <c r="S100">
        <v>2254400</v>
      </c>
      <c r="T100">
        <v>63141500</v>
      </c>
      <c r="U100">
        <v>28489683300</v>
      </c>
      <c r="V100">
        <v>81372112400</v>
      </c>
      <c r="W100">
        <v>915900</v>
      </c>
      <c r="X100">
        <v>20789133500</v>
      </c>
    </row>
    <row r="101" spans="1:24" x14ac:dyDescent="0.3">
      <c r="A101">
        <v>100</v>
      </c>
      <c r="B101">
        <v>262144</v>
      </c>
      <c r="C101">
        <v>7</v>
      </c>
      <c r="D101">
        <v>512</v>
      </c>
      <c r="E101">
        <v>0.2</v>
      </c>
      <c r="F101">
        <v>9</v>
      </c>
      <c r="G101">
        <v>1023</v>
      </c>
      <c r="H101">
        <v>165192</v>
      </c>
      <c r="I101">
        <v>107640392900</v>
      </c>
      <c r="J101">
        <v>784570780000</v>
      </c>
      <c r="K101">
        <v>7.2888137887872704</v>
      </c>
      <c r="L101">
        <v>19854200</v>
      </c>
      <c r="M101">
        <v>4392019900</v>
      </c>
      <c r="N101">
        <v>13519875800</v>
      </c>
      <c r="O101">
        <v>17911895700</v>
      </c>
      <c r="P101">
        <v>478700</v>
      </c>
      <c r="Q101">
        <v>89028704700</v>
      </c>
      <c r="R101">
        <v>89029183400</v>
      </c>
      <c r="S101">
        <v>2097200</v>
      </c>
      <c r="T101">
        <v>65871500</v>
      </c>
      <c r="U101">
        <v>71636493800</v>
      </c>
      <c r="V101">
        <v>706349237500</v>
      </c>
      <c r="W101">
        <v>875600</v>
      </c>
      <c r="X101">
        <v>107640392900</v>
      </c>
    </row>
    <row r="102" spans="1:24" x14ac:dyDescent="0.3">
      <c r="A102">
        <v>101</v>
      </c>
      <c r="B102">
        <v>262144</v>
      </c>
      <c r="C102">
        <v>7</v>
      </c>
      <c r="D102">
        <v>512</v>
      </c>
      <c r="E102">
        <v>0.35</v>
      </c>
      <c r="F102">
        <v>9</v>
      </c>
      <c r="G102">
        <v>1023</v>
      </c>
      <c r="H102">
        <v>49740</v>
      </c>
      <c r="I102">
        <v>40758154500</v>
      </c>
      <c r="J102">
        <v>267916712900</v>
      </c>
      <c r="K102">
        <v>6.5733278698867403</v>
      </c>
      <c r="L102">
        <v>13963400</v>
      </c>
      <c r="M102">
        <v>4395391300</v>
      </c>
      <c r="N102">
        <v>9079029100</v>
      </c>
      <c r="O102">
        <v>13474420400</v>
      </c>
      <c r="P102">
        <v>151700</v>
      </c>
      <c r="Q102">
        <v>26597158800</v>
      </c>
      <c r="R102">
        <v>26597310500</v>
      </c>
      <c r="S102">
        <v>2319200</v>
      </c>
      <c r="T102">
        <v>63632400</v>
      </c>
      <c r="U102">
        <v>48418519200</v>
      </c>
      <c r="V102">
        <v>213070778300</v>
      </c>
      <c r="W102">
        <v>955400</v>
      </c>
      <c r="X102">
        <v>40758154500</v>
      </c>
    </row>
    <row r="103" spans="1:24" x14ac:dyDescent="0.3">
      <c r="A103">
        <v>102</v>
      </c>
      <c r="B103">
        <v>262144</v>
      </c>
      <c r="C103">
        <v>7</v>
      </c>
      <c r="D103">
        <v>512</v>
      </c>
      <c r="E103">
        <v>0.5</v>
      </c>
      <c r="F103">
        <v>9</v>
      </c>
      <c r="G103">
        <v>1023</v>
      </c>
      <c r="H103">
        <v>19260</v>
      </c>
      <c r="I103">
        <v>20618742900</v>
      </c>
      <c r="J103">
        <v>116762958300</v>
      </c>
      <c r="K103">
        <v>5.6629523374094699</v>
      </c>
      <c r="L103">
        <v>3158100</v>
      </c>
      <c r="M103">
        <v>4387579800</v>
      </c>
      <c r="N103">
        <v>5276224500</v>
      </c>
      <c r="O103">
        <v>9663804300</v>
      </c>
      <c r="P103">
        <v>119200</v>
      </c>
      <c r="Q103">
        <v>10283325200</v>
      </c>
      <c r="R103">
        <v>10283444400</v>
      </c>
      <c r="S103">
        <v>2132200</v>
      </c>
      <c r="T103">
        <v>71370100</v>
      </c>
      <c r="U103">
        <v>28120545800</v>
      </c>
      <c r="V103">
        <v>82215409900</v>
      </c>
      <c r="W103">
        <v>890900</v>
      </c>
      <c r="X103">
        <v>20618742900</v>
      </c>
    </row>
    <row r="104" spans="1:24" x14ac:dyDescent="0.3">
      <c r="A104">
        <v>103</v>
      </c>
      <c r="B104">
        <v>262144</v>
      </c>
      <c r="C104">
        <v>7</v>
      </c>
      <c r="D104">
        <v>512</v>
      </c>
      <c r="E104">
        <v>0.65</v>
      </c>
      <c r="F104">
        <v>9</v>
      </c>
      <c r="G104">
        <v>1023</v>
      </c>
      <c r="H104">
        <v>8400</v>
      </c>
      <c r="I104">
        <v>11834396400</v>
      </c>
      <c r="J104">
        <v>54439704200</v>
      </c>
      <c r="K104">
        <v>4.6001251234072198</v>
      </c>
      <c r="L104">
        <v>1511500</v>
      </c>
      <c r="M104">
        <v>4389889100</v>
      </c>
      <c r="N104">
        <v>2275924500</v>
      </c>
      <c r="O104">
        <v>6665813600</v>
      </c>
      <c r="P104">
        <v>79700</v>
      </c>
      <c r="Q104">
        <v>4489035200</v>
      </c>
      <c r="R104">
        <v>4489114900</v>
      </c>
      <c r="S104">
        <v>2085500</v>
      </c>
      <c r="T104">
        <v>69932100</v>
      </c>
      <c r="U104">
        <v>12139641000</v>
      </c>
      <c r="V104">
        <v>35812328000</v>
      </c>
      <c r="W104">
        <v>876000</v>
      </c>
      <c r="X104">
        <v>11834396400</v>
      </c>
    </row>
    <row r="105" spans="1:24" x14ac:dyDescent="0.3">
      <c r="A105">
        <v>104</v>
      </c>
      <c r="B105">
        <v>262144</v>
      </c>
      <c r="C105">
        <v>7</v>
      </c>
      <c r="D105">
        <v>512</v>
      </c>
      <c r="E105">
        <v>0.8</v>
      </c>
      <c r="F105">
        <v>9</v>
      </c>
      <c r="G105">
        <v>1023</v>
      </c>
      <c r="H105">
        <v>4792</v>
      </c>
      <c r="I105">
        <v>8950207700</v>
      </c>
      <c r="J105">
        <v>33917217400</v>
      </c>
      <c r="K105">
        <v>3.7895452861948602</v>
      </c>
      <c r="L105">
        <v>917000</v>
      </c>
      <c r="M105">
        <v>4389134900</v>
      </c>
      <c r="N105">
        <v>1319478400</v>
      </c>
      <c r="O105">
        <v>5708613300</v>
      </c>
      <c r="P105">
        <v>60900</v>
      </c>
      <c r="Q105">
        <v>2569414700</v>
      </c>
      <c r="R105">
        <v>2569475600</v>
      </c>
      <c r="S105">
        <v>2078600</v>
      </c>
      <c r="T105">
        <v>62434300</v>
      </c>
      <c r="U105">
        <v>7031015200</v>
      </c>
      <c r="V105">
        <v>20390275600</v>
      </c>
      <c r="W105">
        <v>899700</v>
      </c>
      <c r="X105">
        <v>8950207700</v>
      </c>
    </row>
    <row r="106" spans="1:24" x14ac:dyDescent="0.3">
      <c r="A106">
        <v>105</v>
      </c>
      <c r="B106">
        <v>262144</v>
      </c>
      <c r="C106">
        <v>7</v>
      </c>
      <c r="D106">
        <v>512</v>
      </c>
      <c r="E106">
        <v>0.95</v>
      </c>
      <c r="F106">
        <v>9</v>
      </c>
      <c r="G106">
        <v>1023</v>
      </c>
      <c r="H106">
        <v>3072</v>
      </c>
      <c r="I106">
        <v>7175730000</v>
      </c>
      <c r="J106">
        <v>22119488800</v>
      </c>
      <c r="K106">
        <v>3.0825419574036301</v>
      </c>
      <c r="L106">
        <v>410000</v>
      </c>
      <c r="M106">
        <v>4390355100</v>
      </c>
      <c r="N106">
        <v>463312600</v>
      </c>
      <c r="O106">
        <v>4853667700</v>
      </c>
      <c r="P106">
        <v>81300</v>
      </c>
      <c r="Q106">
        <v>1652009100</v>
      </c>
      <c r="R106">
        <v>1652090400</v>
      </c>
      <c r="S106">
        <v>2246200</v>
      </c>
      <c r="T106">
        <v>67013600</v>
      </c>
      <c r="U106">
        <v>2471961500</v>
      </c>
      <c r="V106">
        <v>13077269200</v>
      </c>
      <c r="W106">
        <v>1092800</v>
      </c>
      <c r="X106">
        <v>7175730000</v>
      </c>
    </row>
    <row r="107" spans="1:24" x14ac:dyDescent="0.3">
      <c r="A107">
        <v>106</v>
      </c>
      <c r="B107">
        <v>524288</v>
      </c>
      <c r="C107">
        <v>3</v>
      </c>
      <c r="D107">
        <v>64</v>
      </c>
      <c r="E107">
        <v>0.5</v>
      </c>
      <c r="F107">
        <v>13</v>
      </c>
      <c r="G107">
        <v>16383</v>
      </c>
      <c r="H107">
        <v>302192</v>
      </c>
      <c r="I107">
        <v>6093838400</v>
      </c>
      <c r="J107">
        <v>33290106200</v>
      </c>
      <c r="K107">
        <v>5.4629125380154404</v>
      </c>
      <c r="L107">
        <v>66038900</v>
      </c>
      <c r="M107">
        <v>536338200</v>
      </c>
      <c r="N107">
        <v>2368817600</v>
      </c>
      <c r="O107">
        <v>2905155800</v>
      </c>
      <c r="P107">
        <v>820000</v>
      </c>
      <c r="Q107">
        <v>2539552200</v>
      </c>
      <c r="R107">
        <v>2540372200</v>
      </c>
      <c r="S107">
        <v>4102400</v>
      </c>
      <c r="T107">
        <v>198201400</v>
      </c>
      <c r="U107">
        <v>12176697500</v>
      </c>
      <c r="V107">
        <v>18034117400</v>
      </c>
      <c r="W107">
        <v>1826200</v>
      </c>
      <c r="X107">
        <v>6093838400</v>
      </c>
    </row>
    <row r="108" spans="1:24" x14ac:dyDescent="0.3">
      <c r="A108">
        <v>107</v>
      </c>
      <c r="B108">
        <v>524288</v>
      </c>
      <c r="C108">
        <v>3</v>
      </c>
      <c r="D108">
        <v>64</v>
      </c>
      <c r="E108">
        <v>0.2</v>
      </c>
      <c r="F108">
        <v>13</v>
      </c>
      <c r="G108">
        <v>16383</v>
      </c>
      <c r="H108" s="1">
        <v>3669184</v>
      </c>
      <c r="I108">
        <v>57609589900</v>
      </c>
      <c r="J108">
        <v>351611630100</v>
      </c>
      <c r="K108">
        <v>6.1033524229270704</v>
      </c>
      <c r="L108">
        <v>767915200</v>
      </c>
      <c r="M108">
        <v>15149700</v>
      </c>
      <c r="N108">
        <v>25295654700</v>
      </c>
      <c r="O108">
        <v>25310804400</v>
      </c>
      <c r="P108">
        <v>9494500</v>
      </c>
      <c r="Q108">
        <v>30922785200</v>
      </c>
      <c r="R108">
        <v>30932279700</v>
      </c>
      <c r="S108">
        <v>4044600</v>
      </c>
      <c r="T108">
        <v>482191200</v>
      </c>
      <c r="U108">
        <v>129332951400</v>
      </c>
      <c r="V108">
        <v>218302312500</v>
      </c>
      <c r="W108">
        <v>1811300</v>
      </c>
      <c r="X108">
        <v>57609589900</v>
      </c>
    </row>
    <row r="109" spans="1:24" x14ac:dyDescent="0.3">
      <c r="A109">
        <v>108</v>
      </c>
      <c r="B109">
        <v>524288</v>
      </c>
      <c r="C109">
        <v>3</v>
      </c>
      <c r="D109">
        <v>64</v>
      </c>
      <c r="E109">
        <v>0.35</v>
      </c>
      <c r="F109">
        <v>13</v>
      </c>
      <c r="G109">
        <v>16383</v>
      </c>
      <c r="H109">
        <v>828560</v>
      </c>
      <c r="I109">
        <v>14403770100</v>
      </c>
      <c r="J109">
        <v>85016814800</v>
      </c>
      <c r="K109">
        <v>5.9024001500829204</v>
      </c>
      <c r="L109">
        <v>185173600</v>
      </c>
      <c r="M109">
        <v>413811600</v>
      </c>
      <c r="N109">
        <v>6294258800</v>
      </c>
      <c r="O109">
        <v>6708070400</v>
      </c>
      <c r="P109">
        <v>2094900</v>
      </c>
      <c r="Q109">
        <v>6923343500</v>
      </c>
      <c r="R109">
        <v>6925438400</v>
      </c>
      <c r="S109">
        <v>4511900</v>
      </c>
      <c r="T109">
        <v>199602200</v>
      </c>
      <c r="U109">
        <v>32507547500</v>
      </c>
      <c r="V109">
        <v>49364474300</v>
      </c>
      <c r="W109">
        <v>1839500</v>
      </c>
      <c r="X109">
        <v>14403770100</v>
      </c>
    </row>
    <row r="110" spans="1:24" x14ac:dyDescent="0.3">
      <c r="A110">
        <v>109</v>
      </c>
      <c r="B110">
        <v>524288</v>
      </c>
      <c r="C110">
        <v>3</v>
      </c>
      <c r="D110">
        <v>64</v>
      </c>
      <c r="E110">
        <v>0.5</v>
      </c>
      <c r="F110">
        <v>13</v>
      </c>
      <c r="G110">
        <v>16383</v>
      </c>
      <c r="H110">
        <v>301872</v>
      </c>
      <c r="I110">
        <v>6080672700</v>
      </c>
      <c r="J110">
        <v>33509344900</v>
      </c>
      <c r="K110">
        <v>5.51079568877305</v>
      </c>
      <c r="L110">
        <v>67743100</v>
      </c>
      <c r="M110">
        <v>520646600</v>
      </c>
      <c r="N110">
        <v>2358995400</v>
      </c>
      <c r="O110">
        <v>2879642000</v>
      </c>
      <c r="P110">
        <v>826000</v>
      </c>
      <c r="Q110">
        <v>2532229900</v>
      </c>
      <c r="R110">
        <v>2533055900</v>
      </c>
      <c r="S110">
        <v>4450200</v>
      </c>
      <c r="T110">
        <v>235501800</v>
      </c>
      <c r="U110">
        <v>12226054400</v>
      </c>
      <c r="V110">
        <v>18112076000</v>
      </c>
      <c r="W110">
        <v>2244100</v>
      </c>
      <c r="X110">
        <v>6080672700</v>
      </c>
    </row>
    <row r="111" spans="1:24" x14ac:dyDescent="0.3">
      <c r="A111">
        <v>110</v>
      </c>
      <c r="B111">
        <v>524288</v>
      </c>
      <c r="C111">
        <v>3</v>
      </c>
      <c r="D111">
        <v>64</v>
      </c>
      <c r="E111">
        <v>0.65</v>
      </c>
      <c r="F111">
        <v>13</v>
      </c>
      <c r="G111">
        <v>16383</v>
      </c>
      <c r="H111">
        <v>101320</v>
      </c>
      <c r="I111">
        <v>3001161500</v>
      </c>
      <c r="J111">
        <v>14436514900</v>
      </c>
      <c r="K111">
        <v>4.8103092419384899</v>
      </c>
      <c r="L111">
        <v>27626500</v>
      </c>
      <c r="M111">
        <v>565970700</v>
      </c>
      <c r="N111">
        <v>952300700</v>
      </c>
      <c r="O111">
        <v>1518271400</v>
      </c>
      <c r="P111">
        <v>377200</v>
      </c>
      <c r="Q111">
        <v>861890100</v>
      </c>
      <c r="R111">
        <v>862267300</v>
      </c>
      <c r="S111">
        <v>4088300</v>
      </c>
      <c r="T111">
        <v>482761700</v>
      </c>
      <c r="U111">
        <v>4885152700</v>
      </c>
      <c r="V111">
        <v>6110337900</v>
      </c>
      <c r="W111">
        <v>1793800</v>
      </c>
      <c r="X111">
        <v>3001161500</v>
      </c>
    </row>
    <row r="112" spans="1:24" x14ac:dyDescent="0.3">
      <c r="A112">
        <v>111</v>
      </c>
      <c r="B112">
        <v>524288</v>
      </c>
      <c r="C112">
        <v>3</v>
      </c>
      <c r="D112">
        <v>64</v>
      </c>
      <c r="E112">
        <v>0.8</v>
      </c>
      <c r="F112">
        <v>13</v>
      </c>
      <c r="G112">
        <v>16383</v>
      </c>
      <c r="H112">
        <v>54476</v>
      </c>
      <c r="I112">
        <v>2344931400</v>
      </c>
      <c r="J112">
        <v>9071744700</v>
      </c>
      <c r="K112">
        <v>3.8686610192519901</v>
      </c>
      <c r="L112">
        <v>16463400</v>
      </c>
      <c r="M112">
        <v>580850500</v>
      </c>
      <c r="N112">
        <v>518031000</v>
      </c>
      <c r="O112">
        <v>1098881500</v>
      </c>
      <c r="P112">
        <v>138400</v>
      </c>
      <c r="Q112">
        <v>471037600</v>
      </c>
      <c r="R112">
        <v>471176000</v>
      </c>
      <c r="S112">
        <v>4363000</v>
      </c>
      <c r="T112">
        <v>205081300</v>
      </c>
      <c r="U112">
        <v>2657221900</v>
      </c>
      <c r="V112">
        <v>3299681200</v>
      </c>
      <c r="W112">
        <v>1870600</v>
      </c>
      <c r="X112">
        <v>2344931400</v>
      </c>
    </row>
    <row r="113" spans="1:24" x14ac:dyDescent="0.3">
      <c r="A113">
        <v>112</v>
      </c>
      <c r="B113">
        <v>524288</v>
      </c>
      <c r="C113">
        <v>3</v>
      </c>
      <c r="D113">
        <v>64</v>
      </c>
      <c r="E113">
        <v>0.95</v>
      </c>
      <c r="F113">
        <v>13</v>
      </c>
      <c r="G113">
        <v>16383</v>
      </c>
      <c r="H113">
        <v>16400</v>
      </c>
      <c r="I113">
        <v>1345860200</v>
      </c>
      <c r="J113">
        <v>5739447000</v>
      </c>
      <c r="K113">
        <v>4.2645194500884998</v>
      </c>
      <c r="L113">
        <v>5146400</v>
      </c>
      <c r="M113">
        <v>576132600</v>
      </c>
      <c r="N113">
        <v>309665300</v>
      </c>
      <c r="O113">
        <v>885797900</v>
      </c>
      <c r="P113">
        <v>77900</v>
      </c>
      <c r="Q113">
        <v>153595400</v>
      </c>
      <c r="R113">
        <v>153673300</v>
      </c>
      <c r="S113">
        <v>4287200</v>
      </c>
      <c r="T113">
        <v>185160400</v>
      </c>
      <c r="U113">
        <v>1599048800</v>
      </c>
      <c r="V113">
        <v>1027913000</v>
      </c>
      <c r="W113">
        <v>1797300</v>
      </c>
      <c r="X113">
        <v>1345860200</v>
      </c>
    </row>
    <row r="114" spans="1:24" x14ac:dyDescent="0.3">
      <c r="A114">
        <v>113</v>
      </c>
      <c r="B114">
        <v>524288</v>
      </c>
      <c r="C114">
        <v>4</v>
      </c>
      <c r="D114">
        <v>125</v>
      </c>
      <c r="E114">
        <v>0.5</v>
      </c>
      <c r="F114">
        <v>13</v>
      </c>
      <c r="G114">
        <v>16383</v>
      </c>
      <c r="H114">
        <v>301696</v>
      </c>
      <c r="I114">
        <v>12391629800</v>
      </c>
      <c r="J114">
        <v>69914904700</v>
      </c>
      <c r="K114">
        <v>5.64210727954445</v>
      </c>
      <c r="L114">
        <v>68542900</v>
      </c>
      <c r="M114">
        <v>1457686800</v>
      </c>
      <c r="N114">
        <v>7747147000</v>
      </c>
      <c r="O114">
        <v>9204833800</v>
      </c>
      <c r="P114">
        <v>866600</v>
      </c>
      <c r="Q114">
        <v>2615417700</v>
      </c>
      <c r="R114">
        <v>2616284300</v>
      </c>
      <c r="S114">
        <v>4320200</v>
      </c>
      <c r="T114">
        <v>540852000</v>
      </c>
      <c r="U114">
        <v>45032286700</v>
      </c>
      <c r="V114">
        <v>18246922600</v>
      </c>
      <c r="W114">
        <v>1830900</v>
      </c>
      <c r="X114">
        <v>12391629800</v>
      </c>
    </row>
    <row r="115" spans="1:24" x14ac:dyDescent="0.3">
      <c r="A115">
        <v>114</v>
      </c>
      <c r="B115">
        <v>524288</v>
      </c>
      <c r="C115">
        <v>4</v>
      </c>
      <c r="D115">
        <v>125</v>
      </c>
      <c r="E115">
        <v>0.2</v>
      </c>
      <c r="F115">
        <v>13</v>
      </c>
      <c r="G115">
        <v>16383</v>
      </c>
      <c r="H115" s="1">
        <v>3670020</v>
      </c>
      <c r="I115">
        <v>117464902600</v>
      </c>
      <c r="J115">
        <v>700932721600</v>
      </c>
      <c r="K115">
        <v>5.9671672651606098</v>
      </c>
      <c r="L115">
        <v>782969400</v>
      </c>
      <c r="M115">
        <v>765916000</v>
      </c>
      <c r="N115">
        <v>82936369100</v>
      </c>
      <c r="O115">
        <v>83702285100</v>
      </c>
      <c r="P115">
        <v>8893200</v>
      </c>
      <c r="Q115">
        <v>32183829000</v>
      </c>
      <c r="R115">
        <v>32192722200</v>
      </c>
      <c r="S115">
        <v>11006900</v>
      </c>
      <c r="T115">
        <v>506226500</v>
      </c>
      <c r="U115">
        <v>475270811400</v>
      </c>
      <c r="V115">
        <v>218389078400</v>
      </c>
      <c r="W115">
        <v>1950600</v>
      </c>
      <c r="X115">
        <v>117464902600</v>
      </c>
    </row>
    <row r="116" spans="1:24" x14ac:dyDescent="0.3">
      <c r="A116">
        <v>115</v>
      </c>
      <c r="B116">
        <v>524288</v>
      </c>
      <c r="C116">
        <v>4</v>
      </c>
      <c r="D116">
        <v>125</v>
      </c>
      <c r="E116">
        <v>0.35</v>
      </c>
      <c r="F116">
        <v>13</v>
      </c>
      <c r="G116">
        <v>16383</v>
      </c>
      <c r="H116">
        <v>828328</v>
      </c>
      <c r="I116">
        <v>30212199200</v>
      </c>
      <c r="J116">
        <v>175884041400</v>
      </c>
      <c r="K116">
        <v>5.8216232534306798</v>
      </c>
      <c r="L116">
        <v>186389300</v>
      </c>
      <c r="M116">
        <v>1360313100</v>
      </c>
      <c r="N116">
        <v>20749469700</v>
      </c>
      <c r="O116">
        <v>22109782800</v>
      </c>
      <c r="P116">
        <v>2160200</v>
      </c>
      <c r="Q116">
        <v>7141230700</v>
      </c>
      <c r="R116">
        <v>7143390900</v>
      </c>
      <c r="S116">
        <v>4025400</v>
      </c>
      <c r="T116">
        <v>213416100</v>
      </c>
      <c r="U116">
        <v>119944622800</v>
      </c>
      <c r="V116">
        <v>49343040800</v>
      </c>
      <c r="W116">
        <v>1830100</v>
      </c>
      <c r="X116">
        <v>30212199200</v>
      </c>
    </row>
    <row r="117" spans="1:24" x14ac:dyDescent="0.3">
      <c r="A117">
        <v>116</v>
      </c>
      <c r="B117">
        <v>524288</v>
      </c>
      <c r="C117">
        <v>4</v>
      </c>
      <c r="D117">
        <v>125</v>
      </c>
      <c r="E117">
        <v>0.5</v>
      </c>
      <c r="F117">
        <v>13</v>
      </c>
      <c r="G117">
        <v>16383</v>
      </c>
      <c r="H117">
        <v>301952</v>
      </c>
      <c r="I117">
        <v>12711669300</v>
      </c>
      <c r="J117">
        <v>69836290600</v>
      </c>
      <c r="K117">
        <v>5.4938725160195903</v>
      </c>
      <c r="L117">
        <v>66795400</v>
      </c>
      <c r="M117">
        <v>1470584700</v>
      </c>
      <c r="N117">
        <v>7773262300</v>
      </c>
      <c r="O117">
        <v>9243847000</v>
      </c>
      <c r="P117">
        <v>820700</v>
      </c>
      <c r="Q117">
        <v>2615412600</v>
      </c>
      <c r="R117">
        <v>2616233300</v>
      </c>
      <c r="S117">
        <v>3979200</v>
      </c>
      <c r="T117">
        <v>252906500</v>
      </c>
      <c r="U117">
        <v>45312263100</v>
      </c>
      <c r="V117">
        <v>17946727000</v>
      </c>
      <c r="W117">
        <v>1806000</v>
      </c>
      <c r="X117">
        <v>12711669300</v>
      </c>
    </row>
    <row r="118" spans="1:24" x14ac:dyDescent="0.3">
      <c r="A118">
        <v>117</v>
      </c>
      <c r="B118">
        <v>524288</v>
      </c>
      <c r="C118">
        <v>4</v>
      </c>
      <c r="D118">
        <v>125</v>
      </c>
      <c r="E118">
        <v>0.65</v>
      </c>
      <c r="F118">
        <v>13</v>
      </c>
      <c r="G118">
        <v>16383</v>
      </c>
      <c r="H118">
        <v>101692</v>
      </c>
      <c r="I118">
        <v>6347595700</v>
      </c>
      <c r="J118">
        <v>30828828000</v>
      </c>
      <c r="K118">
        <v>4.8567724626822004</v>
      </c>
      <c r="L118">
        <v>28763400</v>
      </c>
      <c r="M118">
        <v>1512730700</v>
      </c>
      <c r="N118">
        <v>3144922100</v>
      </c>
      <c r="O118">
        <v>4657652800</v>
      </c>
      <c r="P118">
        <v>379300</v>
      </c>
      <c r="Q118">
        <v>885029500</v>
      </c>
      <c r="R118">
        <v>885408800</v>
      </c>
      <c r="S118">
        <v>4306700</v>
      </c>
      <c r="T118">
        <v>257886700</v>
      </c>
      <c r="U118">
        <v>18184670400</v>
      </c>
      <c r="V118">
        <v>6120522700</v>
      </c>
      <c r="W118">
        <v>1816300</v>
      </c>
      <c r="X118">
        <v>6347595700</v>
      </c>
    </row>
    <row r="119" spans="1:24" x14ac:dyDescent="0.3">
      <c r="A119">
        <v>118</v>
      </c>
      <c r="B119">
        <v>524288</v>
      </c>
      <c r="C119">
        <v>4</v>
      </c>
      <c r="D119">
        <v>125</v>
      </c>
      <c r="E119">
        <v>0.8</v>
      </c>
      <c r="F119">
        <v>13</v>
      </c>
      <c r="G119">
        <v>16383</v>
      </c>
      <c r="H119">
        <v>55536</v>
      </c>
      <c r="I119">
        <v>4537896300</v>
      </c>
      <c r="J119">
        <v>20285795100</v>
      </c>
      <c r="K119">
        <v>4.4703082130810197</v>
      </c>
      <c r="L119">
        <v>15938600</v>
      </c>
      <c r="M119">
        <v>1526329600</v>
      </c>
      <c r="N119">
        <v>1721510400</v>
      </c>
      <c r="O119">
        <v>3247840000</v>
      </c>
      <c r="P119">
        <v>147600</v>
      </c>
      <c r="Q119">
        <v>493809300</v>
      </c>
      <c r="R119">
        <v>493956900</v>
      </c>
      <c r="S119">
        <v>4067000</v>
      </c>
      <c r="T119">
        <v>537520800</v>
      </c>
      <c r="U119">
        <v>9979055800</v>
      </c>
      <c r="V119">
        <v>3339453900</v>
      </c>
      <c r="W119">
        <v>1835800</v>
      </c>
      <c r="X119">
        <v>4537896300</v>
      </c>
    </row>
    <row r="120" spans="1:24" x14ac:dyDescent="0.3">
      <c r="A120">
        <v>119</v>
      </c>
      <c r="B120">
        <v>524288</v>
      </c>
      <c r="C120">
        <v>4</v>
      </c>
      <c r="D120">
        <v>125</v>
      </c>
      <c r="E120">
        <v>0.95</v>
      </c>
      <c r="F120">
        <v>13</v>
      </c>
      <c r="G120">
        <v>16383</v>
      </c>
      <c r="H120">
        <v>16404</v>
      </c>
      <c r="I120">
        <v>3496961100</v>
      </c>
      <c r="J120">
        <v>13477548100</v>
      </c>
      <c r="K120">
        <v>3.8540743561602602</v>
      </c>
      <c r="L120">
        <v>5121500</v>
      </c>
      <c r="M120">
        <v>1537554000</v>
      </c>
      <c r="N120">
        <v>1016834000</v>
      </c>
      <c r="O120">
        <v>2554388000</v>
      </c>
      <c r="P120">
        <v>95600</v>
      </c>
      <c r="Q120">
        <v>153635800</v>
      </c>
      <c r="R120">
        <v>153731400</v>
      </c>
      <c r="S120">
        <v>3995100</v>
      </c>
      <c r="T120">
        <v>255108300</v>
      </c>
      <c r="U120">
        <v>5856073900</v>
      </c>
      <c r="V120">
        <v>1019677600</v>
      </c>
      <c r="W120">
        <v>1856600</v>
      </c>
      <c r="X120">
        <v>3496961100</v>
      </c>
    </row>
    <row r="121" spans="1:24" x14ac:dyDescent="0.3">
      <c r="A121">
        <v>120</v>
      </c>
      <c r="B121">
        <v>524288</v>
      </c>
      <c r="C121">
        <v>5</v>
      </c>
      <c r="D121">
        <v>216</v>
      </c>
      <c r="E121">
        <v>0.5</v>
      </c>
      <c r="F121">
        <v>12</v>
      </c>
      <c r="G121">
        <v>8191</v>
      </c>
      <c r="H121">
        <v>179632</v>
      </c>
      <c r="I121">
        <v>22141703700</v>
      </c>
      <c r="J121">
        <v>110359747400</v>
      </c>
      <c r="K121">
        <v>4.9842482265716503</v>
      </c>
      <c r="L121">
        <v>32124100</v>
      </c>
      <c r="M121">
        <v>3022007600</v>
      </c>
      <c r="N121">
        <v>11964800600</v>
      </c>
      <c r="O121">
        <v>14986808200</v>
      </c>
      <c r="P121">
        <v>563900</v>
      </c>
      <c r="Q121">
        <v>6041362600</v>
      </c>
      <c r="R121">
        <v>6041926500</v>
      </c>
      <c r="S121">
        <v>3990400</v>
      </c>
      <c r="T121">
        <v>543588400</v>
      </c>
      <c r="U121">
        <v>57092898300</v>
      </c>
      <c r="V121">
        <v>44085044600</v>
      </c>
      <c r="W121">
        <v>1811900</v>
      </c>
      <c r="X121">
        <v>22141703700</v>
      </c>
    </row>
    <row r="122" spans="1:24" x14ac:dyDescent="0.3">
      <c r="A122">
        <v>121</v>
      </c>
      <c r="B122">
        <v>524288</v>
      </c>
      <c r="C122">
        <v>5</v>
      </c>
      <c r="D122">
        <v>216</v>
      </c>
      <c r="E122">
        <v>0.2</v>
      </c>
      <c r="F122">
        <v>12</v>
      </c>
      <c r="G122">
        <v>8191</v>
      </c>
      <c r="H122" s="1">
        <v>2243468</v>
      </c>
      <c r="I122">
        <v>172403679200</v>
      </c>
      <c r="J122">
        <v>997679012000</v>
      </c>
      <c r="K122">
        <v>5.7868777315513302</v>
      </c>
      <c r="L122">
        <v>375020000</v>
      </c>
      <c r="M122">
        <v>2669207100</v>
      </c>
      <c r="N122">
        <v>92604921000</v>
      </c>
      <c r="O122">
        <v>95274128100</v>
      </c>
      <c r="P122">
        <v>5502200</v>
      </c>
      <c r="Q122">
        <v>75819870700</v>
      </c>
      <c r="R122">
        <v>75825372900</v>
      </c>
      <c r="S122">
        <v>4310200</v>
      </c>
      <c r="T122">
        <v>546706400</v>
      </c>
      <c r="U122">
        <v>437591384300</v>
      </c>
      <c r="V122">
        <v>550624943400</v>
      </c>
      <c r="W122">
        <v>1908100</v>
      </c>
      <c r="X122">
        <v>172403679200</v>
      </c>
    </row>
    <row r="123" spans="1:24" x14ac:dyDescent="0.3">
      <c r="A123">
        <v>122</v>
      </c>
      <c r="B123">
        <v>524288</v>
      </c>
      <c r="C123">
        <v>5</v>
      </c>
      <c r="D123">
        <v>216</v>
      </c>
      <c r="E123">
        <v>0.35</v>
      </c>
      <c r="F123">
        <v>12</v>
      </c>
      <c r="G123">
        <v>8191</v>
      </c>
      <c r="H123">
        <v>504608</v>
      </c>
      <c r="I123">
        <v>47446428500</v>
      </c>
      <c r="J123">
        <v>259605702900</v>
      </c>
      <c r="K123">
        <v>5.4715541529116303</v>
      </c>
      <c r="L123">
        <v>88881200</v>
      </c>
      <c r="M123">
        <v>2928171800</v>
      </c>
      <c r="N123">
        <v>26569460600</v>
      </c>
      <c r="O123">
        <v>29497632400</v>
      </c>
      <c r="P123">
        <v>1345500</v>
      </c>
      <c r="Q123">
        <v>16924285400</v>
      </c>
      <c r="R123">
        <v>16925630900</v>
      </c>
      <c r="S123">
        <v>4051900</v>
      </c>
      <c r="T123">
        <v>510051400</v>
      </c>
      <c r="U123">
        <v>126421390400</v>
      </c>
      <c r="V123">
        <v>124028841000</v>
      </c>
      <c r="W123">
        <v>1864000</v>
      </c>
      <c r="X123">
        <v>47446428500</v>
      </c>
    </row>
    <row r="124" spans="1:24" x14ac:dyDescent="0.3">
      <c r="A124">
        <v>123</v>
      </c>
      <c r="B124">
        <v>524288</v>
      </c>
      <c r="C124">
        <v>5</v>
      </c>
      <c r="D124">
        <v>216</v>
      </c>
      <c r="E124">
        <v>0.5</v>
      </c>
      <c r="F124">
        <v>12</v>
      </c>
      <c r="G124">
        <v>8191</v>
      </c>
      <c r="H124">
        <v>178532</v>
      </c>
      <c r="I124">
        <v>21853101300</v>
      </c>
      <c r="J124">
        <v>110006737600</v>
      </c>
      <c r="K124">
        <v>5.0339188058401501</v>
      </c>
      <c r="L124">
        <v>35851000</v>
      </c>
      <c r="M124">
        <v>2942895800</v>
      </c>
      <c r="N124">
        <v>11981124400</v>
      </c>
      <c r="O124">
        <v>14924020200</v>
      </c>
      <c r="P124">
        <v>586900</v>
      </c>
      <c r="Q124">
        <v>5949794300</v>
      </c>
      <c r="R124">
        <v>5950381200</v>
      </c>
      <c r="S124">
        <v>4053700</v>
      </c>
      <c r="T124">
        <v>239832300</v>
      </c>
      <c r="U124">
        <v>57288576700</v>
      </c>
      <c r="V124">
        <v>43812247500</v>
      </c>
      <c r="W124">
        <v>1859500</v>
      </c>
      <c r="X124">
        <v>21853101300</v>
      </c>
    </row>
    <row r="125" spans="1:24" x14ac:dyDescent="0.3">
      <c r="A125">
        <v>124</v>
      </c>
      <c r="B125">
        <v>524288</v>
      </c>
      <c r="C125">
        <v>5</v>
      </c>
      <c r="D125">
        <v>216</v>
      </c>
      <c r="E125">
        <v>0.65</v>
      </c>
      <c r="F125">
        <v>12</v>
      </c>
      <c r="G125">
        <v>8191</v>
      </c>
      <c r="H125">
        <v>70940</v>
      </c>
      <c r="I125">
        <v>10553465200</v>
      </c>
      <c r="J125">
        <v>47265284300</v>
      </c>
      <c r="K125">
        <v>4.4786506994877797</v>
      </c>
      <c r="L125">
        <v>19237100</v>
      </c>
      <c r="M125">
        <v>2941471700</v>
      </c>
      <c r="N125">
        <v>4287362600</v>
      </c>
      <c r="O125">
        <v>7228834300</v>
      </c>
      <c r="P125">
        <v>228900</v>
      </c>
      <c r="Q125">
        <v>2371908000</v>
      </c>
      <c r="R125">
        <v>2372136900</v>
      </c>
      <c r="S125">
        <v>4044500</v>
      </c>
      <c r="T125">
        <v>536419700</v>
      </c>
      <c r="U125">
        <v>20621287800</v>
      </c>
      <c r="V125">
        <v>17465339300</v>
      </c>
      <c r="W125">
        <v>1882500</v>
      </c>
      <c r="X125">
        <v>10553465200</v>
      </c>
    </row>
    <row r="126" spans="1:24" x14ac:dyDescent="0.3">
      <c r="A126">
        <v>125</v>
      </c>
      <c r="B126">
        <v>524288</v>
      </c>
      <c r="C126">
        <v>5</v>
      </c>
      <c r="D126">
        <v>216</v>
      </c>
      <c r="E126">
        <v>0.8</v>
      </c>
      <c r="F126">
        <v>12</v>
      </c>
      <c r="G126">
        <v>8191</v>
      </c>
      <c r="H126">
        <v>33844</v>
      </c>
      <c r="I126">
        <v>7568668900</v>
      </c>
      <c r="J126">
        <v>29078716700</v>
      </c>
      <c r="K126">
        <v>3.8419855702764298</v>
      </c>
      <c r="L126">
        <v>6343300</v>
      </c>
      <c r="M126">
        <v>3022000700</v>
      </c>
      <c r="N126">
        <v>2465472600</v>
      </c>
      <c r="O126">
        <v>5487473300</v>
      </c>
      <c r="P126">
        <v>172600</v>
      </c>
      <c r="Q126">
        <v>1141375500</v>
      </c>
      <c r="R126">
        <v>1141548100</v>
      </c>
      <c r="S126">
        <v>4372300</v>
      </c>
      <c r="T126">
        <v>193622700</v>
      </c>
      <c r="U126">
        <v>11964424600</v>
      </c>
      <c r="V126">
        <v>8325333800</v>
      </c>
      <c r="W126">
        <v>1899900</v>
      </c>
      <c r="X126">
        <v>7568668900</v>
      </c>
    </row>
    <row r="127" spans="1:24" x14ac:dyDescent="0.3">
      <c r="A127">
        <v>126</v>
      </c>
      <c r="B127">
        <v>524288</v>
      </c>
      <c r="C127">
        <v>5</v>
      </c>
      <c r="D127">
        <v>216</v>
      </c>
      <c r="E127">
        <v>0.95</v>
      </c>
      <c r="F127">
        <v>12</v>
      </c>
      <c r="G127">
        <v>8191</v>
      </c>
      <c r="H127">
        <v>24572</v>
      </c>
      <c r="I127">
        <v>5513276200</v>
      </c>
      <c r="J127">
        <v>18472496500</v>
      </c>
      <c r="K127">
        <v>3.3505479917730199</v>
      </c>
      <c r="L127">
        <v>3178200</v>
      </c>
      <c r="M127">
        <v>2987736600</v>
      </c>
      <c r="N127">
        <v>760300000</v>
      </c>
      <c r="O127">
        <v>3748036600</v>
      </c>
      <c r="P127">
        <v>176800</v>
      </c>
      <c r="Q127">
        <v>833699000</v>
      </c>
      <c r="R127">
        <v>833875800</v>
      </c>
      <c r="S127">
        <v>4044600</v>
      </c>
      <c r="T127">
        <v>188592700</v>
      </c>
      <c r="U127">
        <v>3647285300</v>
      </c>
      <c r="V127">
        <v>6047467700</v>
      </c>
      <c r="W127">
        <v>1818400</v>
      </c>
      <c r="X127">
        <v>5513276200</v>
      </c>
    </row>
    <row r="128" spans="1:24" x14ac:dyDescent="0.3">
      <c r="A128">
        <v>127</v>
      </c>
      <c r="B128">
        <v>524288</v>
      </c>
      <c r="C128">
        <v>6</v>
      </c>
      <c r="D128">
        <v>343</v>
      </c>
      <c r="E128">
        <v>0.5</v>
      </c>
      <c r="F128">
        <v>11</v>
      </c>
      <c r="G128">
        <v>4095</v>
      </c>
      <c r="H128">
        <v>88144</v>
      </c>
      <c r="I128">
        <v>32688493100</v>
      </c>
      <c r="J128">
        <v>162180221900</v>
      </c>
      <c r="K128">
        <v>4.9613856901834303</v>
      </c>
      <c r="L128">
        <v>17933400</v>
      </c>
      <c r="M128">
        <v>7025770600</v>
      </c>
      <c r="N128">
        <v>12740890600</v>
      </c>
      <c r="O128">
        <v>19766661200</v>
      </c>
      <c r="P128">
        <v>269700</v>
      </c>
      <c r="Q128">
        <v>11809694000</v>
      </c>
      <c r="R128">
        <v>11809963700</v>
      </c>
      <c r="S128">
        <v>4057300</v>
      </c>
      <c r="T128">
        <v>180693500</v>
      </c>
      <c r="U128">
        <v>60114964600</v>
      </c>
      <c r="V128">
        <v>91152204100</v>
      </c>
      <c r="W128">
        <v>1852300</v>
      </c>
      <c r="X128">
        <v>32688493100</v>
      </c>
    </row>
    <row r="129" spans="1:24" x14ac:dyDescent="0.3">
      <c r="A129">
        <v>128</v>
      </c>
      <c r="B129">
        <v>524288</v>
      </c>
      <c r="C129">
        <v>6</v>
      </c>
      <c r="D129">
        <v>343</v>
      </c>
      <c r="E129">
        <v>0.2</v>
      </c>
      <c r="F129">
        <v>11</v>
      </c>
      <c r="G129">
        <v>4095</v>
      </c>
      <c r="H129">
        <v>951720</v>
      </c>
      <c r="I129">
        <v>214263992100</v>
      </c>
      <c r="J129">
        <v>1357666537300</v>
      </c>
      <c r="K129">
        <v>6.33641949817848</v>
      </c>
      <c r="L129">
        <v>144214900</v>
      </c>
      <c r="M129">
        <v>7053467800</v>
      </c>
      <c r="N129">
        <v>77485073600</v>
      </c>
      <c r="O129">
        <v>84538541400</v>
      </c>
      <c r="P129">
        <v>2579700</v>
      </c>
      <c r="Q129">
        <v>128481745100</v>
      </c>
      <c r="R129">
        <v>128484324800</v>
      </c>
      <c r="S129">
        <v>3992800</v>
      </c>
      <c r="T129">
        <v>174841600</v>
      </c>
      <c r="U129">
        <v>362909080000</v>
      </c>
      <c r="V129">
        <v>983675293300</v>
      </c>
      <c r="W129">
        <v>1832200</v>
      </c>
      <c r="X129">
        <v>214263992100</v>
      </c>
    </row>
    <row r="130" spans="1:24" x14ac:dyDescent="0.3">
      <c r="A130">
        <v>129</v>
      </c>
      <c r="B130">
        <v>524288</v>
      </c>
      <c r="C130">
        <v>6</v>
      </c>
      <c r="D130">
        <v>343</v>
      </c>
      <c r="E130">
        <v>0.35</v>
      </c>
      <c r="F130">
        <v>11</v>
      </c>
      <c r="G130">
        <v>4095</v>
      </c>
      <c r="H130">
        <v>216328</v>
      </c>
      <c r="I130">
        <v>68463050700</v>
      </c>
      <c r="J130">
        <v>382134865500</v>
      </c>
      <c r="K130">
        <v>5.5816219346474396</v>
      </c>
      <c r="L130">
        <v>36354900</v>
      </c>
      <c r="M130">
        <v>7024043300</v>
      </c>
      <c r="N130">
        <v>31297091400</v>
      </c>
      <c r="O130">
        <v>38321134700</v>
      </c>
      <c r="P130">
        <v>623900</v>
      </c>
      <c r="Q130">
        <v>29013566400</v>
      </c>
      <c r="R130">
        <v>29014190300</v>
      </c>
      <c r="S130">
        <v>4001200</v>
      </c>
      <c r="T130">
        <v>188680600</v>
      </c>
      <c r="U130">
        <v>147965963100</v>
      </c>
      <c r="V130">
        <v>223256040700</v>
      </c>
      <c r="W130">
        <v>1889700</v>
      </c>
      <c r="X130">
        <v>68463050700</v>
      </c>
    </row>
    <row r="131" spans="1:24" x14ac:dyDescent="0.3">
      <c r="A131">
        <v>130</v>
      </c>
      <c r="B131">
        <v>524288</v>
      </c>
      <c r="C131">
        <v>6</v>
      </c>
      <c r="D131">
        <v>343</v>
      </c>
      <c r="E131">
        <v>0.5</v>
      </c>
      <c r="F131">
        <v>11</v>
      </c>
      <c r="G131">
        <v>4095</v>
      </c>
      <c r="H131">
        <v>88176</v>
      </c>
      <c r="I131">
        <v>32585016800</v>
      </c>
      <c r="J131">
        <v>162421503900</v>
      </c>
      <c r="K131">
        <v>4.9845456547378504</v>
      </c>
      <c r="L131">
        <v>18110300</v>
      </c>
      <c r="M131">
        <v>7022525900</v>
      </c>
      <c r="N131">
        <v>12708076700</v>
      </c>
      <c r="O131">
        <v>19730602600</v>
      </c>
      <c r="P131">
        <v>271200</v>
      </c>
      <c r="Q131">
        <v>11731199400</v>
      </c>
      <c r="R131">
        <v>11731470600</v>
      </c>
      <c r="S131">
        <v>4439900</v>
      </c>
      <c r="T131">
        <v>176631100</v>
      </c>
      <c r="U131">
        <v>60177926000</v>
      </c>
      <c r="V131">
        <v>91236000300</v>
      </c>
      <c r="W131">
        <v>1859400</v>
      </c>
      <c r="X131">
        <v>32585016800</v>
      </c>
    </row>
    <row r="132" spans="1:24" x14ac:dyDescent="0.3">
      <c r="A132">
        <v>131</v>
      </c>
      <c r="B132">
        <v>524288</v>
      </c>
      <c r="C132">
        <v>6</v>
      </c>
      <c r="D132">
        <v>343</v>
      </c>
      <c r="E132">
        <v>0.65</v>
      </c>
      <c r="F132">
        <v>11</v>
      </c>
      <c r="G132">
        <v>4095</v>
      </c>
      <c r="H132">
        <v>30852</v>
      </c>
      <c r="I132">
        <v>17602790000</v>
      </c>
      <c r="J132">
        <v>68095432700</v>
      </c>
      <c r="K132">
        <v>3.8684454396149701</v>
      </c>
      <c r="L132">
        <v>6068500</v>
      </c>
      <c r="M132">
        <v>7019795800</v>
      </c>
      <c r="N132">
        <v>5369381100</v>
      </c>
      <c r="O132">
        <v>12389176900</v>
      </c>
      <c r="P132">
        <v>195000</v>
      </c>
      <c r="Q132">
        <v>4117604300</v>
      </c>
      <c r="R132">
        <v>4117799300</v>
      </c>
      <c r="S132">
        <v>4064200</v>
      </c>
      <c r="T132">
        <v>178636700</v>
      </c>
      <c r="U132">
        <v>25391437900</v>
      </c>
      <c r="V132">
        <v>31834290600</v>
      </c>
      <c r="W132">
        <v>1801500</v>
      </c>
      <c r="X132">
        <v>17602790000</v>
      </c>
    </row>
    <row r="133" spans="1:24" x14ac:dyDescent="0.3">
      <c r="A133">
        <v>132</v>
      </c>
      <c r="B133">
        <v>524288</v>
      </c>
      <c r="C133">
        <v>6</v>
      </c>
      <c r="D133">
        <v>343</v>
      </c>
      <c r="E133">
        <v>0.8</v>
      </c>
      <c r="F133">
        <v>11</v>
      </c>
      <c r="G133">
        <v>4095</v>
      </c>
      <c r="H133">
        <v>15608</v>
      </c>
      <c r="I133">
        <v>13504431500</v>
      </c>
      <c r="J133">
        <v>42499004700</v>
      </c>
      <c r="K133">
        <v>3.1470413767510301</v>
      </c>
      <c r="L133">
        <v>3098400</v>
      </c>
      <c r="M133">
        <v>7028946700</v>
      </c>
      <c r="N133">
        <v>3262059800</v>
      </c>
      <c r="O133">
        <v>10291006500</v>
      </c>
      <c r="P133">
        <v>156200</v>
      </c>
      <c r="Q133">
        <v>2107521400</v>
      </c>
      <c r="R133">
        <v>2107677600</v>
      </c>
      <c r="S133">
        <v>4013800</v>
      </c>
      <c r="T133">
        <v>178837600</v>
      </c>
      <c r="U133">
        <v>15475172600</v>
      </c>
      <c r="V133">
        <v>16123016800</v>
      </c>
      <c r="W133">
        <v>1855100</v>
      </c>
      <c r="X133">
        <v>13504431500</v>
      </c>
    </row>
    <row r="134" spans="1:24" x14ac:dyDescent="0.3">
      <c r="A134">
        <v>133</v>
      </c>
      <c r="B134">
        <v>524288</v>
      </c>
      <c r="C134">
        <v>6</v>
      </c>
      <c r="D134">
        <v>343</v>
      </c>
      <c r="E134">
        <v>0.95</v>
      </c>
      <c r="F134">
        <v>11</v>
      </c>
      <c r="G134">
        <v>4095</v>
      </c>
      <c r="H134">
        <v>8192</v>
      </c>
      <c r="I134">
        <v>10375105400</v>
      </c>
      <c r="J134">
        <v>24757058200</v>
      </c>
      <c r="K134">
        <v>2.3861982356342999</v>
      </c>
      <c r="L134">
        <v>1368800</v>
      </c>
      <c r="M134">
        <v>7035763200</v>
      </c>
      <c r="N134">
        <v>1136661400</v>
      </c>
      <c r="O134">
        <v>8172424600</v>
      </c>
      <c r="P134">
        <v>144600</v>
      </c>
      <c r="Q134">
        <v>1110572800</v>
      </c>
      <c r="R134">
        <v>1110717400</v>
      </c>
      <c r="S134">
        <v>4435300</v>
      </c>
      <c r="T134">
        <v>175138000</v>
      </c>
      <c r="U134">
        <v>5356072300</v>
      </c>
      <c r="V134">
        <v>8445861100</v>
      </c>
      <c r="W134">
        <v>1871200</v>
      </c>
      <c r="X134">
        <v>10375105400</v>
      </c>
    </row>
    <row r="135" spans="1:24" x14ac:dyDescent="0.3">
      <c r="A135">
        <v>134</v>
      </c>
      <c r="B135">
        <v>524288</v>
      </c>
      <c r="C135">
        <v>7</v>
      </c>
      <c r="D135">
        <v>512</v>
      </c>
      <c r="E135">
        <v>0.5</v>
      </c>
      <c r="F135">
        <v>10</v>
      </c>
      <c r="G135">
        <v>2047</v>
      </c>
      <c r="H135">
        <v>34980</v>
      </c>
      <c r="I135">
        <v>41496829500</v>
      </c>
      <c r="J135">
        <v>234110951800</v>
      </c>
      <c r="K135">
        <v>5.6416587633520203</v>
      </c>
      <c r="L135">
        <v>6208200</v>
      </c>
      <c r="M135">
        <v>8413672800</v>
      </c>
      <c r="N135">
        <v>13196117400</v>
      </c>
      <c r="O135">
        <v>21609790200</v>
      </c>
      <c r="P135">
        <v>116500</v>
      </c>
      <c r="Q135">
        <v>18787152800</v>
      </c>
      <c r="R135">
        <v>18787269300</v>
      </c>
      <c r="S135">
        <v>4061100</v>
      </c>
      <c r="T135">
        <v>176908800</v>
      </c>
      <c r="U135">
        <v>70080531900</v>
      </c>
      <c r="V135">
        <v>151288331600</v>
      </c>
      <c r="W135">
        <v>1842000</v>
      </c>
      <c r="X135">
        <v>41496829500</v>
      </c>
    </row>
    <row r="136" spans="1:24" x14ac:dyDescent="0.3">
      <c r="A136">
        <v>135</v>
      </c>
      <c r="B136">
        <v>524288</v>
      </c>
      <c r="C136">
        <v>7</v>
      </c>
      <c r="D136">
        <v>512</v>
      </c>
      <c r="E136">
        <v>0.2</v>
      </c>
      <c r="F136">
        <v>10</v>
      </c>
      <c r="G136">
        <v>2047</v>
      </c>
      <c r="H136">
        <v>338292</v>
      </c>
      <c r="I136">
        <v>266454361100</v>
      </c>
      <c r="J136">
        <v>1864330519700</v>
      </c>
      <c r="K136">
        <v>6.9968099302391096</v>
      </c>
      <c r="L136">
        <v>53490500</v>
      </c>
      <c r="M136">
        <v>8490278300</v>
      </c>
      <c r="N136">
        <v>73526074900</v>
      </c>
      <c r="O136">
        <v>82016353200</v>
      </c>
      <c r="P136">
        <v>893600</v>
      </c>
      <c r="Q136">
        <v>183273659500</v>
      </c>
      <c r="R136">
        <v>183274553100</v>
      </c>
      <c r="S136">
        <v>3985100</v>
      </c>
      <c r="T136">
        <v>166312600</v>
      </c>
      <c r="U136">
        <v>388068562100</v>
      </c>
      <c r="V136">
        <v>1463542129800</v>
      </c>
      <c r="W136">
        <v>1840200</v>
      </c>
      <c r="X136">
        <v>266454361100</v>
      </c>
    </row>
    <row r="137" spans="1:24" x14ac:dyDescent="0.3">
      <c r="A137">
        <v>136</v>
      </c>
      <c r="B137">
        <v>524288</v>
      </c>
      <c r="C137">
        <v>7</v>
      </c>
      <c r="D137">
        <v>512</v>
      </c>
      <c r="E137">
        <v>0.35</v>
      </c>
      <c r="F137">
        <v>10</v>
      </c>
      <c r="G137">
        <v>2047</v>
      </c>
      <c r="H137">
        <v>93576</v>
      </c>
      <c r="I137">
        <v>89661881900</v>
      </c>
      <c r="J137">
        <v>576065477500</v>
      </c>
      <c r="K137">
        <v>6.4248648956809298</v>
      </c>
      <c r="L137">
        <v>22843800</v>
      </c>
      <c r="M137">
        <v>8414715700</v>
      </c>
      <c r="N137">
        <v>29810303600</v>
      </c>
      <c r="O137">
        <v>38225019300</v>
      </c>
      <c r="P137">
        <v>190400</v>
      </c>
      <c r="Q137">
        <v>50324664300</v>
      </c>
      <c r="R137">
        <v>50324854700</v>
      </c>
      <c r="S137">
        <v>4002000</v>
      </c>
      <c r="T137">
        <v>177830800</v>
      </c>
      <c r="U137">
        <v>158785408100</v>
      </c>
      <c r="V137">
        <v>404628391300</v>
      </c>
      <c r="W137">
        <v>1943700</v>
      </c>
      <c r="X137">
        <v>89661881900</v>
      </c>
    </row>
    <row r="138" spans="1:24" x14ac:dyDescent="0.3">
      <c r="A138">
        <v>137</v>
      </c>
      <c r="B138">
        <v>524288</v>
      </c>
      <c r="C138">
        <v>7</v>
      </c>
      <c r="D138">
        <v>512</v>
      </c>
      <c r="E138">
        <v>0.5</v>
      </c>
      <c r="F138">
        <v>10</v>
      </c>
      <c r="G138">
        <v>2047</v>
      </c>
      <c r="H138">
        <v>34844</v>
      </c>
      <c r="I138">
        <v>41376323100</v>
      </c>
      <c r="J138">
        <v>233985763000</v>
      </c>
      <c r="K138">
        <v>5.6550641881467696</v>
      </c>
      <c r="L138">
        <v>13388800</v>
      </c>
      <c r="M138">
        <v>8415770100</v>
      </c>
      <c r="N138">
        <v>13218324700</v>
      </c>
      <c r="O138">
        <v>21634094800</v>
      </c>
      <c r="P138">
        <v>125800</v>
      </c>
      <c r="Q138">
        <v>18631006500</v>
      </c>
      <c r="R138">
        <v>18631132300</v>
      </c>
      <c r="S138">
        <v>4336400</v>
      </c>
      <c r="T138">
        <v>171598500</v>
      </c>
      <c r="U138">
        <v>70464313300</v>
      </c>
      <c r="V138">
        <v>150854394200</v>
      </c>
      <c r="W138">
        <v>1813200</v>
      </c>
      <c r="X138">
        <v>41376323100</v>
      </c>
    </row>
    <row r="139" spans="1:24" x14ac:dyDescent="0.3">
      <c r="A139">
        <v>138</v>
      </c>
      <c r="B139">
        <v>524288</v>
      </c>
      <c r="C139">
        <v>7</v>
      </c>
      <c r="D139">
        <v>512</v>
      </c>
      <c r="E139">
        <v>0.65</v>
      </c>
      <c r="F139">
        <v>10</v>
      </c>
      <c r="G139">
        <v>2047</v>
      </c>
      <c r="H139">
        <v>12420</v>
      </c>
      <c r="I139">
        <v>22459309400</v>
      </c>
      <c r="J139">
        <v>100186439200</v>
      </c>
      <c r="K139">
        <v>4.4607978551646799</v>
      </c>
      <c r="L139">
        <v>2566600</v>
      </c>
      <c r="M139">
        <v>8404308500</v>
      </c>
      <c r="N139">
        <v>6321823100</v>
      </c>
      <c r="O139">
        <v>14726131600</v>
      </c>
      <c r="P139">
        <v>117500</v>
      </c>
      <c r="Q139">
        <v>6637866600</v>
      </c>
      <c r="R139">
        <v>6637984100</v>
      </c>
      <c r="S139">
        <v>4075700</v>
      </c>
      <c r="T139">
        <v>169302200</v>
      </c>
      <c r="U139">
        <v>33612180200</v>
      </c>
      <c r="V139">
        <v>53737979300</v>
      </c>
      <c r="W139">
        <v>1836800</v>
      </c>
      <c r="X139">
        <v>22459309400</v>
      </c>
    </row>
    <row r="140" spans="1:24" x14ac:dyDescent="0.3">
      <c r="A140">
        <v>139</v>
      </c>
      <c r="B140">
        <v>524288</v>
      </c>
      <c r="C140">
        <v>7</v>
      </c>
      <c r="D140">
        <v>512</v>
      </c>
      <c r="E140">
        <v>0.8</v>
      </c>
      <c r="F140">
        <v>10</v>
      </c>
      <c r="G140">
        <v>2047</v>
      </c>
      <c r="H140">
        <v>7436</v>
      </c>
      <c r="I140">
        <v>17121024400</v>
      </c>
      <c r="J140">
        <v>63857850700</v>
      </c>
      <c r="K140">
        <v>3.7297914662162301</v>
      </c>
      <c r="L140">
        <v>1682600</v>
      </c>
      <c r="M140">
        <v>8429593800</v>
      </c>
      <c r="N140">
        <v>3584697200</v>
      </c>
      <c r="O140">
        <v>12014291000</v>
      </c>
      <c r="P140">
        <v>96100</v>
      </c>
      <c r="Q140">
        <v>4019818900</v>
      </c>
      <c r="R140">
        <v>4019915000</v>
      </c>
      <c r="S140">
        <v>4042700</v>
      </c>
      <c r="T140">
        <v>167241100</v>
      </c>
      <c r="U140">
        <v>19012028400</v>
      </c>
      <c r="V140">
        <v>32070404900</v>
      </c>
      <c r="W140">
        <v>1907500</v>
      </c>
      <c r="X140">
        <v>17121024400</v>
      </c>
    </row>
    <row r="141" spans="1:24" x14ac:dyDescent="0.3">
      <c r="A141">
        <v>140</v>
      </c>
      <c r="B141">
        <v>524288</v>
      </c>
      <c r="C141">
        <v>7</v>
      </c>
      <c r="D141">
        <v>512</v>
      </c>
      <c r="E141">
        <v>0.95</v>
      </c>
      <c r="F141">
        <v>10</v>
      </c>
      <c r="G141">
        <v>2047</v>
      </c>
      <c r="H141">
        <v>2048</v>
      </c>
      <c r="I141">
        <v>12890786700</v>
      </c>
      <c r="J141">
        <v>33527968300</v>
      </c>
      <c r="K141">
        <v>2.6009249148463498</v>
      </c>
      <c r="L141">
        <v>805900</v>
      </c>
      <c r="M141">
        <v>8422380800</v>
      </c>
      <c r="N141">
        <v>2259599900</v>
      </c>
      <c r="O141">
        <v>10681980700</v>
      </c>
      <c r="P141">
        <v>98200</v>
      </c>
      <c r="Q141">
        <v>1119102500</v>
      </c>
      <c r="R141">
        <v>1119200700</v>
      </c>
      <c r="S141">
        <v>4081700</v>
      </c>
      <c r="T141">
        <v>167208400</v>
      </c>
      <c r="U141">
        <v>11881872400</v>
      </c>
      <c r="V141">
        <v>8829859500</v>
      </c>
      <c r="W141">
        <v>1830400</v>
      </c>
      <c r="X141">
        <v>12890786700</v>
      </c>
    </row>
    <row r="142" spans="1:24" x14ac:dyDescent="0.3">
      <c r="A142">
        <v>141</v>
      </c>
      <c r="B142">
        <v>1048576</v>
      </c>
      <c r="C142">
        <v>3</v>
      </c>
      <c r="D142">
        <v>64</v>
      </c>
      <c r="E142">
        <v>0.5</v>
      </c>
      <c r="F142">
        <v>14</v>
      </c>
      <c r="G142">
        <v>32767</v>
      </c>
      <c r="H142">
        <v>721176</v>
      </c>
      <c r="I142">
        <v>12547525900</v>
      </c>
      <c r="J142">
        <v>72223390800</v>
      </c>
      <c r="K142">
        <v>5.75598658855926</v>
      </c>
      <c r="L142">
        <v>189305300</v>
      </c>
      <c r="M142">
        <v>885713100</v>
      </c>
      <c r="N142">
        <v>4434262200</v>
      </c>
      <c r="O142">
        <v>5319975300</v>
      </c>
      <c r="P142">
        <v>1897200</v>
      </c>
      <c r="Q142">
        <v>6053856400</v>
      </c>
      <c r="R142">
        <v>6055753600</v>
      </c>
      <c r="S142">
        <v>8548600</v>
      </c>
      <c r="T142">
        <v>491499500</v>
      </c>
      <c r="U142">
        <v>22575249500</v>
      </c>
      <c r="V142">
        <v>43199575100</v>
      </c>
      <c r="W142">
        <v>4080800</v>
      </c>
      <c r="X142">
        <v>12547525900</v>
      </c>
    </row>
    <row r="143" spans="1:24" x14ac:dyDescent="0.3">
      <c r="A143">
        <v>142</v>
      </c>
      <c r="B143">
        <v>1048576</v>
      </c>
      <c r="C143">
        <v>3</v>
      </c>
      <c r="D143">
        <v>64</v>
      </c>
      <c r="E143">
        <v>0.2</v>
      </c>
      <c r="F143">
        <v>14</v>
      </c>
      <c r="G143">
        <v>32767</v>
      </c>
      <c r="H143" s="1">
        <v>9813632</v>
      </c>
      <c r="I143">
        <v>129963162100</v>
      </c>
      <c r="J143">
        <v>815359451600</v>
      </c>
      <c r="K143">
        <v>6.27377357110334</v>
      </c>
      <c r="L143">
        <v>2176644300</v>
      </c>
      <c r="M143">
        <v>30338100</v>
      </c>
      <c r="N143">
        <v>43707479700</v>
      </c>
      <c r="O143">
        <v>43737817800</v>
      </c>
      <c r="P143">
        <v>27592100</v>
      </c>
      <c r="Q143">
        <v>83049511200</v>
      </c>
      <c r="R143">
        <v>83077103300</v>
      </c>
      <c r="S143">
        <v>7901500</v>
      </c>
      <c r="T143">
        <v>442551100</v>
      </c>
      <c r="U143">
        <v>222841980200</v>
      </c>
      <c r="V143">
        <v>585363069100</v>
      </c>
      <c r="W143">
        <v>3864200</v>
      </c>
      <c r="X143">
        <v>129963162100</v>
      </c>
    </row>
    <row r="144" spans="1:24" x14ac:dyDescent="0.3">
      <c r="A144">
        <v>143</v>
      </c>
      <c r="B144">
        <v>1048576</v>
      </c>
      <c r="C144">
        <v>3</v>
      </c>
      <c r="D144">
        <v>64</v>
      </c>
      <c r="E144">
        <v>0.35</v>
      </c>
      <c r="F144">
        <v>14</v>
      </c>
      <c r="G144">
        <v>32767</v>
      </c>
      <c r="H144" s="1">
        <v>1925380</v>
      </c>
      <c r="I144">
        <v>29804513700</v>
      </c>
      <c r="J144">
        <v>181283739900</v>
      </c>
      <c r="K144">
        <v>6.0824256931258001</v>
      </c>
      <c r="L144">
        <v>392836200</v>
      </c>
      <c r="M144">
        <v>690716600</v>
      </c>
      <c r="N144">
        <v>11669617600</v>
      </c>
      <c r="O144">
        <v>12360334200</v>
      </c>
      <c r="P144">
        <v>4779000</v>
      </c>
      <c r="Q144">
        <v>16081098300</v>
      </c>
      <c r="R144">
        <v>16085877300</v>
      </c>
      <c r="S144">
        <v>7767100</v>
      </c>
      <c r="T144">
        <v>812530800</v>
      </c>
      <c r="U144">
        <v>59718462100</v>
      </c>
      <c r="V144">
        <v>115116679100</v>
      </c>
      <c r="W144">
        <v>4027100</v>
      </c>
      <c r="X144">
        <v>29804513700</v>
      </c>
    </row>
    <row r="145" spans="1:24" x14ac:dyDescent="0.3">
      <c r="A145">
        <v>144</v>
      </c>
      <c r="B145">
        <v>1048576</v>
      </c>
      <c r="C145">
        <v>3</v>
      </c>
      <c r="D145">
        <v>64</v>
      </c>
      <c r="E145">
        <v>0.5</v>
      </c>
      <c r="F145">
        <v>14</v>
      </c>
      <c r="G145">
        <v>32767</v>
      </c>
      <c r="H145">
        <v>721084</v>
      </c>
      <c r="I145">
        <v>12500447400</v>
      </c>
      <c r="J145">
        <v>71852436000</v>
      </c>
      <c r="K145">
        <v>5.7479891479724099</v>
      </c>
      <c r="L145">
        <v>517367500</v>
      </c>
      <c r="M145">
        <v>540389300</v>
      </c>
      <c r="N145">
        <v>4403884400</v>
      </c>
      <c r="O145">
        <v>4944273700</v>
      </c>
      <c r="P145">
        <v>2057900</v>
      </c>
      <c r="Q145">
        <v>6037666400</v>
      </c>
      <c r="R145">
        <v>6039724300</v>
      </c>
      <c r="S145">
        <v>7903200</v>
      </c>
      <c r="T145">
        <v>505776900</v>
      </c>
      <c r="U145">
        <v>22619178100</v>
      </c>
      <c r="V145">
        <v>43250327600</v>
      </c>
      <c r="W145">
        <v>3917300</v>
      </c>
      <c r="X145">
        <v>12500447400</v>
      </c>
    </row>
    <row r="146" spans="1:24" x14ac:dyDescent="0.3">
      <c r="A146">
        <v>145</v>
      </c>
      <c r="B146">
        <v>1048576</v>
      </c>
      <c r="C146">
        <v>3</v>
      </c>
      <c r="D146">
        <v>64</v>
      </c>
      <c r="E146">
        <v>0.65</v>
      </c>
      <c r="F146">
        <v>14</v>
      </c>
      <c r="G146">
        <v>32767</v>
      </c>
      <c r="H146">
        <v>250656</v>
      </c>
      <c r="I146">
        <v>5757168300</v>
      </c>
      <c r="J146">
        <v>29578881400</v>
      </c>
      <c r="K146">
        <v>5.1377482572465301</v>
      </c>
      <c r="L146">
        <v>49138700</v>
      </c>
      <c r="M146">
        <v>1028391500</v>
      </c>
      <c r="N146">
        <v>1593471300</v>
      </c>
      <c r="O146">
        <v>2621862800</v>
      </c>
      <c r="P146">
        <v>774600</v>
      </c>
      <c r="Q146">
        <v>2116302400</v>
      </c>
      <c r="R146">
        <v>2117077000</v>
      </c>
      <c r="S146">
        <v>8546800</v>
      </c>
      <c r="T146">
        <v>482394600</v>
      </c>
      <c r="U146">
        <v>8265959300</v>
      </c>
      <c r="V146">
        <v>15137751500</v>
      </c>
      <c r="W146">
        <v>3726900</v>
      </c>
      <c r="X146">
        <v>5757168300</v>
      </c>
    </row>
    <row r="147" spans="1:24" x14ac:dyDescent="0.3">
      <c r="A147">
        <v>146</v>
      </c>
      <c r="B147">
        <v>1048576</v>
      </c>
      <c r="C147">
        <v>3</v>
      </c>
      <c r="D147">
        <v>64</v>
      </c>
      <c r="E147">
        <v>0.8</v>
      </c>
      <c r="F147">
        <v>14</v>
      </c>
      <c r="G147">
        <v>32767</v>
      </c>
      <c r="H147">
        <v>116308</v>
      </c>
      <c r="I147">
        <v>3967381100</v>
      </c>
      <c r="J147">
        <v>17802372900</v>
      </c>
      <c r="K147">
        <v>4.4871849845733198</v>
      </c>
      <c r="L147">
        <v>25989200</v>
      </c>
      <c r="M147">
        <v>1041226500</v>
      </c>
      <c r="N147">
        <v>906640400</v>
      </c>
      <c r="O147">
        <v>1947866900</v>
      </c>
      <c r="P147">
        <v>406500</v>
      </c>
      <c r="Q147">
        <v>1005798000</v>
      </c>
      <c r="R147">
        <v>1006204500</v>
      </c>
      <c r="S147">
        <v>7936100</v>
      </c>
      <c r="T147">
        <v>475822600</v>
      </c>
      <c r="U147">
        <v>4628601000</v>
      </c>
      <c r="V147">
        <v>7024068100</v>
      </c>
      <c r="W147">
        <v>3854900</v>
      </c>
      <c r="X147">
        <v>3967381100</v>
      </c>
    </row>
    <row r="148" spans="1:24" x14ac:dyDescent="0.3">
      <c r="A148">
        <v>147</v>
      </c>
      <c r="B148">
        <v>1048576</v>
      </c>
      <c r="C148">
        <v>3</v>
      </c>
      <c r="D148">
        <v>64</v>
      </c>
      <c r="E148">
        <v>0.95</v>
      </c>
      <c r="F148">
        <v>14</v>
      </c>
      <c r="G148">
        <v>32767</v>
      </c>
      <c r="H148">
        <v>65536</v>
      </c>
      <c r="I148">
        <v>2946087400</v>
      </c>
      <c r="J148">
        <v>12181469200</v>
      </c>
      <c r="K148">
        <v>4.1347955936405603</v>
      </c>
      <c r="L148">
        <v>10177500</v>
      </c>
      <c r="M148">
        <v>1051248200</v>
      </c>
      <c r="N148">
        <v>306514200</v>
      </c>
      <c r="O148">
        <v>1357762400</v>
      </c>
      <c r="P148">
        <v>167300</v>
      </c>
      <c r="Q148">
        <v>578910900</v>
      </c>
      <c r="R148">
        <v>579078200</v>
      </c>
      <c r="S148">
        <v>8471200</v>
      </c>
      <c r="T148">
        <v>773309000</v>
      </c>
      <c r="U148">
        <v>1594063400</v>
      </c>
      <c r="V148">
        <v>3965795800</v>
      </c>
      <c r="W148">
        <v>3721700</v>
      </c>
      <c r="X148">
        <v>2946087400</v>
      </c>
    </row>
    <row r="149" spans="1:24" x14ac:dyDescent="0.3">
      <c r="A149">
        <v>148</v>
      </c>
      <c r="B149">
        <v>1048576</v>
      </c>
      <c r="C149">
        <v>4</v>
      </c>
      <c r="D149">
        <v>125</v>
      </c>
      <c r="E149">
        <v>0.5</v>
      </c>
      <c r="F149">
        <v>14</v>
      </c>
      <c r="G149">
        <v>32767</v>
      </c>
      <c r="H149">
        <v>722028</v>
      </c>
      <c r="I149">
        <v>25253516700</v>
      </c>
      <c r="J149">
        <v>139840141300</v>
      </c>
      <c r="K149">
        <v>5.5374521877976699</v>
      </c>
      <c r="L149">
        <v>141076800</v>
      </c>
      <c r="M149">
        <v>2823631100</v>
      </c>
      <c r="N149">
        <v>14495549600</v>
      </c>
      <c r="O149">
        <v>17319180700</v>
      </c>
      <c r="P149">
        <v>2088000</v>
      </c>
      <c r="Q149">
        <v>6267316700</v>
      </c>
      <c r="R149">
        <v>6269404700</v>
      </c>
      <c r="S149">
        <v>8615900</v>
      </c>
      <c r="T149">
        <v>496222400</v>
      </c>
      <c r="U149">
        <v>83584198300</v>
      </c>
      <c r="V149">
        <v>43225109100</v>
      </c>
      <c r="W149">
        <v>3719000</v>
      </c>
      <c r="X149">
        <v>25253516700</v>
      </c>
    </row>
    <row r="150" spans="1:24" x14ac:dyDescent="0.3">
      <c r="A150">
        <v>149</v>
      </c>
      <c r="B150">
        <v>1048576</v>
      </c>
      <c r="C150">
        <v>4</v>
      </c>
      <c r="D150">
        <v>125</v>
      </c>
      <c r="E150">
        <v>0.2</v>
      </c>
      <c r="F150">
        <v>14</v>
      </c>
      <c r="G150">
        <v>32767</v>
      </c>
      <c r="H150" s="1">
        <v>9804296</v>
      </c>
      <c r="I150">
        <v>234223404000</v>
      </c>
      <c r="J150">
        <v>1422221480300</v>
      </c>
      <c r="K150">
        <v>6.0720724573706502</v>
      </c>
      <c r="L150">
        <v>1889414800</v>
      </c>
      <c r="M150">
        <v>1035041800</v>
      </c>
      <c r="N150">
        <v>144217959400</v>
      </c>
      <c r="O150">
        <v>145253001200</v>
      </c>
      <c r="P150">
        <v>28603700</v>
      </c>
      <c r="Q150">
        <v>85607081800</v>
      </c>
      <c r="R150">
        <v>85635685500</v>
      </c>
      <c r="S150">
        <v>22539600</v>
      </c>
      <c r="T150">
        <v>566388800</v>
      </c>
      <c r="U150">
        <v>823622845500</v>
      </c>
      <c r="V150">
        <v>584496301200</v>
      </c>
      <c r="W150">
        <v>3796700</v>
      </c>
      <c r="X150">
        <v>234223404000</v>
      </c>
    </row>
    <row r="151" spans="1:24" x14ac:dyDescent="0.3">
      <c r="A151">
        <v>150</v>
      </c>
      <c r="B151">
        <v>1048576</v>
      </c>
      <c r="C151">
        <v>4</v>
      </c>
      <c r="D151">
        <v>125</v>
      </c>
      <c r="E151">
        <v>0.35</v>
      </c>
      <c r="F151">
        <v>14</v>
      </c>
      <c r="G151">
        <v>32767</v>
      </c>
      <c r="H151" s="1">
        <v>1927584</v>
      </c>
      <c r="I151">
        <v>59422022300</v>
      </c>
      <c r="J151">
        <v>349812263100</v>
      </c>
      <c r="K151">
        <v>5.8869127902434197</v>
      </c>
      <c r="L151">
        <v>380458800</v>
      </c>
      <c r="M151">
        <v>2608136400</v>
      </c>
      <c r="N151">
        <v>38383510800</v>
      </c>
      <c r="O151">
        <v>40991647200</v>
      </c>
      <c r="P151">
        <v>5439500</v>
      </c>
      <c r="Q151">
        <v>16714715400</v>
      </c>
      <c r="R151">
        <v>16720154900</v>
      </c>
      <c r="S151">
        <v>8080700</v>
      </c>
      <c r="T151">
        <v>885798900</v>
      </c>
      <c r="U151">
        <v>221098692300</v>
      </c>
      <c r="V151">
        <v>115086326600</v>
      </c>
      <c r="W151">
        <v>3883700</v>
      </c>
      <c r="X151">
        <v>59422022300</v>
      </c>
    </row>
    <row r="152" spans="1:24" x14ac:dyDescent="0.3">
      <c r="A152">
        <v>151</v>
      </c>
      <c r="B152">
        <v>1048576</v>
      </c>
      <c r="C152">
        <v>4</v>
      </c>
      <c r="D152">
        <v>125</v>
      </c>
      <c r="E152">
        <v>0.5</v>
      </c>
      <c r="F152">
        <v>14</v>
      </c>
      <c r="G152">
        <v>32767</v>
      </c>
      <c r="H152">
        <v>720924</v>
      </c>
      <c r="I152">
        <v>24951841300</v>
      </c>
      <c r="J152">
        <v>139756877400</v>
      </c>
      <c r="K152">
        <v>5.6010646957745696</v>
      </c>
      <c r="L152">
        <v>142287800</v>
      </c>
      <c r="M152">
        <v>2806835300</v>
      </c>
      <c r="N152">
        <v>14431226800</v>
      </c>
      <c r="O152">
        <v>17238062100</v>
      </c>
      <c r="P152">
        <v>2077000</v>
      </c>
      <c r="Q152">
        <v>6199238900</v>
      </c>
      <c r="R152">
        <v>6201315900</v>
      </c>
      <c r="S152">
        <v>7829900</v>
      </c>
      <c r="T152">
        <v>494100400</v>
      </c>
      <c r="U152">
        <v>83607989100</v>
      </c>
      <c r="V152">
        <v>43101029900</v>
      </c>
      <c r="W152">
        <v>3747900</v>
      </c>
      <c r="X152">
        <v>24951841300</v>
      </c>
    </row>
    <row r="153" spans="1:24" x14ac:dyDescent="0.3">
      <c r="A153">
        <v>152</v>
      </c>
      <c r="B153">
        <v>1048576</v>
      </c>
      <c r="C153">
        <v>4</v>
      </c>
      <c r="D153">
        <v>125</v>
      </c>
      <c r="E153">
        <v>0.65</v>
      </c>
      <c r="F153">
        <v>14</v>
      </c>
      <c r="G153">
        <v>32767</v>
      </c>
      <c r="H153">
        <v>250680</v>
      </c>
      <c r="I153">
        <v>11798020300</v>
      </c>
      <c r="J153">
        <v>59113975800</v>
      </c>
      <c r="K153">
        <v>5.0104995835614803</v>
      </c>
      <c r="L153">
        <v>48811800</v>
      </c>
      <c r="M153">
        <v>2907959200</v>
      </c>
      <c r="N153">
        <v>5304058800</v>
      </c>
      <c r="O153">
        <v>8212018000</v>
      </c>
      <c r="P153">
        <v>734500</v>
      </c>
      <c r="Q153">
        <v>2176693900</v>
      </c>
      <c r="R153">
        <v>2177428400</v>
      </c>
      <c r="S153">
        <v>7798500</v>
      </c>
      <c r="T153">
        <v>857448200</v>
      </c>
      <c r="U153">
        <v>30744382900</v>
      </c>
      <c r="V153">
        <v>15128919100</v>
      </c>
      <c r="W153">
        <v>3819300</v>
      </c>
      <c r="X153">
        <v>11798020300</v>
      </c>
    </row>
    <row r="154" spans="1:24" x14ac:dyDescent="0.3">
      <c r="A154">
        <v>153</v>
      </c>
      <c r="B154">
        <v>1048576</v>
      </c>
      <c r="C154">
        <v>4</v>
      </c>
      <c r="D154">
        <v>125</v>
      </c>
      <c r="E154">
        <v>0.8</v>
      </c>
      <c r="F154">
        <v>14</v>
      </c>
      <c r="G154">
        <v>32767</v>
      </c>
      <c r="H154">
        <v>116004</v>
      </c>
      <c r="I154">
        <v>8288790000</v>
      </c>
      <c r="J154">
        <v>37333167800</v>
      </c>
      <c r="K154">
        <v>4.5040552119187396</v>
      </c>
      <c r="L154">
        <v>24458300</v>
      </c>
      <c r="M154">
        <v>2951308800</v>
      </c>
      <c r="N154">
        <v>2935784900</v>
      </c>
      <c r="O154">
        <v>5887093700</v>
      </c>
      <c r="P154">
        <v>405600</v>
      </c>
      <c r="Q154">
        <v>1035869900</v>
      </c>
      <c r="R154">
        <v>1036275500</v>
      </c>
      <c r="S154">
        <v>8476100</v>
      </c>
      <c r="T154">
        <v>849380500</v>
      </c>
      <c r="U154">
        <v>16992824400</v>
      </c>
      <c r="V154">
        <v>6980618500</v>
      </c>
      <c r="W154">
        <v>3708200</v>
      </c>
      <c r="X154">
        <v>8288790000</v>
      </c>
    </row>
    <row r="155" spans="1:24" x14ac:dyDescent="0.3">
      <c r="A155">
        <v>154</v>
      </c>
      <c r="B155">
        <v>1048576</v>
      </c>
      <c r="C155">
        <v>4</v>
      </c>
      <c r="D155">
        <v>125</v>
      </c>
      <c r="E155">
        <v>0.95</v>
      </c>
      <c r="F155">
        <v>14</v>
      </c>
      <c r="G155">
        <v>32767</v>
      </c>
      <c r="H155">
        <v>65536</v>
      </c>
      <c r="I155">
        <v>5910437000</v>
      </c>
      <c r="J155">
        <v>23244791200</v>
      </c>
      <c r="K155">
        <v>3.9328379948893701</v>
      </c>
      <c r="L155">
        <v>10310900</v>
      </c>
      <c r="M155">
        <v>2960625900</v>
      </c>
      <c r="N155">
        <v>1011799600</v>
      </c>
      <c r="O155">
        <v>3972425500</v>
      </c>
      <c r="P155">
        <v>165500</v>
      </c>
      <c r="Q155">
        <v>581592300</v>
      </c>
      <c r="R155">
        <v>581757800</v>
      </c>
      <c r="S155">
        <v>8077200</v>
      </c>
      <c r="T155">
        <v>849321200</v>
      </c>
      <c r="U155">
        <v>5849569800</v>
      </c>
      <c r="V155">
        <v>3974415500</v>
      </c>
      <c r="W155">
        <v>3740800</v>
      </c>
      <c r="X155">
        <v>5910437000</v>
      </c>
    </row>
    <row r="156" spans="1:24" x14ac:dyDescent="0.3">
      <c r="A156">
        <v>155</v>
      </c>
      <c r="B156">
        <v>1048576</v>
      </c>
      <c r="C156">
        <v>5</v>
      </c>
      <c r="D156">
        <v>216</v>
      </c>
      <c r="E156">
        <v>0.5</v>
      </c>
      <c r="F156">
        <v>13</v>
      </c>
      <c r="G156">
        <v>16383</v>
      </c>
      <c r="H156">
        <v>310760</v>
      </c>
      <c r="I156">
        <v>45689451200</v>
      </c>
      <c r="J156">
        <v>225356141100</v>
      </c>
      <c r="K156">
        <v>4.9323451077039797</v>
      </c>
      <c r="L156">
        <v>63537500</v>
      </c>
      <c r="M156">
        <v>5772049700</v>
      </c>
      <c r="N156">
        <v>27732915100</v>
      </c>
      <c r="O156">
        <v>33504964800</v>
      </c>
      <c r="P156">
        <v>878600</v>
      </c>
      <c r="Q156">
        <v>10452603000</v>
      </c>
      <c r="R156">
        <v>10453481600</v>
      </c>
      <c r="S156">
        <v>7973500</v>
      </c>
      <c r="T156">
        <v>832094200</v>
      </c>
      <c r="U156">
        <v>131123827400</v>
      </c>
      <c r="V156">
        <v>76466538600</v>
      </c>
      <c r="W156">
        <v>3941200</v>
      </c>
      <c r="X156">
        <v>45689451200</v>
      </c>
    </row>
    <row r="157" spans="1:24" x14ac:dyDescent="0.3">
      <c r="A157">
        <v>156</v>
      </c>
      <c r="B157">
        <v>1048576</v>
      </c>
      <c r="C157">
        <v>5</v>
      </c>
      <c r="D157">
        <v>216</v>
      </c>
      <c r="E157">
        <v>0.2</v>
      </c>
      <c r="F157">
        <v>13</v>
      </c>
      <c r="G157">
        <v>16383</v>
      </c>
      <c r="H157" s="1">
        <v>3778020</v>
      </c>
      <c r="I157">
        <v>432002084500</v>
      </c>
      <c r="J157">
        <v>2347893211300</v>
      </c>
      <c r="K157">
        <v>5.4349117644130196</v>
      </c>
      <c r="L157">
        <v>840513700</v>
      </c>
      <c r="M157">
        <v>4956048200</v>
      </c>
      <c r="N157">
        <v>296846835100</v>
      </c>
      <c r="O157">
        <v>301802883300</v>
      </c>
      <c r="P157">
        <v>9818600</v>
      </c>
      <c r="Q157">
        <v>127647493500</v>
      </c>
      <c r="R157">
        <v>127657312100</v>
      </c>
      <c r="S157">
        <v>22195700</v>
      </c>
      <c r="T157">
        <v>509923000</v>
      </c>
      <c r="U157">
        <v>1387502902700</v>
      </c>
      <c r="V157">
        <v>942353248000</v>
      </c>
      <c r="W157">
        <v>3759300</v>
      </c>
      <c r="X157">
        <v>432002084500</v>
      </c>
    </row>
    <row r="158" spans="1:24" x14ac:dyDescent="0.3">
      <c r="A158">
        <v>157</v>
      </c>
      <c r="B158">
        <v>1048576</v>
      </c>
      <c r="C158">
        <v>5</v>
      </c>
      <c r="D158">
        <v>216</v>
      </c>
      <c r="E158">
        <v>0.35</v>
      </c>
      <c r="F158">
        <v>13</v>
      </c>
      <c r="G158">
        <v>16383</v>
      </c>
      <c r="H158">
        <v>864912</v>
      </c>
      <c r="I158">
        <v>110295775300</v>
      </c>
      <c r="J158">
        <v>580302897000</v>
      </c>
      <c r="K158">
        <v>5.2613338581790599</v>
      </c>
      <c r="L158">
        <v>176881600</v>
      </c>
      <c r="M158">
        <v>5710413900</v>
      </c>
      <c r="N158">
        <v>73822136200</v>
      </c>
      <c r="O158">
        <v>79532550100</v>
      </c>
      <c r="P158">
        <v>2408300</v>
      </c>
      <c r="Q158">
        <v>28950049500</v>
      </c>
      <c r="R158">
        <v>28952457800</v>
      </c>
      <c r="S158">
        <v>21776700</v>
      </c>
      <c r="T158">
        <v>812586700</v>
      </c>
      <c r="U158">
        <v>348895276300</v>
      </c>
      <c r="V158">
        <v>213586101100</v>
      </c>
      <c r="W158">
        <v>3723300</v>
      </c>
      <c r="X158">
        <v>110295775300</v>
      </c>
    </row>
    <row r="159" spans="1:24" x14ac:dyDescent="0.3">
      <c r="A159">
        <v>158</v>
      </c>
      <c r="B159">
        <v>1048576</v>
      </c>
      <c r="C159">
        <v>5</v>
      </c>
      <c r="D159">
        <v>216</v>
      </c>
      <c r="E159">
        <v>0.5</v>
      </c>
      <c r="F159">
        <v>13</v>
      </c>
      <c r="G159">
        <v>16383</v>
      </c>
      <c r="H159">
        <v>310488</v>
      </c>
      <c r="I159">
        <v>45475918000</v>
      </c>
      <c r="J159">
        <v>225983728500</v>
      </c>
      <c r="K159">
        <v>4.9693054794407798</v>
      </c>
      <c r="L159">
        <v>68121000</v>
      </c>
      <c r="M159">
        <v>5842524800</v>
      </c>
      <c r="N159">
        <v>27519070600</v>
      </c>
      <c r="O159">
        <v>33361595400</v>
      </c>
      <c r="P159">
        <v>848300</v>
      </c>
      <c r="Q159">
        <v>10411364500</v>
      </c>
      <c r="R159">
        <v>10412212800</v>
      </c>
      <c r="S159">
        <v>7975300</v>
      </c>
      <c r="T159">
        <v>840378600</v>
      </c>
      <c r="U159">
        <v>131531646900</v>
      </c>
      <c r="V159">
        <v>76814605300</v>
      </c>
      <c r="W159">
        <v>3757700</v>
      </c>
      <c r="X159">
        <v>45475918000</v>
      </c>
    </row>
    <row r="160" spans="1:24" x14ac:dyDescent="0.3">
      <c r="A160">
        <v>159</v>
      </c>
      <c r="B160">
        <v>1048576</v>
      </c>
      <c r="C160">
        <v>5</v>
      </c>
      <c r="D160">
        <v>216</v>
      </c>
      <c r="E160">
        <v>0.65</v>
      </c>
      <c r="F160">
        <v>13</v>
      </c>
      <c r="G160">
        <v>16383</v>
      </c>
      <c r="H160">
        <v>103396</v>
      </c>
      <c r="I160">
        <v>22114893300</v>
      </c>
      <c r="J160">
        <v>96723877600</v>
      </c>
      <c r="K160">
        <v>4.3736985880008703</v>
      </c>
      <c r="L160">
        <v>24764000</v>
      </c>
      <c r="M160">
        <v>5798897900</v>
      </c>
      <c r="N160">
        <v>11119809700</v>
      </c>
      <c r="O160">
        <v>16918707600</v>
      </c>
      <c r="P160">
        <v>403400</v>
      </c>
      <c r="Q160">
        <v>3500209000</v>
      </c>
      <c r="R160">
        <v>3500612400</v>
      </c>
      <c r="S160">
        <v>7794200</v>
      </c>
      <c r="T160">
        <v>836683200</v>
      </c>
      <c r="U160">
        <v>53284766900</v>
      </c>
      <c r="V160">
        <v>25567643100</v>
      </c>
      <c r="W160">
        <v>3793300</v>
      </c>
      <c r="X160">
        <v>22114893300</v>
      </c>
    </row>
    <row r="161" spans="1:24" x14ac:dyDescent="0.3">
      <c r="A161">
        <v>160</v>
      </c>
      <c r="B161">
        <v>1048576</v>
      </c>
      <c r="C161">
        <v>5</v>
      </c>
      <c r="D161">
        <v>216</v>
      </c>
      <c r="E161">
        <v>0.8</v>
      </c>
      <c r="F161">
        <v>13</v>
      </c>
      <c r="G161">
        <v>16383</v>
      </c>
      <c r="H161">
        <v>59384</v>
      </c>
      <c r="I161">
        <v>15258911600</v>
      </c>
      <c r="J161">
        <v>60299698200</v>
      </c>
      <c r="K161">
        <v>3.9517692860872198</v>
      </c>
      <c r="L161">
        <v>12081300</v>
      </c>
      <c r="M161">
        <v>5837670300</v>
      </c>
      <c r="N161">
        <v>5724225900</v>
      </c>
      <c r="O161">
        <v>11561896200</v>
      </c>
      <c r="P161">
        <v>161200</v>
      </c>
      <c r="Q161">
        <v>2024308300</v>
      </c>
      <c r="R161">
        <v>2024469500</v>
      </c>
      <c r="S161">
        <v>7784300</v>
      </c>
      <c r="T161">
        <v>836527900</v>
      </c>
      <c r="U161">
        <v>27686353100</v>
      </c>
      <c r="V161">
        <v>14839544000</v>
      </c>
      <c r="W161">
        <v>3731700</v>
      </c>
      <c r="X161">
        <v>15258911600</v>
      </c>
    </row>
    <row r="162" spans="1:24" x14ac:dyDescent="0.3">
      <c r="A162">
        <v>161</v>
      </c>
      <c r="B162">
        <v>1048576</v>
      </c>
      <c r="C162">
        <v>5</v>
      </c>
      <c r="D162">
        <v>216</v>
      </c>
      <c r="E162">
        <v>0.95</v>
      </c>
      <c r="F162">
        <v>13</v>
      </c>
      <c r="G162">
        <v>16383</v>
      </c>
      <c r="H162">
        <v>16384</v>
      </c>
      <c r="I162">
        <v>11692650800</v>
      </c>
      <c r="J162">
        <v>39389743000</v>
      </c>
      <c r="K162">
        <v>3.3687607432867099</v>
      </c>
      <c r="L162">
        <v>5125700</v>
      </c>
      <c r="M162">
        <v>5839590800</v>
      </c>
      <c r="N162">
        <v>3616125800</v>
      </c>
      <c r="O162">
        <v>9455716600</v>
      </c>
      <c r="P162">
        <v>124100</v>
      </c>
      <c r="Q162">
        <v>577383200</v>
      </c>
      <c r="R162">
        <v>577507300</v>
      </c>
      <c r="S162">
        <v>8455900</v>
      </c>
      <c r="T162">
        <v>837957200</v>
      </c>
      <c r="U162">
        <v>17285034900</v>
      </c>
      <c r="V162">
        <v>4100106700</v>
      </c>
      <c r="W162">
        <v>3705600</v>
      </c>
      <c r="X162">
        <v>11692650800</v>
      </c>
    </row>
    <row r="163" spans="1:24" x14ac:dyDescent="0.3">
      <c r="A163">
        <v>162</v>
      </c>
      <c r="B163">
        <v>1048576</v>
      </c>
      <c r="C163">
        <v>6</v>
      </c>
      <c r="D163">
        <v>343</v>
      </c>
      <c r="E163">
        <v>0.5</v>
      </c>
      <c r="F163">
        <v>12</v>
      </c>
      <c r="G163">
        <v>8191</v>
      </c>
      <c r="H163">
        <v>180976</v>
      </c>
      <c r="I163">
        <v>70563608400</v>
      </c>
      <c r="J163">
        <v>353444370300</v>
      </c>
      <c r="K163">
        <v>5.0088760809459902</v>
      </c>
      <c r="L163">
        <v>31870100</v>
      </c>
      <c r="M163">
        <v>13866911900</v>
      </c>
      <c r="N163">
        <v>30461019700</v>
      </c>
      <c r="O163">
        <v>44327931600</v>
      </c>
      <c r="P163">
        <v>581300</v>
      </c>
      <c r="Q163">
        <v>24212235500</v>
      </c>
      <c r="R163">
        <v>24212816800</v>
      </c>
      <c r="S163">
        <v>7948800</v>
      </c>
      <c r="T163">
        <v>818392900</v>
      </c>
      <c r="U163">
        <v>143631430600</v>
      </c>
      <c r="V163">
        <v>187739974400</v>
      </c>
      <c r="W163">
        <v>3905900</v>
      </c>
      <c r="X163">
        <v>70563608400</v>
      </c>
    </row>
    <row r="164" spans="1:24" x14ac:dyDescent="0.3">
      <c r="A164">
        <v>163</v>
      </c>
      <c r="B164">
        <v>1048576</v>
      </c>
      <c r="C164">
        <v>6</v>
      </c>
      <c r="D164">
        <v>343</v>
      </c>
      <c r="E164">
        <v>0.2</v>
      </c>
      <c r="F164">
        <v>12</v>
      </c>
      <c r="G164">
        <v>8191</v>
      </c>
      <c r="H164" s="1">
        <v>2277964</v>
      </c>
      <c r="I164">
        <v>552363083300</v>
      </c>
      <c r="J164">
        <v>3474006114200</v>
      </c>
      <c r="K164">
        <v>6.2893524553544298</v>
      </c>
      <c r="L164">
        <v>408309200</v>
      </c>
      <c r="M164">
        <v>13469909300</v>
      </c>
      <c r="N164">
        <v>230075583700</v>
      </c>
      <c r="O164">
        <v>243545493000</v>
      </c>
      <c r="P164">
        <v>6007500</v>
      </c>
      <c r="Q164">
        <v>306389244600</v>
      </c>
      <c r="R164">
        <v>306395252100</v>
      </c>
      <c r="S164">
        <v>22805800</v>
      </c>
      <c r="T164">
        <v>499382600</v>
      </c>
      <c r="U164">
        <v>1086520577600</v>
      </c>
      <c r="V164">
        <v>2365287862300</v>
      </c>
      <c r="W164">
        <v>4246700</v>
      </c>
      <c r="X164">
        <v>552363083300</v>
      </c>
    </row>
    <row r="165" spans="1:24" x14ac:dyDescent="0.3">
      <c r="A165">
        <v>164</v>
      </c>
      <c r="B165">
        <v>1048576</v>
      </c>
      <c r="C165">
        <v>6</v>
      </c>
      <c r="D165">
        <v>343</v>
      </c>
      <c r="E165">
        <v>0.35</v>
      </c>
      <c r="F165">
        <v>12</v>
      </c>
      <c r="G165">
        <v>8191</v>
      </c>
      <c r="H165">
        <v>510488</v>
      </c>
      <c r="I165">
        <v>151527868600</v>
      </c>
      <c r="J165">
        <v>865022214300</v>
      </c>
      <c r="K165">
        <v>5.7086674701632996</v>
      </c>
      <c r="L165">
        <v>86295500</v>
      </c>
      <c r="M165">
        <v>13827095000</v>
      </c>
      <c r="N165">
        <v>66361120100</v>
      </c>
      <c r="O165">
        <v>80188215100</v>
      </c>
      <c r="P165">
        <v>1505700</v>
      </c>
      <c r="Q165">
        <v>68906958300</v>
      </c>
      <c r="R165">
        <v>68908464000</v>
      </c>
      <c r="S165">
        <v>7907900</v>
      </c>
      <c r="T165">
        <v>494024900</v>
      </c>
      <c r="U165">
        <v>313342217400</v>
      </c>
      <c r="V165">
        <v>529954044200</v>
      </c>
      <c r="W165">
        <v>3751600</v>
      </c>
      <c r="X165">
        <v>151527868600</v>
      </c>
    </row>
    <row r="166" spans="1:24" x14ac:dyDescent="0.3">
      <c r="A166">
        <v>165</v>
      </c>
      <c r="B166">
        <v>1048576</v>
      </c>
      <c r="C166">
        <v>6</v>
      </c>
      <c r="D166">
        <v>343</v>
      </c>
      <c r="E166">
        <v>0.5</v>
      </c>
      <c r="F166">
        <v>12</v>
      </c>
      <c r="G166">
        <v>8191</v>
      </c>
      <c r="H166">
        <v>182116</v>
      </c>
      <c r="I166">
        <v>70769959800</v>
      </c>
      <c r="J166">
        <v>358101851600</v>
      </c>
      <c r="K166">
        <v>5.0600827330129396</v>
      </c>
      <c r="L166">
        <v>76672000</v>
      </c>
      <c r="M166">
        <v>13806168800</v>
      </c>
      <c r="N166">
        <v>30425590500</v>
      </c>
      <c r="O166">
        <v>44231759300</v>
      </c>
      <c r="P166">
        <v>583500</v>
      </c>
      <c r="Q166">
        <v>24437322500</v>
      </c>
      <c r="R166">
        <v>24437906000</v>
      </c>
      <c r="S166">
        <v>8476100</v>
      </c>
      <c r="T166">
        <v>495537700</v>
      </c>
      <c r="U166">
        <v>144052812600</v>
      </c>
      <c r="V166">
        <v>192585402700</v>
      </c>
      <c r="W166">
        <v>3804500</v>
      </c>
      <c r="X166">
        <v>70769959800</v>
      </c>
    </row>
    <row r="167" spans="1:24" x14ac:dyDescent="0.3">
      <c r="A167">
        <v>166</v>
      </c>
      <c r="B167">
        <v>1048576</v>
      </c>
      <c r="C167">
        <v>6</v>
      </c>
      <c r="D167">
        <v>343</v>
      </c>
      <c r="E167">
        <v>0.65</v>
      </c>
      <c r="F167">
        <v>12</v>
      </c>
      <c r="G167">
        <v>8191</v>
      </c>
      <c r="H167">
        <v>73024</v>
      </c>
      <c r="I167">
        <v>36652974700</v>
      </c>
      <c r="J167">
        <v>149904442500</v>
      </c>
      <c r="K167">
        <v>4.0898301905083798</v>
      </c>
      <c r="L167">
        <v>12064000</v>
      </c>
      <c r="M167">
        <v>13859165500</v>
      </c>
      <c r="N167">
        <v>11051818600</v>
      </c>
      <c r="O167">
        <v>24910984100</v>
      </c>
      <c r="P167">
        <v>252700</v>
      </c>
      <c r="Q167">
        <v>9730776100</v>
      </c>
      <c r="R167">
        <v>9731028800</v>
      </c>
      <c r="S167">
        <v>8064100</v>
      </c>
      <c r="T167">
        <v>483687000</v>
      </c>
      <c r="U167">
        <v>52511164400</v>
      </c>
      <c r="V167">
        <v>75910872900</v>
      </c>
      <c r="W167">
        <v>3770500</v>
      </c>
      <c r="X167">
        <v>36652974700</v>
      </c>
    </row>
    <row r="168" spans="1:24" x14ac:dyDescent="0.3">
      <c r="A168">
        <v>167</v>
      </c>
      <c r="B168">
        <v>1048576</v>
      </c>
      <c r="C168">
        <v>6</v>
      </c>
      <c r="D168">
        <v>343</v>
      </c>
      <c r="E168">
        <v>0.8</v>
      </c>
      <c r="F168">
        <v>12</v>
      </c>
      <c r="G168">
        <v>8191</v>
      </c>
      <c r="H168">
        <v>35884</v>
      </c>
      <c r="I168">
        <v>26720050400</v>
      </c>
      <c r="J168">
        <v>87119170000</v>
      </c>
      <c r="K168">
        <v>3.2604418291067199</v>
      </c>
      <c r="L168">
        <v>6993600</v>
      </c>
      <c r="M168">
        <v>13920054900</v>
      </c>
      <c r="N168">
        <v>5984898700</v>
      </c>
      <c r="O168">
        <v>19904953600</v>
      </c>
      <c r="P168">
        <v>188000</v>
      </c>
      <c r="Q168">
        <v>4845830800</v>
      </c>
      <c r="R168">
        <v>4846018800</v>
      </c>
      <c r="S168">
        <v>7881600</v>
      </c>
      <c r="T168">
        <v>454491600</v>
      </c>
      <c r="U168">
        <v>28021073100</v>
      </c>
      <c r="V168">
        <v>37235081800</v>
      </c>
      <c r="W168">
        <v>3780400</v>
      </c>
      <c r="X168">
        <v>26720050400</v>
      </c>
    </row>
    <row r="169" spans="1:24" x14ac:dyDescent="0.3">
      <c r="A169">
        <v>168</v>
      </c>
      <c r="B169">
        <v>1048576</v>
      </c>
      <c r="C169">
        <v>6</v>
      </c>
      <c r="D169">
        <v>343</v>
      </c>
      <c r="E169">
        <v>0.95</v>
      </c>
      <c r="F169">
        <v>12</v>
      </c>
      <c r="G169">
        <v>8191</v>
      </c>
      <c r="H169">
        <v>24576</v>
      </c>
      <c r="I169">
        <v>21182925300</v>
      </c>
      <c r="J169">
        <v>56646571300</v>
      </c>
      <c r="K169">
        <v>2.6741618779158798</v>
      </c>
      <c r="L169">
        <v>3350300</v>
      </c>
      <c r="M169">
        <v>13927612600</v>
      </c>
      <c r="N169">
        <v>1936182100</v>
      </c>
      <c r="O169">
        <v>15863794700</v>
      </c>
      <c r="P169">
        <v>162700</v>
      </c>
      <c r="Q169">
        <v>3334907700</v>
      </c>
      <c r="R169">
        <v>3335070400</v>
      </c>
      <c r="S169">
        <v>7854200</v>
      </c>
      <c r="T169">
        <v>801277400</v>
      </c>
      <c r="U169">
        <v>9109924900</v>
      </c>
      <c r="V169">
        <v>25605749900</v>
      </c>
      <c r="W169">
        <v>4162400</v>
      </c>
      <c r="X169">
        <v>21182925300</v>
      </c>
    </row>
    <row r="170" spans="1:24" x14ac:dyDescent="0.3">
      <c r="A170">
        <v>169</v>
      </c>
      <c r="B170">
        <v>1048576</v>
      </c>
      <c r="C170">
        <v>7</v>
      </c>
      <c r="D170">
        <v>512</v>
      </c>
      <c r="E170">
        <v>0.5</v>
      </c>
      <c r="F170">
        <v>11</v>
      </c>
      <c r="G170">
        <v>4095</v>
      </c>
      <c r="H170">
        <v>90556</v>
      </c>
      <c r="I170">
        <v>92070181600</v>
      </c>
      <c r="J170">
        <v>553427746700</v>
      </c>
      <c r="K170">
        <v>6.01093358438645</v>
      </c>
      <c r="L170">
        <v>16836200</v>
      </c>
      <c r="M170">
        <v>16687443200</v>
      </c>
      <c r="N170">
        <v>24642522700</v>
      </c>
      <c r="O170">
        <v>41329965900</v>
      </c>
      <c r="P170">
        <v>276900</v>
      </c>
      <c r="Q170">
        <v>48725586600</v>
      </c>
      <c r="R170">
        <v>48725863500</v>
      </c>
      <c r="S170">
        <v>8482900</v>
      </c>
      <c r="T170">
        <v>766781900</v>
      </c>
      <c r="U170">
        <v>132014607400</v>
      </c>
      <c r="V170">
        <v>395611478300</v>
      </c>
      <c r="W170">
        <v>3754800</v>
      </c>
      <c r="X170">
        <v>92070181600</v>
      </c>
    </row>
    <row r="171" spans="1:24" x14ac:dyDescent="0.3">
      <c r="A171">
        <v>170</v>
      </c>
      <c r="B171">
        <v>1048576</v>
      </c>
      <c r="C171">
        <v>7</v>
      </c>
      <c r="D171">
        <v>512</v>
      </c>
      <c r="E171">
        <v>0.2</v>
      </c>
      <c r="F171">
        <v>11</v>
      </c>
      <c r="G171">
        <v>4095</v>
      </c>
      <c r="H171">
        <v>957428</v>
      </c>
      <c r="I171">
        <v>688429758400</v>
      </c>
      <c r="J171">
        <v>5021842661600</v>
      </c>
      <c r="K171">
        <v>7.2946333308882698</v>
      </c>
      <c r="L171">
        <v>140488500</v>
      </c>
      <c r="M171">
        <v>16494484600</v>
      </c>
      <c r="N171">
        <v>151357489500</v>
      </c>
      <c r="O171">
        <v>167851974100</v>
      </c>
      <c r="P171">
        <v>2359300</v>
      </c>
      <c r="Q171">
        <v>518429961300</v>
      </c>
      <c r="R171">
        <v>518432320600</v>
      </c>
      <c r="S171">
        <v>22386000</v>
      </c>
      <c r="T171">
        <v>727550600</v>
      </c>
      <c r="U171">
        <v>801438395900</v>
      </c>
      <c r="V171">
        <v>4194484237100</v>
      </c>
      <c r="W171">
        <v>3795400</v>
      </c>
      <c r="X171">
        <v>688429758400</v>
      </c>
    </row>
    <row r="172" spans="1:24" x14ac:dyDescent="0.3">
      <c r="A172">
        <v>171</v>
      </c>
      <c r="B172">
        <v>1048576</v>
      </c>
      <c r="C172">
        <v>7</v>
      </c>
      <c r="D172">
        <v>512</v>
      </c>
      <c r="E172">
        <v>0.35</v>
      </c>
      <c r="F172">
        <v>11</v>
      </c>
      <c r="G172">
        <v>4095</v>
      </c>
      <c r="H172">
        <v>216892</v>
      </c>
      <c r="I172">
        <v>196819403900</v>
      </c>
      <c r="J172">
        <v>1316963069500</v>
      </c>
      <c r="K172">
        <v>6.6912257806101403</v>
      </c>
      <c r="L172">
        <v>36258600</v>
      </c>
      <c r="M172">
        <v>16496040000</v>
      </c>
      <c r="N172">
        <v>61989432500</v>
      </c>
      <c r="O172">
        <v>78485472500</v>
      </c>
      <c r="P172">
        <v>643000</v>
      </c>
      <c r="Q172">
        <v>116274666000</v>
      </c>
      <c r="R172">
        <v>116275309000</v>
      </c>
      <c r="S172">
        <v>7743600</v>
      </c>
      <c r="T172">
        <v>741748900</v>
      </c>
      <c r="U172">
        <v>341110953900</v>
      </c>
      <c r="V172">
        <v>950113899800</v>
      </c>
      <c r="W172">
        <v>3787700</v>
      </c>
      <c r="X172">
        <v>196819403900</v>
      </c>
    </row>
    <row r="173" spans="1:24" x14ac:dyDescent="0.3">
      <c r="A173">
        <v>172</v>
      </c>
      <c r="B173">
        <v>1048576</v>
      </c>
      <c r="C173">
        <v>7</v>
      </c>
      <c r="D173">
        <v>512</v>
      </c>
      <c r="E173">
        <v>0.5</v>
      </c>
      <c r="F173">
        <v>11</v>
      </c>
      <c r="G173">
        <v>4095</v>
      </c>
      <c r="H173">
        <v>90612</v>
      </c>
      <c r="I173">
        <v>91522106000</v>
      </c>
      <c r="J173">
        <v>551461428500</v>
      </c>
      <c r="K173">
        <v>6.0254451367192097</v>
      </c>
      <c r="L173">
        <v>14853600</v>
      </c>
      <c r="M173">
        <v>16563851800</v>
      </c>
      <c r="N173">
        <v>24285291600</v>
      </c>
      <c r="O173">
        <v>40849143400</v>
      </c>
      <c r="P173">
        <v>277900</v>
      </c>
      <c r="Q173">
        <v>48674723600</v>
      </c>
      <c r="R173">
        <v>48675001500</v>
      </c>
      <c r="S173">
        <v>8487600</v>
      </c>
      <c r="T173">
        <v>721951400</v>
      </c>
      <c r="U173">
        <v>129199327600</v>
      </c>
      <c r="V173">
        <v>396720897300</v>
      </c>
      <c r="W173">
        <v>3849200</v>
      </c>
      <c r="X173">
        <v>91522106000</v>
      </c>
    </row>
    <row r="174" spans="1:24" x14ac:dyDescent="0.3">
      <c r="A174">
        <v>173</v>
      </c>
      <c r="B174">
        <v>1048576</v>
      </c>
      <c r="C174">
        <v>7</v>
      </c>
      <c r="D174">
        <v>512</v>
      </c>
      <c r="E174">
        <v>0.65</v>
      </c>
      <c r="F174">
        <v>11</v>
      </c>
      <c r="G174">
        <v>4095</v>
      </c>
      <c r="H174">
        <v>31436</v>
      </c>
      <c r="I174">
        <v>46035645000</v>
      </c>
      <c r="J174">
        <v>219136023600</v>
      </c>
      <c r="K174">
        <v>4.7601380104482001</v>
      </c>
      <c r="L174">
        <v>5674000</v>
      </c>
      <c r="M174">
        <v>16582752500</v>
      </c>
      <c r="N174">
        <v>10518111300</v>
      </c>
      <c r="O174">
        <v>27100863800</v>
      </c>
      <c r="P174">
        <v>189200</v>
      </c>
      <c r="Q174">
        <v>16931128000</v>
      </c>
      <c r="R174">
        <v>16931317200</v>
      </c>
      <c r="S174">
        <v>8345600</v>
      </c>
      <c r="T174">
        <v>796080200</v>
      </c>
      <c r="U174">
        <v>56247373800</v>
      </c>
      <c r="V174">
        <v>137452525200</v>
      </c>
      <c r="W174">
        <v>5576100</v>
      </c>
      <c r="X174">
        <v>46035645000</v>
      </c>
    </row>
    <row r="175" spans="1:24" x14ac:dyDescent="0.3">
      <c r="A175">
        <v>174</v>
      </c>
      <c r="B175">
        <v>1048576</v>
      </c>
      <c r="C175">
        <v>7</v>
      </c>
      <c r="D175">
        <v>512</v>
      </c>
      <c r="E175">
        <v>0.8</v>
      </c>
      <c r="F175">
        <v>11</v>
      </c>
      <c r="G175">
        <v>4095</v>
      </c>
      <c r="H175">
        <v>15468</v>
      </c>
      <c r="I175">
        <v>33245344400</v>
      </c>
      <c r="J175">
        <v>127422068700</v>
      </c>
      <c r="K175">
        <v>3.8327793259377301</v>
      </c>
      <c r="L175">
        <v>3465500</v>
      </c>
      <c r="M175">
        <v>16575331300</v>
      </c>
      <c r="N175">
        <v>6424211600</v>
      </c>
      <c r="O175">
        <v>22999542900</v>
      </c>
      <c r="P175">
        <v>161100</v>
      </c>
      <c r="Q175">
        <v>8269785500</v>
      </c>
      <c r="R175">
        <v>8269946600</v>
      </c>
      <c r="S175">
        <v>8542600</v>
      </c>
      <c r="T175">
        <v>721167000</v>
      </c>
      <c r="U175">
        <v>34246869000</v>
      </c>
      <c r="V175">
        <v>67604751800</v>
      </c>
      <c r="W175">
        <v>3823400</v>
      </c>
      <c r="X175">
        <v>33245344400</v>
      </c>
    </row>
    <row r="176" spans="1:24" x14ac:dyDescent="0.3">
      <c r="A176">
        <v>175</v>
      </c>
      <c r="B176">
        <v>1048576</v>
      </c>
      <c r="C176">
        <v>7</v>
      </c>
      <c r="D176">
        <v>512</v>
      </c>
      <c r="E176">
        <v>0.95</v>
      </c>
      <c r="F176">
        <v>11</v>
      </c>
      <c r="G176">
        <v>4095</v>
      </c>
      <c r="H176">
        <v>8192</v>
      </c>
      <c r="I176">
        <v>25388284300</v>
      </c>
      <c r="J176">
        <v>73126635400</v>
      </c>
      <c r="K176">
        <v>2.8803299402157698</v>
      </c>
      <c r="L176">
        <v>1356800</v>
      </c>
      <c r="M176">
        <v>16693867900</v>
      </c>
      <c r="N176">
        <v>2259910200</v>
      </c>
      <c r="O176">
        <v>18953778100</v>
      </c>
      <c r="P176">
        <v>133900</v>
      </c>
      <c r="Q176">
        <v>4437197100</v>
      </c>
      <c r="R176">
        <v>4437331000</v>
      </c>
      <c r="S176">
        <v>7836400</v>
      </c>
      <c r="T176">
        <v>718709000</v>
      </c>
      <c r="U176">
        <v>11883253300</v>
      </c>
      <c r="V176">
        <v>35862893500</v>
      </c>
      <c r="W176">
        <v>3724600</v>
      </c>
      <c r="X176">
        <v>25388284300</v>
      </c>
    </row>
    <row r="177" spans="1:24" x14ac:dyDescent="0.3">
      <c r="A177">
        <v>1</v>
      </c>
      <c r="B177">
        <v>65536</v>
      </c>
      <c r="C177">
        <v>3</v>
      </c>
      <c r="D177">
        <v>64</v>
      </c>
      <c r="E177">
        <v>0.2</v>
      </c>
      <c r="F177">
        <v>10</v>
      </c>
      <c r="G177">
        <v>2047</v>
      </c>
      <c r="H177">
        <v>321924</v>
      </c>
      <c r="I177">
        <v>4718345100</v>
      </c>
      <c r="J177">
        <v>26260279900</v>
      </c>
      <c r="K177">
        <v>5.5655699919024499</v>
      </c>
      <c r="L177">
        <v>51296100</v>
      </c>
      <c r="M177">
        <v>136600000</v>
      </c>
      <c r="N177">
        <v>1376070400</v>
      </c>
      <c r="O177">
        <v>1512670400</v>
      </c>
      <c r="P177">
        <v>825100</v>
      </c>
      <c r="Q177">
        <v>2705000700</v>
      </c>
      <c r="R177">
        <v>2705825800</v>
      </c>
      <c r="S177">
        <v>850300</v>
      </c>
      <c r="T177">
        <v>27277600</v>
      </c>
      <c r="U177">
        <v>6975459400</v>
      </c>
      <c r="V177">
        <v>18915356100</v>
      </c>
      <c r="W177">
        <v>138900</v>
      </c>
      <c r="X177">
        <v>4718345100</v>
      </c>
    </row>
    <row r="178" spans="1:24" x14ac:dyDescent="0.3">
      <c r="A178">
        <v>2</v>
      </c>
      <c r="B178">
        <v>65536</v>
      </c>
      <c r="C178">
        <v>3</v>
      </c>
      <c r="D178">
        <v>64</v>
      </c>
      <c r="E178">
        <v>0.35</v>
      </c>
      <c r="F178">
        <v>10</v>
      </c>
      <c r="G178">
        <v>2047</v>
      </c>
      <c r="H178">
        <v>86512</v>
      </c>
      <c r="I178">
        <v>1951467200</v>
      </c>
      <c r="J178">
        <v>8155939000</v>
      </c>
      <c r="K178">
        <v>4.1793882059611303</v>
      </c>
      <c r="L178">
        <v>15942900</v>
      </c>
      <c r="M178">
        <v>153390000</v>
      </c>
      <c r="N178">
        <v>599422800</v>
      </c>
      <c r="O178">
        <v>752812800</v>
      </c>
      <c r="P178">
        <v>187300</v>
      </c>
      <c r="Q178">
        <v>730133000</v>
      </c>
      <c r="R178">
        <v>730320300</v>
      </c>
      <c r="S178">
        <v>729000</v>
      </c>
      <c r="T178">
        <v>26587400</v>
      </c>
      <c r="U178">
        <v>2719280600</v>
      </c>
      <c r="V178">
        <v>5070603500</v>
      </c>
      <c r="W178">
        <v>146400</v>
      </c>
      <c r="X178">
        <v>1951467200</v>
      </c>
    </row>
    <row r="179" spans="1:24" x14ac:dyDescent="0.3">
      <c r="A179">
        <v>3</v>
      </c>
      <c r="B179">
        <v>65536</v>
      </c>
      <c r="C179">
        <v>3</v>
      </c>
      <c r="D179">
        <v>64</v>
      </c>
      <c r="E179">
        <v>0.5</v>
      </c>
      <c r="F179">
        <v>10</v>
      </c>
      <c r="G179">
        <v>2047</v>
      </c>
      <c r="H179">
        <v>33624</v>
      </c>
      <c r="I179">
        <v>785511000</v>
      </c>
      <c r="J179">
        <v>3491279300</v>
      </c>
      <c r="K179">
        <v>4.4445963201024501</v>
      </c>
      <c r="L179">
        <v>6157600</v>
      </c>
      <c r="M179">
        <v>168124200</v>
      </c>
      <c r="N179">
        <v>280689400</v>
      </c>
      <c r="O179">
        <v>448813600</v>
      </c>
      <c r="P179">
        <v>113300</v>
      </c>
      <c r="Q179">
        <v>299387600</v>
      </c>
      <c r="R179">
        <v>299500900</v>
      </c>
      <c r="S179">
        <v>678800</v>
      </c>
      <c r="T179">
        <v>14971500</v>
      </c>
      <c r="U179">
        <v>1163488300</v>
      </c>
      <c r="V179">
        <v>1977649500</v>
      </c>
      <c r="W179">
        <v>138700</v>
      </c>
      <c r="X179">
        <v>785511000</v>
      </c>
    </row>
    <row r="180" spans="1:24" x14ac:dyDescent="0.3">
      <c r="A180">
        <v>4</v>
      </c>
      <c r="B180">
        <v>65536</v>
      </c>
      <c r="C180">
        <v>3</v>
      </c>
      <c r="D180">
        <v>64</v>
      </c>
      <c r="E180">
        <v>0.65</v>
      </c>
      <c r="F180">
        <v>10</v>
      </c>
      <c r="G180">
        <v>2047</v>
      </c>
      <c r="H180">
        <v>12012</v>
      </c>
      <c r="I180">
        <v>502825200</v>
      </c>
      <c r="J180">
        <v>1593074800</v>
      </c>
      <c r="K180">
        <v>3.1682477330093999</v>
      </c>
      <c r="L180">
        <v>2671700</v>
      </c>
      <c r="M180">
        <v>206495500</v>
      </c>
      <c r="N180">
        <v>136768400</v>
      </c>
      <c r="O180">
        <v>343263900</v>
      </c>
      <c r="P180">
        <v>71500</v>
      </c>
      <c r="Q180">
        <v>123835700</v>
      </c>
      <c r="R180">
        <v>123907200</v>
      </c>
      <c r="S180">
        <v>684700</v>
      </c>
      <c r="T180">
        <v>27569000</v>
      </c>
      <c r="U180">
        <v>546353500</v>
      </c>
      <c r="V180">
        <v>707681500</v>
      </c>
      <c r="W180">
        <v>139800</v>
      </c>
      <c r="X180">
        <v>502825200</v>
      </c>
    </row>
    <row r="181" spans="1:24" x14ac:dyDescent="0.3">
      <c r="A181">
        <v>5</v>
      </c>
      <c r="B181">
        <v>65536</v>
      </c>
      <c r="C181">
        <v>3</v>
      </c>
      <c r="D181">
        <v>64</v>
      </c>
      <c r="E181">
        <v>0.8</v>
      </c>
      <c r="F181">
        <v>10</v>
      </c>
      <c r="G181">
        <v>2047</v>
      </c>
      <c r="H181">
        <v>6776</v>
      </c>
      <c r="I181">
        <v>329584700</v>
      </c>
      <c r="J181">
        <v>1094893200</v>
      </c>
      <c r="K181">
        <v>3.3220389174618798</v>
      </c>
      <c r="L181">
        <v>1573700</v>
      </c>
      <c r="M181">
        <v>140050300</v>
      </c>
      <c r="N181">
        <v>81252100</v>
      </c>
      <c r="O181">
        <v>221302400</v>
      </c>
      <c r="P181">
        <v>51700</v>
      </c>
      <c r="Q181">
        <v>73651000</v>
      </c>
      <c r="R181">
        <v>73702700</v>
      </c>
      <c r="S181">
        <v>670100</v>
      </c>
      <c r="T181">
        <v>14534200</v>
      </c>
      <c r="U181">
        <v>330840900</v>
      </c>
      <c r="V181">
        <v>403337500</v>
      </c>
      <c r="W181">
        <v>151800</v>
      </c>
      <c r="X181">
        <v>329584700</v>
      </c>
    </row>
    <row r="182" spans="1:24" x14ac:dyDescent="0.3">
      <c r="A182">
        <v>6</v>
      </c>
      <c r="B182">
        <v>65536</v>
      </c>
      <c r="C182">
        <v>3</v>
      </c>
      <c r="D182">
        <v>64</v>
      </c>
      <c r="E182">
        <v>0.95</v>
      </c>
      <c r="F182">
        <v>10</v>
      </c>
      <c r="G182">
        <v>2047</v>
      </c>
      <c r="H182">
        <v>2052</v>
      </c>
      <c r="I182">
        <v>291771100</v>
      </c>
      <c r="J182">
        <v>982167300</v>
      </c>
      <c r="K182">
        <v>3.3662254417932398</v>
      </c>
      <c r="L182">
        <v>733300</v>
      </c>
      <c r="M182">
        <v>181201600</v>
      </c>
      <c r="N182">
        <v>50049400</v>
      </c>
      <c r="O182">
        <v>231251000</v>
      </c>
      <c r="P182">
        <v>70900</v>
      </c>
      <c r="Q182">
        <v>24794600</v>
      </c>
      <c r="R182">
        <v>24865500</v>
      </c>
      <c r="S182">
        <v>666400</v>
      </c>
      <c r="T182">
        <v>14904500</v>
      </c>
      <c r="U182">
        <v>197643600</v>
      </c>
      <c r="V182">
        <v>123107600</v>
      </c>
      <c r="W182">
        <v>145700</v>
      </c>
      <c r="X182">
        <v>291771100</v>
      </c>
    </row>
    <row r="183" spans="1:24" x14ac:dyDescent="0.3">
      <c r="A183">
        <v>7</v>
      </c>
      <c r="B183">
        <v>65536</v>
      </c>
      <c r="C183">
        <v>4</v>
      </c>
      <c r="D183">
        <v>125</v>
      </c>
      <c r="E183">
        <v>0.2</v>
      </c>
      <c r="F183">
        <v>10</v>
      </c>
      <c r="G183">
        <v>2047</v>
      </c>
      <c r="H183">
        <v>322784</v>
      </c>
      <c r="I183">
        <v>7628332600</v>
      </c>
      <c r="J183">
        <v>45252937300</v>
      </c>
      <c r="K183">
        <v>5.9322187000603499</v>
      </c>
      <c r="L183">
        <v>56942200</v>
      </c>
      <c r="M183">
        <v>324246600</v>
      </c>
      <c r="N183">
        <v>4363605500</v>
      </c>
      <c r="O183">
        <v>4687852100</v>
      </c>
      <c r="P183">
        <v>3318400</v>
      </c>
      <c r="Q183">
        <v>2825332100</v>
      </c>
      <c r="R183">
        <v>2828650500</v>
      </c>
      <c r="S183">
        <v>683400</v>
      </c>
      <c r="T183">
        <v>22696500</v>
      </c>
      <c r="U183">
        <v>25508747500</v>
      </c>
      <c r="V183">
        <v>18957249800</v>
      </c>
      <c r="W183">
        <v>147000</v>
      </c>
      <c r="X183">
        <v>7628332600</v>
      </c>
    </row>
    <row r="184" spans="1:24" x14ac:dyDescent="0.3">
      <c r="A184">
        <v>8</v>
      </c>
      <c r="B184">
        <v>65536</v>
      </c>
      <c r="C184">
        <v>4</v>
      </c>
      <c r="D184">
        <v>125</v>
      </c>
      <c r="E184">
        <v>0.35</v>
      </c>
      <c r="F184">
        <v>10</v>
      </c>
      <c r="G184">
        <v>2047</v>
      </c>
      <c r="H184">
        <v>86728</v>
      </c>
      <c r="I184">
        <v>3332434900</v>
      </c>
      <c r="J184">
        <v>15985515200</v>
      </c>
      <c r="K184">
        <v>4.7969474812546196</v>
      </c>
      <c r="L184">
        <v>16485100</v>
      </c>
      <c r="M184">
        <v>301841500</v>
      </c>
      <c r="N184">
        <v>1775427000</v>
      </c>
      <c r="O184">
        <v>2077268500</v>
      </c>
      <c r="P184">
        <v>175600</v>
      </c>
      <c r="Q184">
        <v>755758400</v>
      </c>
      <c r="R184">
        <v>755934000</v>
      </c>
      <c r="S184">
        <v>683200</v>
      </c>
      <c r="T184">
        <v>20722300</v>
      </c>
      <c r="U184">
        <v>10120619000</v>
      </c>
      <c r="V184">
        <v>5091017100</v>
      </c>
      <c r="W184">
        <v>162600</v>
      </c>
      <c r="X184">
        <v>3332434900</v>
      </c>
    </row>
    <row r="185" spans="1:24" x14ac:dyDescent="0.3">
      <c r="A185">
        <v>9</v>
      </c>
      <c r="B185">
        <v>65536</v>
      </c>
      <c r="C185">
        <v>4</v>
      </c>
      <c r="D185">
        <v>125</v>
      </c>
      <c r="E185">
        <v>0.5</v>
      </c>
      <c r="F185">
        <v>10</v>
      </c>
      <c r="G185">
        <v>2047</v>
      </c>
      <c r="H185">
        <v>33668</v>
      </c>
      <c r="I185">
        <v>1876305500</v>
      </c>
      <c r="J185">
        <v>7081613900</v>
      </c>
      <c r="K185">
        <v>3.77423287412417</v>
      </c>
      <c r="L185">
        <v>6337300</v>
      </c>
      <c r="M185">
        <v>309511800</v>
      </c>
      <c r="N185">
        <v>783607600</v>
      </c>
      <c r="O185">
        <v>1093119400</v>
      </c>
      <c r="P185">
        <v>114500</v>
      </c>
      <c r="Q185">
        <v>294983400</v>
      </c>
      <c r="R185">
        <v>295097900</v>
      </c>
      <c r="S185">
        <v>670900</v>
      </c>
      <c r="T185">
        <v>22211800</v>
      </c>
      <c r="U185">
        <v>4348376700</v>
      </c>
      <c r="V185">
        <v>1976196900</v>
      </c>
      <c r="W185">
        <v>147100</v>
      </c>
      <c r="X185">
        <v>1876305500</v>
      </c>
    </row>
    <row r="186" spans="1:24" x14ac:dyDescent="0.3">
      <c r="A186">
        <v>10</v>
      </c>
      <c r="B186">
        <v>65536</v>
      </c>
      <c r="C186">
        <v>4</v>
      </c>
      <c r="D186">
        <v>125</v>
      </c>
      <c r="E186">
        <v>0.65</v>
      </c>
      <c r="F186">
        <v>10</v>
      </c>
      <c r="G186">
        <v>2047</v>
      </c>
      <c r="H186">
        <v>11832</v>
      </c>
      <c r="I186">
        <v>850982300</v>
      </c>
      <c r="J186">
        <v>3827372900</v>
      </c>
      <c r="K186">
        <v>4.4975940157627203</v>
      </c>
      <c r="L186">
        <v>2658500</v>
      </c>
      <c r="M186">
        <v>308845900</v>
      </c>
      <c r="N186">
        <v>380890400</v>
      </c>
      <c r="O186">
        <v>689736300</v>
      </c>
      <c r="P186">
        <v>88400</v>
      </c>
      <c r="Q186">
        <v>104161700</v>
      </c>
      <c r="R186">
        <v>104250100</v>
      </c>
      <c r="S186">
        <v>714300</v>
      </c>
      <c r="T186">
        <v>25348600</v>
      </c>
      <c r="U186">
        <v>2044053800</v>
      </c>
      <c r="V186">
        <v>695878900</v>
      </c>
      <c r="W186">
        <v>144600</v>
      </c>
      <c r="X186">
        <v>850982300</v>
      </c>
    </row>
    <row r="187" spans="1:24" x14ac:dyDescent="0.3">
      <c r="A187">
        <v>11</v>
      </c>
      <c r="B187">
        <v>65536</v>
      </c>
      <c r="C187">
        <v>4</v>
      </c>
      <c r="D187">
        <v>125</v>
      </c>
      <c r="E187">
        <v>0.8</v>
      </c>
      <c r="F187">
        <v>10</v>
      </c>
      <c r="G187">
        <v>2047</v>
      </c>
      <c r="H187">
        <v>6668</v>
      </c>
      <c r="I187">
        <v>655624100</v>
      </c>
      <c r="J187">
        <v>2394381800</v>
      </c>
      <c r="K187">
        <v>3.6520649561234801</v>
      </c>
      <c r="L187">
        <v>1506700</v>
      </c>
      <c r="M187">
        <v>300834300</v>
      </c>
      <c r="N187">
        <v>233598900</v>
      </c>
      <c r="O187">
        <v>534433200</v>
      </c>
      <c r="P187">
        <v>79500</v>
      </c>
      <c r="Q187">
        <v>63559800</v>
      </c>
      <c r="R187">
        <v>63639300</v>
      </c>
      <c r="S187">
        <v>680600</v>
      </c>
      <c r="T187">
        <v>17308800</v>
      </c>
      <c r="U187">
        <v>1197815500</v>
      </c>
      <c r="V187">
        <v>397387200</v>
      </c>
      <c r="W187">
        <v>164800</v>
      </c>
      <c r="X187">
        <v>655624100</v>
      </c>
    </row>
    <row r="188" spans="1:24" x14ac:dyDescent="0.3">
      <c r="A188">
        <v>12</v>
      </c>
      <c r="B188">
        <v>65536</v>
      </c>
      <c r="C188">
        <v>4</v>
      </c>
      <c r="D188">
        <v>125</v>
      </c>
      <c r="E188">
        <v>0.95</v>
      </c>
      <c r="F188">
        <v>10</v>
      </c>
      <c r="G188">
        <v>2047</v>
      </c>
      <c r="H188">
        <v>2048</v>
      </c>
      <c r="I188">
        <v>597843700</v>
      </c>
      <c r="J188">
        <v>1668236500</v>
      </c>
      <c r="K188">
        <v>2.79042247998933</v>
      </c>
      <c r="L188">
        <v>736300</v>
      </c>
      <c r="M188">
        <v>365486000</v>
      </c>
      <c r="N188">
        <v>151192400</v>
      </c>
      <c r="O188">
        <v>516678400</v>
      </c>
      <c r="P188">
        <v>84600</v>
      </c>
      <c r="Q188">
        <v>22755900</v>
      </c>
      <c r="R188">
        <v>22840500</v>
      </c>
      <c r="S188">
        <v>625300</v>
      </c>
      <c r="T188">
        <v>24216600</v>
      </c>
      <c r="U188">
        <v>748135700</v>
      </c>
      <c r="V188">
        <v>139193300</v>
      </c>
      <c r="W188">
        <v>142600</v>
      </c>
      <c r="X188">
        <v>597843700</v>
      </c>
    </row>
    <row r="189" spans="1:24" x14ac:dyDescent="0.3">
      <c r="A189">
        <v>13</v>
      </c>
      <c r="B189">
        <v>65536</v>
      </c>
      <c r="C189">
        <v>5</v>
      </c>
      <c r="D189">
        <v>216</v>
      </c>
      <c r="E189">
        <v>0.2</v>
      </c>
      <c r="F189">
        <v>9</v>
      </c>
      <c r="G189">
        <v>1023</v>
      </c>
      <c r="H189">
        <v>161576</v>
      </c>
      <c r="I189">
        <v>8977662300</v>
      </c>
      <c r="J189">
        <v>54046133400</v>
      </c>
      <c r="K189">
        <v>6.0200675402994301</v>
      </c>
      <c r="L189">
        <v>30676100</v>
      </c>
      <c r="M189">
        <v>605201900</v>
      </c>
      <c r="N189">
        <v>2854248200</v>
      </c>
      <c r="O189">
        <v>3459450100</v>
      </c>
      <c r="P189">
        <v>464500</v>
      </c>
      <c r="Q189">
        <v>5412915500</v>
      </c>
      <c r="R189">
        <v>5413380000</v>
      </c>
      <c r="S189">
        <v>801900</v>
      </c>
      <c r="T189">
        <v>18768600</v>
      </c>
      <c r="U189">
        <v>13579965700</v>
      </c>
      <c r="V189">
        <v>39085293300</v>
      </c>
      <c r="W189">
        <v>156300</v>
      </c>
      <c r="X189">
        <v>8977662300</v>
      </c>
    </row>
    <row r="190" spans="1:24" x14ac:dyDescent="0.3">
      <c r="A190">
        <v>14</v>
      </c>
      <c r="B190">
        <v>65536</v>
      </c>
      <c r="C190">
        <v>5</v>
      </c>
      <c r="D190">
        <v>216</v>
      </c>
      <c r="E190">
        <v>0.35</v>
      </c>
      <c r="F190">
        <v>9</v>
      </c>
      <c r="G190">
        <v>1023</v>
      </c>
      <c r="H190">
        <v>48992</v>
      </c>
      <c r="I190">
        <v>4514174500</v>
      </c>
      <c r="J190">
        <v>21812561700</v>
      </c>
      <c r="K190">
        <v>4.8320156210177503</v>
      </c>
      <c r="L190">
        <v>6394700</v>
      </c>
      <c r="M190">
        <v>523376500</v>
      </c>
      <c r="N190">
        <v>1845940100</v>
      </c>
      <c r="O190">
        <v>2369316600</v>
      </c>
      <c r="P190">
        <v>140700</v>
      </c>
      <c r="Q190">
        <v>1636039600</v>
      </c>
      <c r="R190">
        <v>1636180300</v>
      </c>
      <c r="S190">
        <v>747600</v>
      </c>
      <c r="T190">
        <v>14113400</v>
      </c>
      <c r="U190">
        <v>8865315500</v>
      </c>
      <c r="V190">
        <v>11887414600</v>
      </c>
      <c r="W190">
        <v>155400</v>
      </c>
      <c r="X190">
        <v>4514174500</v>
      </c>
    </row>
    <row r="191" spans="1:24" x14ac:dyDescent="0.3">
      <c r="A191">
        <v>15</v>
      </c>
      <c r="B191">
        <v>65536</v>
      </c>
      <c r="C191">
        <v>5</v>
      </c>
      <c r="D191">
        <v>216</v>
      </c>
      <c r="E191">
        <v>0.5</v>
      </c>
      <c r="F191">
        <v>9</v>
      </c>
      <c r="G191">
        <v>1023</v>
      </c>
      <c r="H191">
        <v>19400</v>
      </c>
      <c r="I191">
        <v>2738795000</v>
      </c>
      <c r="J191">
        <v>10822817700</v>
      </c>
      <c r="K191">
        <v>3.9516713372121601</v>
      </c>
      <c r="L191">
        <v>2916100</v>
      </c>
      <c r="M191">
        <v>519740500</v>
      </c>
      <c r="N191">
        <v>1062244100</v>
      </c>
      <c r="O191">
        <v>1581984600</v>
      </c>
      <c r="P191">
        <v>97300</v>
      </c>
      <c r="Q191">
        <v>649118100</v>
      </c>
      <c r="R191">
        <v>649215400</v>
      </c>
      <c r="S191">
        <v>882900</v>
      </c>
      <c r="T191">
        <v>21195300</v>
      </c>
      <c r="U191">
        <v>5067786200</v>
      </c>
      <c r="V191">
        <v>4701218800</v>
      </c>
      <c r="W191">
        <v>154500</v>
      </c>
      <c r="X191">
        <v>2738795000</v>
      </c>
    </row>
    <row r="192" spans="1:24" x14ac:dyDescent="0.3">
      <c r="A192">
        <v>16</v>
      </c>
      <c r="B192">
        <v>65536</v>
      </c>
      <c r="C192">
        <v>5</v>
      </c>
      <c r="D192">
        <v>216</v>
      </c>
      <c r="E192">
        <v>0.65</v>
      </c>
      <c r="F192">
        <v>9</v>
      </c>
      <c r="G192">
        <v>1023</v>
      </c>
      <c r="H192">
        <v>8432</v>
      </c>
      <c r="I192">
        <v>1956346700</v>
      </c>
      <c r="J192">
        <v>5729605900</v>
      </c>
      <c r="K192">
        <v>2.9287272547345502</v>
      </c>
      <c r="L192">
        <v>1457200</v>
      </c>
      <c r="M192">
        <v>523403100</v>
      </c>
      <c r="N192">
        <v>472614000</v>
      </c>
      <c r="O192">
        <v>996017100</v>
      </c>
      <c r="P192">
        <v>64800</v>
      </c>
      <c r="Q192">
        <v>283541300</v>
      </c>
      <c r="R192">
        <v>283606100</v>
      </c>
      <c r="S192">
        <v>686100</v>
      </c>
      <c r="T192">
        <v>14204600</v>
      </c>
      <c r="U192">
        <v>2226872300</v>
      </c>
      <c r="V192">
        <v>2139227700</v>
      </c>
      <c r="W192">
        <v>157500</v>
      </c>
      <c r="X192">
        <v>1956346700</v>
      </c>
    </row>
    <row r="193" spans="1:24" x14ac:dyDescent="0.3">
      <c r="A193">
        <v>17</v>
      </c>
      <c r="B193">
        <v>65536</v>
      </c>
      <c r="C193">
        <v>5</v>
      </c>
      <c r="D193">
        <v>216</v>
      </c>
      <c r="E193">
        <v>0.8</v>
      </c>
      <c r="F193">
        <v>9</v>
      </c>
      <c r="G193">
        <v>1023</v>
      </c>
      <c r="H193">
        <v>4192</v>
      </c>
      <c r="I193">
        <v>1126031000</v>
      </c>
      <c r="J193">
        <v>3564744300</v>
      </c>
      <c r="K193">
        <v>3.1657603565088301</v>
      </c>
      <c r="L193">
        <v>825900</v>
      </c>
      <c r="M193">
        <v>594845600</v>
      </c>
      <c r="N193">
        <v>313684500</v>
      </c>
      <c r="O193">
        <v>908530100</v>
      </c>
      <c r="P193">
        <v>84100</v>
      </c>
      <c r="Q193">
        <v>142596700</v>
      </c>
      <c r="R193">
        <v>142680800</v>
      </c>
      <c r="S193">
        <v>802200</v>
      </c>
      <c r="T193">
        <v>24444000</v>
      </c>
      <c r="U193">
        <v>1470662200</v>
      </c>
      <c r="V193">
        <v>1028277700</v>
      </c>
      <c r="W193">
        <v>145200</v>
      </c>
      <c r="X193">
        <v>1126031000</v>
      </c>
    </row>
    <row r="194" spans="1:24" x14ac:dyDescent="0.3">
      <c r="A194">
        <v>18</v>
      </c>
      <c r="B194">
        <v>65536</v>
      </c>
      <c r="C194">
        <v>5</v>
      </c>
      <c r="D194">
        <v>216</v>
      </c>
      <c r="E194">
        <v>0.95</v>
      </c>
      <c r="F194">
        <v>9</v>
      </c>
      <c r="G194">
        <v>1023</v>
      </c>
      <c r="H194">
        <v>3072</v>
      </c>
      <c r="I194">
        <v>855839900</v>
      </c>
      <c r="J194">
        <v>2267439500</v>
      </c>
      <c r="K194">
        <v>2.64937344005578</v>
      </c>
      <c r="L194">
        <v>480700</v>
      </c>
      <c r="M194">
        <v>578217900</v>
      </c>
      <c r="N194">
        <v>96329100</v>
      </c>
      <c r="O194">
        <v>674547000</v>
      </c>
      <c r="P194">
        <v>98400</v>
      </c>
      <c r="Q194">
        <v>106953800</v>
      </c>
      <c r="R194">
        <v>107052200</v>
      </c>
      <c r="S194">
        <v>685200</v>
      </c>
      <c r="T194">
        <v>22028900</v>
      </c>
      <c r="U194">
        <v>451815900</v>
      </c>
      <c r="V194">
        <v>742020000</v>
      </c>
      <c r="W194">
        <v>142600</v>
      </c>
      <c r="X194">
        <v>855839900</v>
      </c>
    </row>
    <row r="195" spans="1:24" x14ac:dyDescent="0.3">
      <c r="A195">
        <v>19</v>
      </c>
      <c r="B195">
        <v>65536</v>
      </c>
      <c r="C195">
        <v>6</v>
      </c>
      <c r="D195">
        <v>343</v>
      </c>
      <c r="E195">
        <v>0.2</v>
      </c>
      <c r="F195">
        <v>8</v>
      </c>
      <c r="G195">
        <v>511</v>
      </c>
      <c r="H195">
        <v>56128</v>
      </c>
      <c r="I195">
        <v>9591577700</v>
      </c>
      <c r="J195">
        <v>62842146600</v>
      </c>
      <c r="K195">
        <v>6.5518049861598797</v>
      </c>
      <c r="L195">
        <v>6302200</v>
      </c>
      <c r="M195">
        <v>1137003800</v>
      </c>
      <c r="N195">
        <v>824129800</v>
      </c>
      <c r="O195">
        <v>1961133600</v>
      </c>
      <c r="P195">
        <v>142200</v>
      </c>
      <c r="Q195">
        <v>7528215500</v>
      </c>
      <c r="R195">
        <v>7528357700</v>
      </c>
      <c r="S195">
        <v>817900</v>
      </c>
      <c r="T195">
        <v>18670800</v>
      </c>
      <c r="U195">
        <v>3966530500</v>
      </c>
      <c r="V195">
        <v>57241146100</v>
      </c>
      <c r="W195">
        <v>150100</v>
      </c>
      <c r="X195">
        <v>9591577700</v>
      </c>
    </row>
    <row r="196" spans="1:24" x14ac:dyDescent="0.3">
      <c r="A196">
        <v>20</v>
      </c>
      <c r="B196">
        <v>65536</v>
      </c>
      <c r="C196">
        <v>6</v>
      </c>
      <c r="D196">
        <v>343</v>
      </c>
      <c r="E196">
        <v>0.35</v>
      </c>
      <c r="F196">
        <v>8</v>
      </c>
      <c r="G196">
        <v>511</v>
      </c>
      <c r="H196">
        <v>19472</v>
      </c>
      <c r="I196">
        <v>6038839100</v>
      </c>
      <c r="J196">
        <v>30017602000</v>
      </c>
      <c r="K196">
        <v>4.9707570450088596</v>
      </c>
      <c r="L196">
        <v>2707900</v>
      </c>
      <c r="M196">
        <v>1064294100</v>
      </c>
      <c r="N196">
        <v>1833984900</v>
      </c>
      <c r="O196">
        <v>2898279000</v>
      </c>
      <c r="P196">
        <v>83000</v>
      </c>
      <c r="Q196">
        <v>2609430100</v>
      </c>
      <c r="R196">
        <v>2609513100</v>
      </c>
      <c r="S196">
        <v>671000</v>
      </c>
      <c r="T196">
        <v>12414700</v>
      </c>
      <c r="U196">
        <v>8872091900</v>
      </c>
      <c r="V196">
        <v>19846566300</v>
      </c>
      <c r="W196">
        <v>150000</v>
      </c>
      <c r="X196">
        <v>6038839100</v>
      </c>
    </row>
    <row r="197" spans="1:24" x14ac:dyDescent="0.3">
      <c r="A197">
        <v>21</v>
      </c>
      <c r="B197">
        <v>65536</v>
      </c>
      <c r="C197">
        <v>6</v>
      </c>
      <c r="D197">
        <v>343</v>
      </c>
      <c r="E197">
        <v>0.5</v>
      </c>
      <c r="F197">
        <v>8</v>
      </c>
      <c r="G197">
        <v>511</v>
      </c>
      <c r="H197">
        <v>9012</v>
      </c>
      <c r="I197">
        <v>3769850200</v>
      </c>
      <c r="J197">
        <v>15079772800</v>
      </c>
      <c r="K197">
        <v>4.0000986776609802</v>
      </c>
      <c r="L197">
        <v>1517000</v>
      </c>
      <c r="M197">
        <v>1068404300</v>
      </c>
      <c r="N197">
        <v>968135400</v>
      </c>
      <c r="O197">
        <v>2036539700</v>
      </c>
      <c r="P197">
        <v>80700</v>
      </c>
      <c r="Q197">
        <v>1210642500</v>
      </c>
      <c r="R197">
        <v>1210723200</v>
      </c>
      <c r="S197">
        <v>815400</v>
      </c>
      <c r="T197">
        <v>13331500</v>
      </c>
      <c r="U197">
        <v>4572571000</v>
      </c>
      <c r="V197">
        <v>9197560700</v>
      </c>
      <c r="W197">
        <v>148200</v>
      </c>
      <c r="X197">
        <v>3769850200</v>
      </c>
    </row>
    <row r="198" spans="1:24" x14ac:dyDescent="0.3">
      <c r="A198">
        <v>22</v>
      </c>
      <c r="B198">
        <v>65536</v>
      </c>
      <c r="C198">
        <v>6</v>
      </c>
      <c r="D198">
        <v>343</v>
      </c>
      <c r="E198">
        <v>0.65</v>
      </c>
      <c r="F198">
        <v>8</v>
      </c>
      <c r="G198">
        <v>511</v>
      </c>
      <c r="H198">
        <v>3504</v>
      </c>
      <c r="I198">
        <v>2782022600</v>
      </c>
      <c r="J198">
        <v>7736713600</v>
      </c>
      <c r="K198">
        <v>2.7809671999069998</v>
      </c>
      <c r="L198">
        <v>591400</v>
      </c>
      <c r="M198">
        <v>1068337100</v>
      </c>
      <c r="N198">
        <v>536674700</v>
      </c>
      <c r="O198">
        <v>1605011800</v>
      </c>
      <c r="P198">
        <v>90200</v>
      </c>
      <c r="Q198">
        <v>477098700</v>
      </c>
      <c r="R198">
        <v>477188900</v>
      </c>
      <c r="S198">
        <v>738000</v>
      </c>
      <c r="T198">
        <v>18668600</v>
      </c>
      <c r="U198">
        <v>2518804400</v>
      </c>
      <c r="V198">
        <v>3561976700</v>
      </c>
      <c r="W198">
        <v>157100</v>
      </c>
      <c r="X198">
        <v>2782022600</v>
      </c>
    </row>
    <row r="199" spans="1:24" x14ac:dyDescent="0.3">
      <c r="A199">
        <v>23</v>
      </c>
      <c r="B199">
        <v>65536</v>
      </c>
      <c r="C199">
        <v>6</v>
      </c>
      <c r="D199">
        <v>343</v>
      </c>
      <c r="E199">
        <v>0.8</v>
      </c>
      <c r="F199">
        <v>8</v>
      </c>
      <c r="G199">
        <v>511</v>
      </c>
      <c r="H199">
        <v>1836</v>
      </c>
      <c r="I199">
        <v>1877522700</v>
      </c>
      <c r="J199">
        <v>4962981700</v>
      </c>
      <c r="K199">
        <v>2.6433670815271602</v>
      </c>
      <c r="L199">
        <v>399100</v>
      </c>
      <c r="M199">
        <v>1150579000</v>
      </c>
      <c r="N199">
        <v>381611100</v>
      </c>
      <c r="O199">
        <v>1532190100</v>
      </c>
      <c r="P199">
        <v>93200</v>
      </c>
      <c r="Q199">
        <v>249495500</v>
      </c>
      <c r="R199">
        <v>249588700</v>
      </c>
      <c r="S199">
        <v>800000</v>
      </c>
      <c r="T199">
        <v>12800600</v>
      </c>
      <c r="U199">
        <v>1800312700</v>
      </c>
      <c r="V199">
        <v>1865232700</v>
      </c>
      <c r="W199">
        <v>152100</v>
      </c>
      <c r="X199">
        <v>1877522700</v>
      </c>
    </row>
    <row r="200" spans="1:24" x14ac:dyDescent="0.3">
      <c r="A200">
        <v>24</v>
      </c>
      <c r="B200">
        <v>65536</v>
      </c>
      <c r="C200">
        <v>6</v>
      </c>
      <c r="D200">
        <v>343</v>
      </c>
      <c r="E200">
        <v>0.95</v>
      </c>
      <c r="F200">
        <v>8</v>
      </c>
      <c r="G200">
        <v>511</v>
      </c>
      <c r="H200">
        <v>1024</v>
      </c>
      <c r="I200">
        <v>1531890800</v>
      </c>
      <c r="J200">
        <v>3126457400</v>
      </c>
      <c r="K200">
        <v>2.0409140129309402</v>
      </c>
      <c r="L200">
        <v>182900</v>
      </c>
      <c r="M200">
        <v>1148773100</v>
      </c>
      <c r="N200">
        <v>144086900</v>
      </c>
      <c r="O200">
        <v>1292860000</v>
      </c>
      <c r="P200">
        <v>68600</v>
      </c>
      <c r="Q200">
        <v>142033500</v>
      </c>
      <c r="R200">
        <v>142102100</v>
      </c>
      <c r="S200">
        <v>692300</v>
      </c>
      <c r="T200">
        <v>12903000</v>
      </c>
      <c r="U200">
        <v>671225600</v>
      </c>
      <c r="V200">
        <v>1071315600</v>
      </c>
      <c r="W200">
        <v>148900</v>
      </c>
      <c r="X200">
        <v>1531890800</v>
      </c>
    </row>
    <row r="201" spans="1:24" x14ac:dyDescent="0.3">
      <c r="A201">
        <v>25</v>
      </c>
      <c r="B201">
        <v>65536</v>
      </c>
      <c r="C201">
        <v>7</v>
      </c>
      <c r="D201">
        <v>512</v>
      </c>
      <c r="E201">
        <v>0.2</v>
      </c>
      <c r="F201">
        <v>7</v>
      </c>
      <c r="G201">
        <v>255</v>
      </c>
      <c r="H201">
        <v>15768</v>
      </c>
      <c r="I201">
        <v>10186611400</v>
      </c>
      <c r="J201">
        <v>69172648100</v>
      </c>
      <c r="K201">
        <v>6.7905454899359299</v>
      </c>
      <c r="L201">
        <v>1617200</v>
      </c>
      <c r="M201">
        <v>1361578400</v>
      </c>
      <c r="N201">
        <v>146963500</v>
      </c>
      <c r="O201">
        <v>1508541900</v>
      </c>
      <c r="P201">
        <v>64700</v>
      </c>
      <c r="Q201">
        <v>8580761500</v>
      </c>
      <c r="R201">
        <v>8580826200</v>
      </c>
      <c r="S201">
        <v>754800</v>
      </c>
      <c r="T201">
        <v>10936000</v>
      </c>
      <c r="U201">
        <v>750165400</v>
      </c>
      <c r="V201">
        <v>66562090600</v>
      </c>
      <c r="W201">
        <v>184200</v>
      </c>
      <c r="X201">
        <v>10186611400</v>
      </c>
    </row>
    <row r="202" spans="1:24" x14ac:dyDescent="0.3">
      <c r="A202">
        <v>26</v>
      </c>
      <c r="B202">
        <v>65536</v>
      </c>
      <c r="C202">
        <v>7</v>
      </c>
      <c r="D202">
        <v>512</v>
      </c>
      <c r="E202">
        <v>0.35</v>
      </c>
      <c r="F202">
        <v>7</v>
      </c>
      <c r="G202">
        <v>255</v>
      </c>
      <c r="H202">
        <v>7612</v>
      </c>
      <c r="I202">
        <v>7290772900</v>
      </c>
      <c r="J202">
        <v>40726633600</v>
      </c>
      <c r="K202">
        <v>5.5860515968066897</v>
      </c>
      <c r="L202">
        <v>1087300</v>
      </c>
      <c r="M202">
        <v>1278406900</v>
      </c>
      <c r="N202">
        <v>1349623900</v>
      </c>
      <c r="O202">
        <v>2628030800</v>
      </c>
      <c r="P202">
        <v>84000</v>
      </c>
      <c r="Q202">
        <v>4133444700</v>
      </c>
      <c r="R202">
        <v>4133528700</v>
      </c>
      <c r="S202">
        <v>703500</v>
      </c>
      <c r="T202">
        <v>16881400</v>
      </c>
      <c r="U202">
        <v>7130761400</v>
      </c>
      <c r="V202">
        <v>32051465100</v>
      </c>
      <c r="W202">
        <v>154600</v>
      </c>
      <c r="X202">
        <v>7290772900</v>
      </c>
    </row>
    <row r="203" spans="1:24" x14ac:dyDescent="0.3">
      <c r="A203">
        <v>27</v>
      </c>
      <c r="B203">
        <v>65536</v>
      </c>
      <c r="C203">
        <v>7</v>
      </c>
      <c r="D203">
        <v>512</v>
      </c>
      <c r="E203">
        <v>0.5</v>
      </c>
      <c r="F203">
        <v>7</v>
      </c>
      <c r="G203">
        <v>255</v>
      </c>
      <c r="H203">
        <v>3396</v>
      </c>
      <c r="I203">
        <v>4517871700</v>
      </c>
      <c r="J203">
        <v>20501040100</v>
      </c>
      <c r="K203">
        <v>4.5377650055887999</v>
      </c>
      <c r="L203">
        <v>546600</v>
      </c>
      <c r="M203">
        <v>1280905500</v>
      </c>
      <c r="N203">
        <v>868436700</v>
      </c>
      <c r="O203">
        <v>2149342200</v>
      </c>
      <c r="P203">
        <v>100100</v>
      </c>
      <c r="Q203">
        <v>1842057200</v>
      </c>
      <c r="R203">
        <v>1842157300</v>
      </c>
      <c r="S203">
        <v>749100</v>
      </c>
      <c r="T203">
        <v>17103000</v>
      </c>
      <c r="U203">
        <v>4651664500</v>
      </c>
      <c r="V203">
        <v>14303592600</v>
      </c>
      <c r="W203">
        <v>156000</v>
      </c>
      <c r="X203">
        <v>4517871700</v>
      </c>
    </row>
    <row r="204" spans="1:24" x14ac:dyDescent="0.3">
      <c r="A204">
        <v>28</v>
      </c>
      <c r="B204">
        <v>65536</v>
      </c>
      <c r="C204">
        <v>7</v>
      </c>
      <c r="D204">
        <v>512</v>
      </c>
      <c r="E204">
        <v>0.65</v>
      </c>
      <c r="F204">
        <v>7</v>
      </c>
      <c r="G204">
        <v>255</v>
      </c>
      <c r="H204">
        <v>1408</v>
      </c>
      <c r="I204">
        <v>3157096100</v>
      </c>
      <c r="J204">
        <v>10901703400</v>
      </c>
      <c r="K204">
        <v>3.4530793661935002</v>
      </c>
      <c r="L204">
        <v>320300</v>
      </c>
      <c r="M204">
        <v>1282847800</v>
      </c>
      <c r="N204">
        <v>586826700</v>
      </c>
      <c r="O204">
        <v>1869674500</v>
      </c>
      <c r="P204">
        <v>79900</v>
      </c>
      <c r="Q204">
        <v>764950500</v>
      </c>
      <c r="R204">
        <v>765030400</v>
      </c>
      <c r="S204">
        <v>714500</v>
      </c>
      <c r="T204">
        <v>11465300</v>
      </c>
      <c r="U204">
        <v>3056726200</v>
      </c>
      <c r="V204">
        <v>5935855500</v>
      </c>
      <c r="W204">
        <v>151400</v>
      </c>
      <c r="X204">
        <v>3157096100</v>
      </c>
    </row>
    <row r="205" spans="1:24" x14ac:dyDescent="0.3">
      <c r="A205">
        <v>29</v>
      </c>
      <c r="B205">
        <v>65536</v>
      </c>
      <c r="C205">
        <v>7</v>
      </c>
      <c r="D205">
        <v>512</v>
      </c>
      <c r="E205">
        <v>0.8</v>
      </c>
      <c r="F205">
        <v>7</v>
      </c>
      <c r="G205">
        <v>255</v>
      </c>
      <c r="H205">
        <v>896</v>
      </c>
      <c r="I205">
        <v>2871157800</v>
      </c>
      <c r="J205">
        <v>7445120700</v>
      </c>
      <c r="K205">
        <v>2.59307262735611</v>
      </c>
      <c r="L205">
        <v>194400</v>
      </c>
      <c r="M205">
        <v>1279134000</v>
      </c>
      <c r="N205">
        <v>404765700</v>
      </c>
      <c r="O205">
        <v>1683899700</v>
      </c>
      <c r="P205">
        <v>54600</v>
      </c>
      <c r="Q205">
        <v>490953700</v>
      </c>
      <c r="R205">
        <v>491008300</v>
      </c>
      <c r="S205">
        <v>726600</v>
      </c>
      <c r="T205">
        <v>11515700</v>
      </c>
      <c r="U205">
        <v>2146003800</v>
      </c>
      <c r="V205">
        <v>3762289100</v>
      </c>
      <c r="W205">
        <v>155500</v>
      </c>
      <c r="X205">
        <v>2871157800</v>
      </c>
    </row>
    <row r="206" spans="1:24" x14ac:dyDescent="0.3">
      <c r="A206">
        <v>30</v>
      </c>
      <c r="B206">
        <v>65536</v>
      </c>
      <c r="C206">
        <v>7</v>
      </c>
      <c r="D206">
        <v>512</v>
      </c>
      <c r="E206">
        <v>0.95</v>
      </c>
      <c r="F206">
        <v>7</v>
      </c>
      <c r="G206">
        <v>255</v>
      </c>
      <c r="H206">
        <v>256</v>
      </c>
      <c r="I206">
        <v>1775951800</v>
      </c>
      <c r="J206">
        <v>4119476200</v>
      </c>
      <c r="K206">
        <v>2.3195878401654801</v>
      </c>
      <c r="L206">
        <v>119300</v>
      </c>
      <c r="M206">
        <v>1254408900</v>
      </c>
      <c r="N206">
        <v>283024500</v>
      </c>
      <c r="O206">
        <v>1537433400</v>
      </c>
      <c r="P206">
        <v>60400</v>
      </c>
      <c r="Q206">
        <v>141894700</v>
      </c>
      <c r="R206">
        <v>141955100</v>
      </c>
      <c r="S206">
        <v>764700</v>
      </c>
      <c r="T206">
        <v>11517500</v>
      </c>
      <c r="U206">
        <v>1478903200</v>
      </c>
      <c r="V206">
        <v>1076155800</v>
      </c>
      <c r="W206">
        <v>185200</v>
      </c>
      <c r="X206">
        <v>1775951800</v>
      </c>
    </row>
    <row r="207" spans="1:24" x14ac:dyDescent="0.3">
      <c r="A207">
        <v>31</v>
      </c>
      <c r="B207">
        <v>131072</v>
      </c>
      <c r="C207">
        <v>3</v>
      </c>
      <c r="D207">
        <v>64</v>
      </c>
      <c r="E207">
        <v>0.2</v>
      </c>
      <c r="F207">
        <v>11</v>
      </c>
      <c r="G207">
        <v>4095</v>
      </c>
      <c r="H207">
        <v>910736</v>
      </c>
      <c r="I207">
        <v>10931142800</v>
      </c>
      <c r="J207">
        <v>69137185800</v>
      </c>
      <c r="K207">
        <v>6.32479028633675</v>
      </c>
      <c r="L207">
        <v>146717300</v>
      </c>
      <c r="M207">
        <v>282097900</v>
      </c>
      <c r="N207">
        <v>2773137100</v>
      </c>
      <c r="O207">
        <v>3055235000</v>
      </c>
      <c r="P207">
        <v>2468500</v>
      </c>
      <c r="Q207">
        <v>7663445600</v>
      </c>
      <c r="R207">
        <v>7665914100</v>
      </c>
      <c r="S207">
        <v>1258900</v>
      </c>
      <c r="T207">
        <v>36875400</v>
      </c>
      <c r="U207">
        <v>14189536900</v>
      </c>
      <c r="V207">
        <v>53855680600</v>
      </c>
      <c r="W207">
        <v>339700</v>
      </c>
      <c r="X207">
        <v>10931142800</v>
      </c>
    </row>
    <row r="208" spans="1:24" x14ac:dyDescent="0.3">
      <c r="A208">
        <v>32</v>
      </c>
      <c r="B208">
        <v>131072</v>
      </c>
      <c r="C208">
        <v>3</v>
      </c>
      <c r="D208">
        <v>64</v>
      </c>
      <c r="E208">
        <v>0.35</v>
      </c>
      <c r="F208">
        <v>11</v>
      </c>
      <c r="G208">
        <v>4095</v>
      </c>
      <c r="H208">
        <v>209024</v>
      </c>
      <c r="I208">
        <v>3620662700</v>
      </c>
      <c r="J208">
        <v>18576520700</v>
      </c>
      <c r="K208">
        <v>5.1306962949075503</v>
      </c>
      <c r="L208">
        <v>37327000</v>
      </c>
      <c r="M208">
        <v>186780600</v>
      </c>
      <c r="N208">
        <v>1116227900</v>
      </c>
      <c r="O208">
        <v>1303008500</v>
      </c>
      <c r="P208">
        <v>596800</v>
      </c>
      <c r="Q208">
        <v>1765642300</v>
      </c>
      <c r="R208">
        <v>1766239100</v>
      </c>
      <c r="S208">
        <v>1392000</v>
      </c>
      <c r="T208">
        <v>36997400</v>
      </c>
      <c r="U208">
        <v>5486248700</v>
      </c>
      <c r="V208">
        <v>12362333200</v>
      </c>
      <c r="W208">
        <v>334800</v>
      </c>
      <c r="X208">
        <v>3620662700</v>
      </c>
    </row>
    <row r="209" spans="1:24" x14ac:dyDescent="0.3">
      <c r="A209">
        <v>33</v>
      </c>
      <c r="B209">
        <v>131072</v>
      </c>
      <c r="C209">
        <v>3</v>
      </c>
      <c r="D209">
        <v>64</v>
      </c>
      <c r="E209">
        <v>0.5</v>
      </c>
      <c r="F209">
        <v>11</v>
      </c>
      <c r="G209">
        <v>4095</v>
      </c>
      <c r="H209">
        <v>82448</v>
      </c>
      <c r="I209">
        <v>1919080100</v>
      </c>
      <c r="J209">
        <v>8227653400</v>
      </c>
      <c r="K209">
        <v>4.2872902491146601</v>
      </c>
      <c r="L209">
        <v>14654700</v>
      </c>
      <c r="M209">
        <v>212648500</v>
      </c>
      <c r="N209">
        <v>503017900</v>
      </c>
      <c r="O209">
        <v>715666400</v>
      </c>
      <c r="P209">
        <v>244500</v>
      </c>
      <c r="Q209">
        <v>700078000</v>
      </c>
      <c r="R209">
        <v>700322500</v>
      </c>
      <c r="S209">
        <v>1264300</v>
      </c>
      <c r="T209">
        <v>39151000</v>
      </c>
      <c r="U209">
        <v>2292806500</v>
      </c>
      <c r="V209">
        <v>4889280700</v>
      </c>
      <c r="W209">
        <v>339200</v>
      </c>
      <c r="X209">
        <v>1919080100</v>
      </c>
    </row>
    <row r="210" spans="1:24" x14ac:dyDescent="0.3">
      <c r="A210">
        <v>34</v>
      </c>
      <c r="B210">
        <v>131072</v>
      </c>
      <c r="C210">
        <v>3</v>
      </c>
      <c r="D210">
        <v>64</v>
      </c>
      <c r="E210">
        <v>0.65</v>
      </c>
      <c r="F210">
        <v>11</v>
      </c>
      <c r="G210">
        <v>4095</v>
      </c>
      <c r="H210">
        <v>29760</v>
      </c>
      <c r="I210">
        <v>858851300</v>
      </c>
      <c r="J210">
        <v>3438693800</v>
      </c>
      <c r="K210">
        <v>4.0038290679655404</v>
      </c>
      <c r="L210">
        <v>5276100</v>
      </c>
      <c r="M210">
        <v>298045400</v>
      </c>
      <c r="N210">
        <v>221237000</v>
      </c>
      <c r="O210">
        <v>519282400</v>
      </c>
      <c r="P210">
        <v>175600</v>
      </c>
      <c r="Q210">
        <v>270486500</v>
      </c>
      <c r="R210">
        <v>270662100</v>
      </c>
      <c r="S210">
        <v>1288000</v>
      </c>
      <c r="T210">
        <v>38252300</v>
      </c>
      <c r="U210">
        <v>923159600</v>
      </c>
      <c r="V210">
        <v>1792216400</v>
      </c>
      <c r="W210">
        <v>377200</v>
      </c>
      <c r="X210">
        <v>858851300</v>
      </c>
    </row>
    <row r="211" spans="1:24" x14ac:dyDescent="0.3">
      <c r="A211">
        <v>35</v>
      </c>
      <c r="B211">
        <v>131072</v>
      </c>
      <c r="C211">
        <v>3</v>
      </c>
      <c r="D211">
        <v>64</v>
      </c>
      <c r="E211">
        <v>0.8</v>
      </c>
      <c r="F211">
        <v>11</v>
      </c>
      <c r="G211">
        <v>4095</v>
      </c>
      <c r="H211">
        <v>14448</v>
      </c>
      <c r="I211">
        <v>553972000</v>
      </c>
      <c r="J211">
        <v>2487858900</v>
      </c>
      <c r="K211">
        <v>4.4909470153726101</v>
      </c>
      <c r="L211">
        <v>9493800</v>
      </c>
      <c r="M211">
        <v>206284200</v>
      </c>
      <c r="N211">
        <v>131585400</v>
      </c>
      <c r="O211">
        <v>337869600</v>
      </c>
      <c r="P211">
        <v>144000</v>
      </c>
      <c r="Q211">
        <v>141025500</v>
      </c>
      <c r="R211">
        <v>141169500</v>
      </c>
      <c r="S211">
        <v>1192200</v>
      </c>
      <c r="T211">
        <v>37862400</v>
      </c>
      <c r="U211">
        <v>556002000</v>
      </c>
      <c r="V211">
        <v>863227900</v>
      </c>
      <c r="W211">
        <v>363400</v>
      </c>
      <c r="X211">
        <v>553972000</v>
      </c>
    </row>
    <row r="212" spans="1:24" x14ac:dyDescent="0.3">
      <c r="A212">
        <v>36</v>
      </c>
      <c r="B212">
        <v>131072</v>
      </c>
      <c r="C212">
        <v>3</v>
      </c>
      <c r="D212">
        <v>64</v>
      </c>
      <c r="E212">
        <v>0.95</v>
      </c>
      <c r="F212">
        <v>11</v>
      </c>
      <c r="G212">
        <v>4095</v>
      </c>
      <c r="H212">
        <v>8192</v>
      </c>
      <c r="I212">
        <v>492793000</v>
      </c>
      <c r="J212">
        <v>1398803700</v>
      </c>
      <c r="K212">
        <v>2.8385218540035999</v>
      </c>
      <c r="L212">
        <v>1415100</v>
      </c>
      <c r="M212">
        <v>283520900</v>
      </c>
      <c r="N212">
        <v>50094300</v>
      </c>
      <c r="O212">
        <v>333615200</v>
      </c>
      <c r="P212">
        <v>138200</v>
      </c>
      <c r="Q212">
        <v>88794000</v>
      </c>
      <c r="R212">
        <v>88932200</v>
      </c>
      <c r="S212">
        <v>1216000</v>
      </c>
      <c r="T212">
        <v>43032800</v>
      </c>
      <c r="U212">
        <v>197373900</v>
      </c>
      <c r="V212">
        <v>492190100</v>
      </c>
      <c r="W212">
        <v>353400</v>
      </c>
      <c r="X212">
        <v>492793000</v>
      </c>
    </row>
    <row r="213" spans="1:24" x14ac:dyDescent="0.3">
      <c r="A213">
        <v>37</v>
      </c>
      <c r="B213">
        <v>131072</v>
      </c>
      <c r="C213">
        <v>4</v>
      </c>
      <c r="D213">
        <v>125</v>
      </c>
      <c r="E213">
        <v>0.2</v>
      </c>
      <c r="F213">
        <v>11</v>
      </c>
      <c r="G213">
        <v>4095</v>
      </c>
      <c r="H213">
        <v>913476</v>
      </c>
      <c r="I213">
        <v>17842141300</v>
      </c>
      <c r="J213">
        <v>108123109400</v>
      </c>
      <c r="K213">
        <v>6.0599850422661996</v>
      </c>
      <c r="L213">
        <v>145105000</v>
      </c>
      <c r="M213">
        <v>529236700</v>
      </c>
      <c r="N213">
        <v>9032156000</v>
      </c>
      <c r="O213">
        <v>9561392700</v>
      </c>
      <c r="P213">
        <v>5007100</v>
      </c>
      <c r="Q213">
        <v>8019966900</v>
      </c>
      <c r="R213">
        <v>8024974000</v>
      </c>
      <c r="S213">
        <v>1421100</v>
      </c>
      <c r="T213">
        <v>42756300</v>
      </c>
      <c r="U213">
        <v>51928482400</v>
      </c>
      <c r="V213">
        <v>54182712500</v>
      </c>
      <c r="W213">
        <v>428000</v>
      </c>
      <c r="X213">
        <v>17842141300</v>
      </c>
    </row>
    <row r="214" spans="1:24" x14ac:dyDescent="0.3">
      <c r="A214">
        <v>38</v>
      </c>
      <c r="B214">
        <v>131072</v>
      </c>
      <c r="C214">
        <v>4</v>
      </c>
      <c r="D214">
        <v>125</v>
      </c>
      <c r="E214">
        <v>0.35</v>
      </c>
      <c r="F214">
        <v>11</v>
      </c>
      <c r="G214">
        <v>4095</v>
      </c>
      <c r="H214">
        <v>209052</v>
      </c>
      <c r="I214">
        <v>6406505200</v>
      </c>
      <c r="J214">
        <v>34610917900</v>
      </c>
      <c r="K214">
        <v>5.4024646542080301</v>
      </c>
      <c r="L214">
        <v>36193200</v>
      </c>
      <c r="M214">
        <v>470145900</v>
      </c>
      <c r="N214">
        <v>3514478100</v>
      </c>
      <c r="O214">
        <v>3984624000</v>
      </c>
      <c r="P214">
        <v>636400</v>
      </c>
      <c r="Q214">
        <v>1833050800</v>
      </c>
      <c r="R214">
        <v>1833687200</v>
      </c>
      <c r="S214">
        <v>1339100</v>
      </c>
      <c r="T214">
        <v>42458900</v>
      </c>
      <c r="U214">
        <v>20110634900</v>
      </c>
      <c r="V214">
        <v>12564911800</v>
      </c>
      <c r="W214">
        <v>368500</v>
      </c>
      <c r="X214">
        <v>6406505200</v>
      </c>
    </row>
    <row r="215" spans="1:24" x14ac:dyDescent="0.3">
      <c r="A215">
        <v>39</v>
      </c>
      <c r="B215">
        <v>131072</v>
      </c>
      <c r="C215">
        <v>4</v>
      </c>
      <c r="D215">
        <v>125</v>
      </c>
      <c r="E215">
        <v>0.5</v>
      </c>
      <c r="F215">
        <v>11</v>
      </c>
      <c r="G215">
        <v>4095</v>
      </c>
      <c r="H215">
        <v>81756</v>
      </c>
      <c r="I215">
        <v>3262337100</v>
      </c>
      <c r="J215">
        <v>15037385700</v>
      </c>
      <c r="K215">
        <v>4.6093905194530604</v>
      </c>
      <c r="L215">
        <v>13974500</v>
      </c>
      <c r="M215">
        <v>483422100</v>
      </c>
      <c r="N215">
        <v>1496852400</v>
      </c>
      <c r="O215">
        <v>1980274500</v>
      </c>
      <c r="P215">
        <v>247500</v>
      </c>
      <c r="Q215">
        <v>713944500</v>
      </c>
      <c r="R215">
        <v>714192000</v>
      </c>
      <c r="S215">
        <v>1345200</v>
      </c>
      <c r="T215">
        <v>39180700</v>
      </c>
      <c r="U215">
        <v>8574527700</v>
      </c>
      <c r="V215">
        <v>4868052000</v>
      </c>
      <c r="W215">
        <v>352700</v>
      </c>
      <c r="X215">
        <v>3262337100</v>
      </c>
    </row>
    <row r="216" spans="1:24" x14ac:dyDescent="0.3">
      <c r="A216">
        <v>40</v>
      </c>
      <c r="B216">
        <v>131072</v>
      </c>
      <c r="C216">
        <v>4</v>
      </c>
      <c r="D216">
        <v>125</v>
      </c>
      <c r="E216">
        <v>0.65</v>
      </c>
      <c r="F216">
        <v>11</v>
      </c>
      <c r="G216">
        <v>4095</v>
      </c>
      <c r="H216">
        <v>30148</v>
      </c>
      <c r="I216">
        <v>2097067300</v>
      </c>
      <c r="J216">
        <v>7190185300</v>
      </c>
      <c r="K216">
        <v>3.4286860035440898</v>
      </c>
      <c r="L216">
        <v>5749000</v>
      </c>
      <c r="M216">
        <v>492050400</v>
      </c>
      <c r="N216">
        <v>616771800</v>
      </c>
      <c r="O216">
        <v>1108822200</v>
      </c>
      <c r="P216">
        <v>158900</v>
      </c>
      <c r="Q216">
        <v>265926500</v>
      </c>
      <c r="R216">
        <v>266085400</v>
      </c>
      <c r="S216">
        <v>1228100</v>
      </c>
      <c r="T216">
        <v>41973100</v>
      </c>
      <c r="U216">
        <v>3510738800</v>
      </c>
      <c r="V216">
        <v>1795990500</v>
      </c>
      <c r="W216">
        <v>398400</v>
      </c>
      <c r="X216">
        <v>2097067300</v>
      </c>
    </row>
    <row r="217" spans="1:24" x14ac:dyDescent="0.3">
      <c r="A217">
        <v>41</v>
      </c>
      <c r="B217">
        <v>131072</v>
      </c>
      <c r="C217">
        <v>4</v>
      </c>
      <c r="D217">
        <v>125</v>
      </c>
      <c r="E217">
        <v>0.8</v>
      </c>
      <c r="F217">
        <v>11</v>
      </c>
      <c r="G217">
        <v>4095</v>
      </c>
      <c r="H217">
        <v>14640</v>
      </c>
      <c r="I217">
        <v>1109641000</v>
      </c>
      <c r="J217">
        <v>4560724000</v>
      </c>
      <c r="K217">
        <v>4.1100896596286498</v>
      </c>
      <c r="L217">
        <v>2913900</v>
      </c>
      <c r="M217">
        <v>490236000</v>
      </c>
      <c r="N217">
        <v>368353900</v>
      </c>
      <c r="O217">
        <v>858589900</v>
      </c>
      <c r="P217">
        <v>149500</v>
      </c>
      <c r="Q217">
        <v>131501200</v>
      </c>
      <c r="R217">
        <v>131650700</v>
      </c>
      <c r="S217">
        <v>1312900</v>
      </c>
      <c r="T217">
        <v>42432400</v>
      </c>
      <c r="U217">
        <v>2101870400</v>
      </c>
      <c r="V217">
        <v>880870800</v>
      </c>
      <c r="W217">
        <v>439700</v>
      </c>
      <c r="X217">
        <v>1109641000</v>
      </c>
    </row>
    <row r="218" spans="1:24" x14ac:dyDescent="0.3">
      <c r="A218">
        <v>42</v>
      </c>
      <c r="B218">
        <v>131072</v>
      </c>
      <c r="C218">
        <v>4</v>
      </c>
      <c r="D218">
        <v>125</v>
      </c>
      <c r="E218">
        <v>0.95</v>
      </c>
      <c r="F218">
        <v>11</v>
      </c>
      <c r="G218">
        <v>4095</v>
      </c>
      <c r="H218">
        <v>8192</v>
      </c>
      <c r="I218">
        <v>801252900</v>
      </c>
      <c r="J218">
        <v>3127537600</v>
      </c>
      <c r="K218">
        <v>3.90330893030153</v>
      </c>
      <c r="L218">
        <v>1377000</v>
      </c>
      <c r="M218">
        <v>484992500</v>
      </c>
      <c r="N218">
        <v>133679300</v>
      </c>
      <c r="O218">
        <v>618671800</v>
      </c>
      <c r="P218">
        <v>150900</v>
      </c>
      <c r="Q218">
        <v>73283700</v>
      </c>
      <c r="R218">
        <v>73434600</v>
      </c>
      <c r="S218">
        <v>1215700</v>
      </c>
      <c r="T218">
        <v>40284800</v>
      </c>
      <c r="U218">
        <v>737650900</v>
      </c>
      <c r="V218">
        <v>494144300</v>
      </c>
      <c r="W218">
        <v>367900</v>
      </c>
      <c r="X218">
        <v>801252900</v>
      </c>
    </row>
    <row r="219" spans="1:24" x14ac:dyDescent="0.3">
      <c r="A219">
        <v>43</v>
      </c>
      <c r="B219">
        <v>131072</v>
      </c>
      <c r="C219">
        <v>5</v>
      </c>
      <c r="D219">
        <v>216</v>
      </c>
      <c r="E219">
        <v>0.2</v>
      </c>
      <c r="F219">
        <v>10</v>
      </c>
      <c r="G219">
        <v>2047</v>
      </c>
      <c r="H219">
        <v>330688</v>
      </c>
      <c r="I219">
        <v>27554753300</v>
      </c>
      <c r="J219">
        <v>155101820900</v>
      </c>
      <c r="K219">
        <v>5.6288589925426704</v>
      </c>
      <c r="L219">
        <v>63039800</v>
      </c>
      <c r="M219">
        <v>856329100</v>
      </c>
      <c r="N219">
        <v>15287868500</v>
      </c>
      <c r="O219">
        <v>16144197600</v>
      </c>
      <c r="P219">
        <v>971900</v>
      </c>
      <c r="Q219">
        <v>11196644400</v>
      </c>
      <c r="R219">
        <v>11197616300</v>
      </c>
      <c r="S219">
        <v>1310200</v>
      </c>
      <c r="T219">
        <v>37067100</v>
      </c>
      <c r="U219">
        <v>72045491600</v>
      </c>
      <c r="V219">
        <v>80928874600</v>
      </c>
      <c r="W219">
        <v>359500</v>
      </c>
      <c r="X219">
        <v>27554753300</v>
      </c>
    </row>
    <row r="220" spans="1:24" x14ac:dyDescent="0.3">
      <c r="A220">
        <v>44</v>
      </c>
      <c r="B220">
        <v>131072</v>
      </c>
      <c r="C220">
        <v>5</v>
      </c>
      <c r="D220">
        <v>216</v>
      </c>
      <c r="E220">
        <v>0.35</v>
      </c>
      <c r="F220">
        <v>10</v>
      </c>
      <c r="G220">
        <v>2047</v>
      </c>
      <c r="H220">
        <v>89840</v>
      </c>
      <c r="I220">
        <v>10631469200</v>
      </c>
      <c r="J220">
        <v>53864533100</v>
      </c>
      <c r="K220">
        <v>5.0665182851679598</v>
      </c>
      <c r="L220">
        <v>15686400</v>
      </c>
      <c r="M220">
        <v>860044900</v>
      </c>
      <c r="N220">
        <v>6150159800</v>
      </c>
      <c r="O220">
        <v>7010204700</v>
      </c>
      <c r="P220">
        <v>184100</v>
      </c>
      <c r="Q220">
        <v>3014781800</v>
      </c>
      <c r="R220">
        <v>3014965900</v>
      </c>
      <c r="S220">
        <v>1352900</v>
      </c>
      <c r="T220">
        <v>34655300</v>
      </c>
      <c r="U220">
        <v>29512048100</v>
      </c>
      <c r="V220">
        <v>21850963400</v>
      </c>
      <c r="W220">
        <v>414000</v>
      </c>
      <c r="X220">
        <v>10631469200</v>
      </c>
    </row>
    <row r="221" spans="1:24" x14ac:dyDescent="0.3">
      <c r="A221">
        <v>45</v>
      </c>
      <c r="B221">
        <v>131072</v>
      </c>
      <c r="C221">
        <v>5</v>
      </c>
      <c r="D221">
        <v>216</v>
      </c>
      <c r="E221">
        <v>0.5</v>
      </c>
      <c r="F221">
        <v>10</v>
      </c>
      <c r="G221">
        <v>2047</v>
      </c>
      <c r="H221">
        <v>34680</v>
      </c>
      <c r="I221">
        <v>5355589000</v>
      </c>
      <c r="J221">
        <v>23414599000</v>
      </c>
      <c r="K221">
        <v>4.3719932578844203</v>
      </c>
      <c r="L221">
        <v>6234300</v>
      </c>
      <c r="M221">
        <v>872175000</v>
      </c>
      <c r="N221">
        <v>2717793100</v>
      </c>
      <c r="O221">
        <v>3589968100</v>
      </c>
      <c r="P221">
        <v>116400</v>
      </c>
      <c r="Q221">
        <v>1169704300</v>
      </c>
      <c r="R221">
        <v>1169820700</v>
      </c>
      <c r="S221">
        <v>1407200</v>
      </c>
      <c r="T221">
        <v>38293000</v>
      </c>
      <c r="U221">
        <v>12823209100</v>
      </c>
      <c r="V221">
        <v>8431174700</v>
      </c>
      <c r="W221">
        <v>433000</v>
      </c>
      <c r="X221">
        <v>5355589000</v>
      </c>
    </row>
    <row r="222" spans="1:24" x14ac:dyDescent="0.3">
      <c r="A222">
        <v>46</v>
      </c>
      <c r="B222">
        <v>131072</v>
      </c>
      <c r="C222">
        <v>5</v>
      </c>
      <c r="D222">
        <v>216</v>
      </c>
      <c r="E222">
        <v>0.65</v>
      </c>
      <c r="F222">
        <v>10</v>
      </c>
      <c r="G222">
        <v>2047</v>
      </c>
      <c r="H222">
        <v>12468</v>
      </c>
      <c r="I222">
        <v>3156962500</v>
      </c>
      <c r="J222">
        <v>11685804500</v>
      </c>
      <c r="K222">
        <v>3.7015975007622002</v>
      </c>
      <c r="L222">
        <v>2651800</v>
      </c>
      <c r="M222">
        <v>873757300</v>
      </c>
      <c r="N222">
        <v>1272769300</v>
      </c>
      <c r="O222">
        <v>2146526600</v>
      </c>
      <c r="P222">
        <v>84300</v>
      </c>
      <c r="Q222">
        <v>423840100</v>
      </c>
      <c r="R222">
        <v>423924400</v>
      </c>
      <c r="S222">
        <v>1229400</v>
      </c>
      <c r="T222">
        <v>39934300</v>
      </c>
      <c r="U222">
        <v>6072272600</v>
      </c>
      <c r="V222">
        <v>3137764600</v>
      </c>
      <c r="W222">
        <v>379900</v>
      </c>
      <c r="X222">
        <v>3156962500</v>
      </c>
    </row>
    <row r="223" spans="1:24" x14ac:dyDescent="0.3">
      <c r="A223">
        <v>47</v>
      </c>
      <c r="B223">
        <v>131072</v>
      </c>
      <c r="C223">
        <v>5</v>
      </c>
      <c r="D223">
        <v>216</v>
      </c>
      <c r="E223">
        <v>0.8</v>
      </c>
      <c r="F223">
        <v>10</v>
      </c>
      <c r="G223">
        <v>2047</v>
      </c>
      <c r="H223">
        <v>7352</v>
      </c>
      <c r="I223">
        <v>2593786000</v>
      </c>
      <c r="J223">
        <v>7384552800</v>
      </c>
      <c r="K223">
        <v>2.8470169859811101</v>
      </c>
      <c r="L223">
        <v>1667900</v>
      </c>
      <c r="M223">
        <v>870917300</v>
      </c>
      <c r="N223">
        <v>721372200</v>
      </c>
      <c r="O223">
        <v>1592289500</v>
      </c>
      <c r="P223">
        <v>80400</v>
      </c>
      <c r="Q223">
        <v>251501700</v>
      </c>
      <c r="R223">
        <v>251582100</v>
      </c>
      <c r="S223">
        <v>1353200</v>
      </c>
      <c r="T223">
        <v>38306700</v>
      </c>
      <c r="U223">
        <v>3443164500</v>
      </c>
      <c r="V223">
        <v>1823869200</v>
      </c>
      <c r="W223">
        <v>350800</v>
      </c>
      <c r="X223">
        <v>2593786000</v>
      </c>
    </row>
    <row r="224" spans="1:24" x14ac:dyDescent="0.3">
      <c r="A224">
        <v>48</v>
      </c>
      <c r="B224">
        <v>131072</v>
      </c>
      <c r="C224">
        <v>5</v>
      </c>
      <c r="D224">
        <v>216</v>
      </c>
      <c r="E224">
        <v>0.95</v>
      </c>
      <c r="F224">
        <v>10</v>
      </c>
      <c r="G224">
        <v>2047</v>
      </c>
      <c r="H224">
        <v>2048</v>
      </c>
      <c r="I224">
        <v>1618549900</v>
      </c>
      <c r="J224">
        <v>5138995300</v>
      </c>
      <c r="K224">
        <v>3.1750613929172</v>
      </c>
      <c r="L224">
        <v>894100</v>
      </c>
      <c r="M224">
        <v>958357800</v>
      </c>
      <c r="N224">
        <v>438394200</v>
      </c>
      <c r="O224">
        <v>1396752000</v>
      </c>
      <c r="P224">
        <v>85800</v>
      </c>
      <c r="Q224">
        <v>73166700</v>
      </c>
      <c r="R224">
        <v>73252500</v>
      </c>
      <c r="S224">
        <v>1216800</v>
      </c>
      <c r="T224">
        <v>44131200</v>
      </c>
      <c r="U224">
        <v>2147990500</v>
      </c>
      <c r="V224">
        <v>509667400</v>
      </c>
      <c r="W224">
        <v>419000</v>
      </c>
      <c r="X224">
        <v>1618549900</v>
      </c>
    </row>
    <row r="225" spans="1:24" x14ac:dyDescent="0.3">
      <c r="A225">
        <v>49</v>
      </c>
      <c r="B225">
        <v>131072</v>
      </c>
      <c r="C225">
        <v>6</v>
      </c>
      <c r="D225">
        <v>343</v>
      </c>
      <c r="E225">
        <v>0.2</v>
      </c>
      <c r="F225">
        <v>9</v>
      </c>
      <c r="G225">
        <v>1023</v>
      </c>
      <c r="H225">
        <v>161964</v>
      </c>
      <c r="I225">
        <v>31164823700</v>
      </c>
      <c r="J225">
        <v>203537567500</v>
      </c>
      <c r="K225">
        <v>6.5310033343779104</v>
      </c>
      <c r="L225">
        <v>20758900</v>
      </c>
      <c r="M225">
        <v>1925524700</v>
      </c>
      <c r="N225">
        <v>7169018100</v>
      </c>
      <c r="O225">
        <v>9094542800</v>
      </c>
      <c r="P225">
        <v>470000</v>
      </c>
      <c r="Q225">
        <v>21851462700</v>
      </c>
      <c r="R225">
        <v>21851932700</v>
      </c>
      <c r="S225">
        <v>1307800</v>
      </c>
      <c r="T225">
        <v>34136700</v>
      </c>
      <c r="U225">
        <v>33827847200</v>
      </c>
      <c r="V225">
        <v>167050179200</v>
      </c>
      <c r="W225">
        <v>369000</v>
      </c>
      <c r="X225">
        <v>31164823700</v>
      </c>
    </row>
    <row r="226" spans="1:24" x14ac:dyDescent="0.3">
      <c r="A226">
        <v>50</v>
      </c>
      <c r="B226">
        <v>131072</v>
      </c>
      <c r="C226">
        <v>6</v>
      </c>
      <c r="D226">
        <v>343</v>
      </c>
      <c r="E226">
        <v>0.35</v>
      </c>
      <c r="F226">
        <v>9</v>
      </c>
      <c r="G226">
        <v>1023</v>
      </c>
      <c r="H226">
        <v>49356</v>
      </c>
      <c r="I226">
        <v>13781640900</v>
      </c>
      <c r="J226">
        <v>75815032700</v>
      </c>
      <c r="K226">
        <v>5.5011615271444203</v>
      </c>
      <c r="L226">
        <v>6535100</v>
      </c>
      <c r="M226">
        <v>1904813900</v>
      </c>
      <c r="N226">
        <v>4629578000</v>
      </c>
      <c r="O226">
        <v>6534391900</v>
      </c>
      <c r="P226">
        <v>158100</v>
      </c>
      <c r="Q226">
        <v>6610098200</v>
      </c>
      <c r="R226">
        <v>6610256300</v>
      </c>
      <c r="S226">
        <v>1538400</v>
      </c>
      <c r="T226">
        <v>36168200</v>
      </c>
      <c r="U226">
        <v>21949698000</v>
      </c>
      <c r="V226">
        <v>50862052000</v>
      </c>
      <c r="W226">
        <v>525700</v>
      </c>
      <c r="X226">
        <v>13781640900</v>
      </c>
    </row>
    <row r="227" spans="1:24" x14ac:dyDescent="0.3">
      <c r="A227">
        <v>51</v>
      </c>
      <c r="B227">
        <v>131072</v>
      </c>
      <c r="C227">
        <v>6</v>
      </c>
      <c r="D227">
        <v>343</v>
      </c>
      <c r="E227">
        <v>0.5</v>
      </c>
      <c r="F227">
        <v>9</v>
      </c>
      <c r="G227">
        <v>1023</v>
      </c>
      <c r="H227">
        <v>19224</v>
      </c>
      <c r="I227">
        <v>7841373500</v>
      </c>
      <c r="J227">
        <v>35116600700</v>
      </c>
      <c r="K227">
        <v>4.4783736803252596</v>
      </c>
      <c r="L227">
        <v>3277300</v>
      </c>
      <c r="M227">
        <v>1917334900</v>
      </c>
      <c r="N227">
        <v>2704875900</v>
      </c>
      <c r="O227">
        <v>4622210800</v>
      </c>
      <c r="P227">
        <v>124100</v>
      </c>
      <c r="Q227">
        <v>2587032200</v>
      </c>
      <c r="R227">
        <v>2587156300</v>
      </c>
      <c r="S227">
        <v>1287900</v>
      </c>
      <c r="T227">
        <v>33506800</v>
      </c>
      <c r="U227">
        <v>12714141400</v>
      </c>
      <c r="V227">
        <v>19727062700</v>
      </c>
      <c r="W227">
        <v>444700</v>
      </c>
      <c r="X227">
        <v>7841373500</v>
      </c>
    </row>
    <row r="228" spans="1:24" x14ac:dyDescent="0.3">
      <c r="A228">
        <v>52</v>
      </c>
      <c r="B228">
        <v>131072</v>
      </c>
      <c r="C228">
        <v>6</v>
      </c>
      <c r="D228">
        <v>343</v>
      </c>
      <c r="E228">
        <v>0.65</v>
      </c>
      <c r="F228">
        <v>9</v>
      </c>
      <c r="G228">
        <v>1023</v>
      </c>
      <c r="H228">
        <v>8644</v>
      </c>
      <c r="I228">
        <v>4883397000</v>
      </c>
      <c r="J228">
        <v>17511773300</v>
      </c>
      <c r="K228">
        <v>3.5859819097239001</v>
      </c>
      <c r="L228">
        <v>1482200</v>
      </c>
      <c r="M228">
        <v>1920093300</v>
      </c>
      <c r="N228">
        <v>1167508800</v>
      </c>
      <c r="O228">
        <v>3087602100</v>
      </c>
      <c r="P228">
        <v>66100</v>
      </c>
      <c r="Q228">
        <v>1166540000</v>
      </c>
      <c r="R228">
        <v>1166606100</v>
      </c>
      <c r="S228">
        <v>1425300</v>
      </c>
      <c r="T228">
        <v>34690200</v>
      </c>
      <c r="U228">
        <v>5558357900</v>
      </c>
      <c r="V228">
        <v>8962661500</v>
      </c>
      <c r="W228">
        <v>394000</v>
      </c>
      <c r="X228">
        <v>4883397000</v>
      </c>
    </row>
    <row r="229" spans="1:24" x14ac:dyDescent="0.3">
      <c r="A229">
        <v>53</v>
      </c>
      <c r="B229">
        <v>131072</v>
      </c>
      <c r="C229">
        <v>6</v>
      </c>
      <c r="D229">
        <v>343</v>
      </c>
      <c r="E229">
        <v>0.8</v>
      </c>
      <c r="F229">
        <v>9</v>
      </c>
      <c r="G229">
        <v>1023</v>
      </c>
      <c r="H229">
        <v>4528</v>
      </c>
      <c r="I229">
        <v>3871207300</v>
      </c>
      <c r="J229">
        <v>10649217900</v>
      </c>
      <c r="K229">
        <v>2.75087771714007</v>
      </c>
      <c r="L229">
        <v>906100</v>
      </c>
      <c r="M229">
        <v>1920431400</v>
      </c>
      <c r="N229">
        <v>709876500</v>
      </c>
      <c r="O229">
        <v>2630307900</v>
      </c>
      <c r="P229">
        <v>75000</v>
      </c>
      <c r="Q229">
        <v>613405500</v>
      </c>
      <c r="R229">
        <v>613480500</v>
      </c>
      <c r="S229">
        <v>1327900</v>
      </c>
      <c r="T229">
        <v>35129100</v>
      </c>
      <c r="U229">
        <v>3334183200</v>
      </c>
      <c r="V229">
        <v>4644742100</v>
      </c>
      <c r="W229">
        <v>422000</v>
      </c>
      <c r="X229">
        <v>3871207300</v>
      </c>
    </row>
    <row r="230" spans="1:24" x14ac:dyDescent="0.3">
      <c r="A230">
        <v>54</v>
      </c>
      <c r="B230">
        <v>131072</v>
      </c>
      <c r="C230">
        <v>6</v>
      </c>
      <c r="D230">
        <v>343</v>
      </c>
      <c r="E230">
        <v>0.95</v>
      </c>
      <c r="F230">
        <v>9</v>
      </c>
      <c r="G230">
        <v>1023</v>
      </c>
      <c r="H230">
        <v>3072</v>
      </c>
      <c r="I230">
        <v>3362178600</v>
      </c>
      <c r="J230">
        <v>7222858700</v>
      </c>
      <c r="K230">
        <v>2.1482674061395701</v>
      </c>
      <c r="L230">
        <v>537200</v>
      </c>
      <c r="M230">
        <v>1921603400</v>
      </c>
      <c r="N230">
        <v>236644300</v>
      </c>
      <c r="O230">
        <v>2158247700</v>
      </c>
      <c r="P230">
        <v>62200</v>
      </c>
      <c r="Q230">
        <v>420211200</v>
      </c>
      <c r="R230">
        <v>420273400</v>
      </c>
      <c r="S230">
        <v>1215400</v>
      </c>
      <c r="T230">
        <v>36345100</v>
      </c>
      <c r="U230">
        <v>1122655400</v>
      </c>
      <c r="V230">
        <v>3152944400</v>
      </c>
      <c r="W230">
        <v>371500</v>
      </c>
      <c r="X230">
        <v>3362178600</v>
      </c>
    </row>
    <row r="231" spans="1:24" x14ac:dyDescent="0.3">
      <c r="A231">
        <v>55</v>
      </c>
      <c r="B231">
        <v>131072</v>
      </c>
      <c r="C231">
        <v>7</v>
      </c>
      <c r="D231">
        <v>512</v>
      </c>
      <c r="E231">
        <v>0.2</v>
      </c>
      <c r="F231">
        <v>8</v>
      </c>
      <c r="G231">
        <v>511</v>
      </c>
      <c r="H231">
        <v>56364</v>
      </c>
      <c r="I231">
        <v>34709843500</v>
      </c>
      <c r="J231">
        <v>251009310300</v>
      </c>
      <c r="K231">
        <v>7.2316462706033198</v>
      </c>
      <c r="L231">
        <v>11061500</v>
      </c>
      <c r="M231">
        <v>2300865900</v>
      </c>
      <c r="N231">
        <v>1603466300</v>
      </c>
      <c r="O231">
        <v>3904332200</v>
      </c>
      <c r="P231">
        <v>143100</v>
      </c>
      <c r="Q231">
        <v>30600188400</v>
      </c>
      <c r="R231">
        <v>30600331500</v>
      </c>
      <c r="S231">
        <v>1441200</v>
      </c>
      <c r="T231">
        <v>38066500</v>
      </c>
      <c r="U231">
        <v>8456749800</v>
      </c>
      <c r="V231">
        <v>239455676600</v>
      </c>
      <c r="W231">
        <v>386700</v>
      </c>
      <c r="X231">
        <v>34709843500</v>
      </c>
    </row>
    <row r="232" spans="1:24" x14ac:dyDescent="0.3">
      <c r="A232">
        <v>56</v>
      </c>
      <c r="B232">
        <v>131072</v>
      </c>
      <c r="C232">
        <v>7</v>
      </c>
      <c r="D232">
        <v>512</v>
      </c>
      <c r="E232">
        <v>0.35</v>
      </c>
      <c r="F232">
        <v>8</v>
      </c>
      <c r="G232">
        <v>511</v>
      </c>
      <c r="H232">
        <v>19516</v>
      </c>
      <c r="I232">
        <v>17013198500</v>
      </c>
      <c r="J232">
        <v>105656872300</v>
      </c>
      <c r="K232">
        <v>6.2102885768363896</v>
      </c>
      <c r="L232">
        <v>2774500</v>
      </c>
      <c r="M232">
        <v>2286631900</v>
      </c>
      <c r="N232">
        <v>3605137500</v>
      </c>
      <c r="O232">
        <v>5891769400</v>
      </c>
      <c r="P232">
        <v>119400</v>
      </c>
      <c r="Q232">
        <v>10484972800</v>
      </c>
      <c r="R232">
        <v>10485092200</v>
      </c>
      <c r="S232">
        <v>1325600</v>
      </c>
      <c r="T232">
        <v>30485000</v>
      </c>
      <c r="U232">
        <v>19267025900</v>
      </c>
      <c r="V232">
        <v>82936256000</v>
      </c>
      <c r="W232">
        <v>410500</v>
      </c>
      <c r="X232">
        <v>17013198500</v>
      </c>
    </row>
    <row r="233" spans="1:24" x14ac:dyDescent="0.3">
      <c r="A233">
        <v>57</v>
      </c>
      <c r="B233">
        <v>131072</v>
      </c>
      <c r="C233">
        <v>7</v>
      </c>
      <c r="D233">
        <v>512</v>
      </c>
      <c r="E233">
        <v>0.5</v>
      </c>
      <c r="F233">
        <v>8</v>
      </c>
      <c r="G233">
        <v>511</v>
      </c>
      <c r="H233">
        <v>9084</v>
      </c>
      <c r="I233">
        <v>9765186000</v>
      </c>
      <c r="J233">
        <v>51952949800</v>
      </c>
      <c r="K233">
        <v>5.32022122261675</v>
      </c>
      <c r="L233">
        <v>1416500</v>
      </c>
      <c r="M233">
        <v>2295453200</v>
      </c>
      <c r="N233">
        <v>1920834600</v>
      </c>
      <c r="O233">
        <v>4216287800</v>
      </c>
      <c r="P233">
        <v>92600</v>
      </c>
      <c r="Q233">
        <v>4907752400</v>
      </c>
      <c r="R233">
        <v>4907845000</v>
      </c>
      <c r="S233">
        <v>1405400</v>
      </c>
      <c r="T233">
        <v>31487400</v>
      </c>
      <c r="U233">
        <v>10266862400</v>
      </c>
      <c r="V233">
        <v>38583221000</v>
      </c>
      <c r="W233">
        <v>386900</v>
      </c>
      <c r="X233">
        <v>9765186000</v>
      </c>
    </row>
    <row r="234" spans="1:24" x14ac:dyDescent="0.3">
      <c r="A234">
        <v>58</v>
      </c>
      <c r="B234">
        <v>131072</v>
      </c>
      <c r="C234">
        <v>7</v>
      </c>
      <c r="D234">
        <v>512</v>
      </c>
      <c r="E234">
        <v>0.65</v>
      </c>
      <c r="F234">
        <v>8</v>
      </c>
      <c r="G234">
        <v>511</v>
      </c>
      <c r="H234">
        <v>3580</v>
      </c>
      <c r="I234">
        <v>5897620300</v>
      </c>
      <c r="J234">
        <v>24224710900</v>
      </c>
      <c r="K234">
        <v>4.1075399343698002</v>
      </c>
      <c r="L234">
        <v>703300</v>
      </c>
      <c r="M234">
        <v>2304134100</v>
      </c>
      <c r="N234">
        <v>1025381900</v>
      </c>
      <c r="O234">
        <v>3329516000</v>
      </c>
      <c r="P234">
        <v>90400</v>
      </c>
      <c r="Q234">
        <v>1935272000</v>
      </c>
      <c r="R234">
        <v>1935362400</v>
      </c>
      <c r="S234">
        <v>1308200</v>
      </c>
      <c r="T234">
        <v>33490800</v>
      </c>
      <c r="U234">
        <v>5393653900</v>
      </c>
      <c r="V234">
        <v>15366033100</v>
      </c>
      <c r="W234">
        <v>716800</v>
      </c>
      <c r="X234">
        <v>5897620300</v>
      </c>
    </row>
    <row r="235" spans="1:24" x14ac:dyDescent="0.3">
      <c r="A235">
        <v>59</v>
      </c>
      <c r="B235">
        <v>131072</v>
      </c>
      <c r="C235">
        <v>7</v>
      </c>
      <c r="D235">
        <v>512</v>
      </c>
      <c r="E235">
        <v>0.8</v>
      </c>
      <c r="F235">
        <v>8</v>
      </c>
      <c r="G235">
        <v>511</v>
      </c>
      <c r="H235">
        <v>1956</v>
      </c>
      <c r="I235">
        <v>4806637900</v>
      </c>
      <c r="J235">
        <v>15649692300</v>
      </c>
      <c r="K235">
        <v>3.2558500610166599</v>
      </c>
      <c r="L235">
        <v>446900</v>
      </c>
      <c r="M235">
        <v>2301125300</v>
      </c>
      <c r="N235">
        <v>809258900</v>
      </c>
      <c r="O235">
        <v>3110384200</v>
      </c>
      <c r="P235">
        <v>98000</v>
      </c>
      <c r="Q235">
        <v>1062116000</v>
      </c>
      <c r="R235">
        <v>1062214000</v>
      </c>
      <c r="S235">
        <v>1210800</v>
      </c>
      <c r="T235">
        <v>26190400</v>
      </c>
      <c r="U235">
        <v>4286178200</v>
      </c>
      <c r="V235">
        <v>8299698900</v>
      </c>
      <c r="W235">
        <v>372700</v>
      </c>
      <c r="X235">
        <v>4806637900</v>
      </c>
    </row>
    <row r="236" spans="1:24" x14ac:dyDescent="0.3">
      <c r="A236">
        <v>60</v>
      </c>
      <c r="B236">
        <v>131072</v>
      </c>
      <c r="C236">
        <v>7</v>
      </c>
      <c r="D236">
        <v>512</v>
      </c>
      <c r="E236">
        <v>0.95</v>
      </c>
      <c r="F236">
        <v>8</v>
      </c>
      <c r="G236">
        <v>511</v>
      </c>
      <c r="H236">
        <v>1024</v>
      </c>
      <c r="I236">
        <v>3767286400</v>
      </c>
      <c r="J236">
        <v>9200007900</v>
      </c>
      <c r="K236">
        <v>2.44207817595179</v>
      </c>
      <c r="L236">
        <v>188600</v>
      </c>
      <c r="M236">
        <v>2297944400</v>
      </c>
      <c r="N236">
        <v>278699800</v>
      </c>
      <c r="O236">
        <v>2576644200</v>
      </c>
      <c r="P236">
        <v>64700</v>
      </c>
      <c r="Q236">
        <v>561491800</v>
      </c>
      <c r="R236">
        <v>561556500</v>
      </c>
      <c r="S236">
        <v>1304900</v>
      </c>
      <c r="T236">
        <v>30006800</v>
      </c>
      <c r="U236">
        <v>1468066100</v>
      </c>
      <c r="V236">
        <v>4351246700</v>
      </c>
      <c r="W236">
        <v>372200</v>
      </c>
      <c r="X236">
        <v>3767286400</v>
      </c>
    </row>
    <row r="237" spans="1:24" x14ac:dyDescent="0.3">
      <c r="A237">
        <v>61</v>
      </c>
      <c r="B237">
        <v>262144</v>
      </c>
      <c r="C237">
        <v>3</v>
      </c>
      <c r="D237">
        <v>64</v>
      </c>
      <c r="E237">
        <v>0.2</v>
      </c>
      <c r="F237">
        <v>12</v>
      </c>
      <c r="G237">
        <v>8191</v>
      </c>
      <c r="H237" s="1">
        <v>2186204</v>
      </c>
      <c r="I237">
        <v>27050199400</v>
      </c>
      <c r="J237">
        <v>173474614300</v>
      </c>
      <c r="K237">
        <v>6.4130623118437997</v>
      </c>
      <c r="L237">
        <v>362806900</v>
      </c>
      <c r="M237">
        <v>51537100</v>
      </c>
      <c r="N237">
        <v>8005513200</v>
      </c>
      <c r="O237">
        <v>8057050300</v>
      </c>
      <c r="P237">
        <v>9305300</v>
      </c>
      <c r="Q237">
        <v>18487109000</v>
      </c>
      <c r="R237">
        <v>18496414300</v>
      </c>
      <c r="S237">
        <v>2241900</v>
      </c>
      <c r="T237">
        <v>124976700</v>
      </c>
      <c r="U237">
        <v>40790080100</v>
      </c>
      <c r="V237">
        <v>130723807400</v>
      </c>
      <c r="W237">
        <v>847600</v>
      </c>
      <c r="X237">
        <v>27050199400</v>
      </c>
    </row>
    <row r="238" spans="1:24" x14ac:dyDescent="0.3">
      <c r="A238">
        <v>62</v>
      </c>
      <c r="B238">
        <v>262144</v>
      </c>
      <c r="C238">
        <v>3</v>
      </c>
      <c r="D238">
        <v>64</v>
      </c>
      <c r="E238">
        <v>0.35</v>
      </c>
      <c r="F238">
        <v>12</v>
      </c>
      <c r="G238">
        <v>8191</v>
      </c>
      <c r="H238">
        <v>489424</v>
      </c>
      <c r="I238">
        <v>7393155700</v>
      </c>
      <c r="J238">
        <v>42844322500</v>
      </c>
      <c r="K238">
        <v>5.7951332608888499</v>
      </c>
      <c r="L238">
        <v>149728700</v>
      </c>
      <c r="M238">
        <v>164830500</v>
      </c>
      <c r="N238">
        <v>2350496800</v>
      </c>
      <c r="O238">
        <v>2515327300</v>
      </c>
      <c r="P238">
        <v>1305000</v>
      </c>
      <c r="Q238">
        <v>4138729500</v>
      </c>
      <c r="R238">
        <v>4140034500</v>
      </c>
      <c r="S238">
        <v>2171800</v>
      </c>
      <c r="T238">
        <v>75717700</v>
      </c>
      <c r="U238">
        <v>12161267600</v>
      </c>
      <c r="V238">
        <v>29241686200</v>
      </c>
      <c r="W238">
        <v>863100</v>
      </c>
      <c r="X238">
        <v>7393155700</v>
      </c>
    </row>
    <row r="239" spans="1:24" x14ac:dyDescent="0.3">
      <c r="A239">
        <v>63</v>
      </c>
      <c r="B239">
        <v>262144</v>
      </c>
      <c r="C239">
        <v>3</v>
      </c>
      <c r="D239">
        <v>64</v>
      </c>
      <c r="E239">
        <v>0.5</v>
      </c>
      <c r="F239">
        <v>12</v>
      </c>
      <c r="G239">
        <v>8191</v>
      </c>
      <c r="H239">
        <v>172600</v>
      </c>
      <c r="I239">
        <v>3429426100</v>
      </c>
      <c r="J239">
        <v>17289683400</v>
      </c>
      <c r="K239">
        <v>5.0415675672381397</v>
      </c>
      <c r="L239">
        <v>38249400</v>
      </c>
      <c r="M239">
        <v>278926400</v>
      </c>
      <c r="N239">
        <v>1062364400</v>
      </c>
      <c r="O239">
        <v>1341290800</v>
      </c>
      <c r="P239">
        <v>551500</v>
      </c>
      <c r="Q239">
        <v>1465037800</v>
      </c>
      <c r="R239">
        <v>1465589300</v>
      </c>
      <c r="S239">
        <v>2233800</v>
      </c>
      <c r="T239">
        <v>77968900</v>
      </c>
      <c r="U239">
        <v>5294382800</v>
      </c>
      <c r="V239">
        <v>10277881900</v>
      </c>
      <c r="W239">
        <v>841800</v>
      </c>
      <c r="X239">
        <v>3429426100</v>
      </c>
    </row>
    <row r="240" spans="1:24" x14ac:dyDescent="0.3">
      <c r="A240">
        <v>64</v>
      </c>
      <c r="B240">
        <v>262144</v>
      </c>
      <c r="C240">
        <v>3</v>
      </c>
      <c r="D240">
        <v>64</v>
      </c>
      <c r="E240">
        <v>0.65</v>
      </c>
      <c r="F240">
        <v>12</v>
      </c>
      <c r="G240">
        <v>8191</v>
      </c>
      <c r="H240">
        <v>68468</v>
      </c>
      <c r="I240">
        <v>1884563400</v>
      </c>
      <c r="J240">
        <v>7777317000</v>
      </c>
      <c r="K240">
        <v>4.1268534664315304</v>
      </c>
      <c r="L240">
        <v>11708200</v>
      </c>
      <c r="M240">
        <v>302040600</v>
      </c>
      <c r="N240">
        <v>399922500</v>
      </c>
      <c r="O240">
        <v>701963100</v>
      </c>
      <c r="P240">
        <v>204100</v>
      </c>
      <c r="Q240">
        <v>584553500</v>
      </c>
      <c r="R240">
        <v>584757600</v>
      </c>
      <c r="S240">
        <v>2054100</v>
      </c>
      <c r="T240">
        <v>89269800</v>
      </c>
      <c r="U240">
        <v>1948511100</v>
      </c>
      <c r="V240">
        <v>4112442000</v>
      </c>
      <c r="W240">
        <v>856800</v>
      </c>
      <c r="X240">
        <v>1884563400</v>
      </c>
    </row>
    <row r="241" spans="1:24" x14ac:dyDescent="0.3">
      <c r="A241">
        <v>65</v>
      </c>
      <c r="B241">
        <v>262144</v>
      </c>
      <c r="C241">
        <v>3</v>
      </c>
      <c r="D241">
        <v>64</v>
      </c>
      <c r="E241">
        <v>0.8</v>
      </c>
      <c r="F241">
        <v>12</v>
      </c>
      <c r="G241">
        <v>8191</v>
      </c>
      <c r="H241">
        <v>31876</v>
      </c>
      <c r="I241">
        <v>1027081200</v>
      </c>
      <c r="J241">
        <v>4691995400</v>
      </c>
      <c r="K241">
        <v>4.5682808720478896</v>
      </c>
      <c r="L241">
        <v>6270800</v>
      </c>
      <c r="M241">
        <v>372961700</v>
      </c>
      <c r="N241">
        <v>236321800</v>
      </c>
      <c r="O241">
        <v>609283500</v>
      </c>
      <c r="P241">
        <v>155800</v>
      </c>
      <c r="Q241">
        <v>277144400</v>
      </c>
      <c r="R241">
        <v>277300200</v>
      </c>
      <c r="S241">
        <v>2149100</v>
      </c>
      <c r="T241">
        <v>81185700</v>
      </c>
      <c r="U241">
        <v>1086226400</v>
      </c>
      <c r="V241">
        <v>1909262000</v>
      </c>
      <c r="W241">
        <v>859800</v>
      </c>
      <c r="X241">
        <v>1027081200</v>
      </c>
    </row>
    <row r="242" spans="1:24" x14ac:dyDescent="0.3">
      <c r="A242">
        <v>66</v>
      </c>
      <c r="B242">
        <v>262144</v>
      </c>
      <c r="C242">
        <v>3</v>
      </c>
      <c r="D242">
        <v>64</v>
      </c>
      <c r="E242">
        <v>0.95</v>
      </c>
      <c r="F242">
        <v>12</v>
      </c>
      <c r="G242">
        <v>8191</v>
      </c>
      <c r="H242">
        <v>24488</v>
      </c>
      <c r="I242">
        <v>877539700</v>
      </c>
      <c r="J242">
        <v>3598857900</v>
      </c>
      <c r="K242">
        <v>4.1010770224982398</v>
      </c>
      <c r="L242">
        <v>3154900</v>
      </c>
      <c r="M242">
        <v>430987300</v>
      </c>
      <c r="N242">
        <v>78156300</v>
      </c>
      <c r="O242">
        <v>509143600</v>
      </c>
      <c r="P242">
        <v>123800</v>
      </c>
      <c r="Q242">
        <v>230104000</v>
      </c>
      <c r="R242">
        <v>230227800</v>
      </c>
      <c r="S242">
        <v>2081100</v>
      </c>
      <c r="T242">
        <v>84019000</v>
      </c>
      <c r="U242">
        <v>345523500</v>
      </c>
      <c r="V242">
        <v>1463939600</v>
      </c>
      <c r="W242">
        <v>816400</v>
      </c>
      <c r="X242">
        <v>877539700</v>
      </c>
    </row>
    <row r="243" spans="1:24" x14ac:dyDescent="0.3">
      <c r="A243">
        <v>67</v>
      </c>
      <c r="B243">
        <v>262144</v>
      </c>
      <c r="C243">
        <v>4</v>
      </c>
      <c r="D243">
        <v>125</v>
      </c>
      <c r="E243">
        <v>0.2</v>
      </c>
      <c r="F243">
        <v>12</v>
      </c>
      <c r="G243">
        <v>8191</v>
      </c>
      <c r="H243" s="1">
        <v>2184384</v>
      </c>
      <c r="I243">
        <v>46717566000</v>
      </c>
      <c r="J243">
        <v>285383248600</v>
      </c>
      <c r="K243">
        <v>6.1086925761500499</v>
      </c>
      <c r="L243">
        <v>366388800</v>
      </c>
      <c r="M243">
        <v>559967100</v>
      </c>
      <c r="N243">
        <v>26361556700</v>
      </c>
      <c r="O243">
        <v>26921523800</v>
      </c>
      <c r="P243">
        <v>8280900</v>
      </c>
      <c r="Q243">
        <v>19193256100</v>
      </c>
      <c r="R243">
        <v>19201537000</v>
      </c>
      <c r="S243">
        <v>2433400</v>
      </c>
      <c r="T243">
        <v>423154300</v>
      </c>
      <c r="U243">
        <v>151724757800</v>
      </c>
      <c r="V243">
        <v>129972664300</v>
      </c>
      <c r="W243">
        <v>918700</v>
      </c>
      <c r="X243">
        <v>46717566000</v>
      </c>
    </row>
    <row r="244" spans="1:24" x14ac:dyDescent="0.3">
      <c r="A244">
        <v>68</v>
      </c>
      <c r="B244">
        <v>262144</v>
      </c>
      <c r="C244">
        <v>4</v>
      </c>
      <c r="D244">
        <v>125</v>
      </c>
      <c r="E244">
        <v>0.35</v>
      </c>
      <c r="F244">
        <v>12</v>
      </c>
      <c r="G244">
        <v>8191</v>
      </c>
      <c r="H244">
        <v>489204</v>
      </c>
      <c r="I244">
        <v>13345192000</v>
      </c>
      <c r="J244">
        <v>76759098300</v>
      </c>
      <c r="K244">
        <v>5.7518167067210397</v>
      </c>
      <c r="L244">
        <v>84717400</v>
      </c>
      <c r="M244">
        <v>722686800</v>
      </c>
      <c r="N244">
        <v>7581527900</v>
      </c>
      <c r="O244">
        <v>8304214700</v>
      </c>
      <c r="P244">
        <v>1241400</v>
      </c>
      <c r="Q244">
        <v>4265882700</v>
      </c>
      <c r="R244">
        <v>4267124100</v>
      </c>
      <c r="S244">
        <v>2102100</v>
      </c>
      <c r="T244">
        <v>87932600</v>
      </c>
      <c r="U244">
        <v>43884434700</v>
      </c>
      <c r="V244">
        <v>29275653600</v>
      </c>
      <c r="W244">
        <v>875900</v>
      </c>
      <c r="X244">
        <v>13345192000</v>
      </c>
    </row>
    <row r="245" spans="1:24" x14ac:dyDescent="0.3">
      <c r="A245">
        <v>69</v>
      </c>
      <c r="B245">
        <v>262144</v>
      </c>
      <c r="C245">
        <v>4</v>
      </c>
      <c r="D245">
        <v>125</v>
      </c>
      <c r="E245">
        <v>0.5</v>
      </c>
      <c r="F245">
        <v>12</v>
      </c>
      <c r="G245">
        <v>8191</v>
      </c>
      <c r="H245">
        <v>172964</v>
      </c>
      <c r="I245">
        <v>6414230300</v>
      </c>
      <c r="J245">
        <v>33362223000</v>
      </c>
      <c r="K245">
        <v>5.20128237366219</v>
      </c>
      <c r="L245">
        <v>38412000</v>
      </c>
      <c r="M245">
        <v>768200300</v>
      </c>
      <c r="N245">
        <v>3409706200</v>
      </c>
      <c r="O245">
        <v>4177906500</v>
      </c>
      <c r="P245">
        <v>554300</v>
      </c>
      <c r="Q245">
        <v>1509171200</v>
      </c>
      <c r="R245">
        <v>1509725500</v>
      </c>
      <c r="S245">
        <v>2311700</v>
      </c>
      <c r="T245">
        <v>85683600</v>
      </c>
      <c r="U245">
        <v>19524238900</v>
      </c>
      <c r="V245">
        <v>10290019000</v>
      </c>
      <c r="W245">
        <v>849400</v>
      </c>
      <c r="X245">
        <v>6414230300</v>
      </c>
    </row>
    <row r="246" spans="1:24" x14ac:dyDescent="0.3">
      <c r="A246">
        <v>70</v>
      </c>
      <c r="B246">
        <v>262144</v>
      </c>
      <c r="C246">
        <v>4</v>
      </c>
      <c r="D246">
        <v>125</v>
      </c>
      <c r="E246">
        <v>0.65</v>
      </c>
      <c r="F246">
        <v>12</v>
      </c>
      <c r="G246">
        <v>8191</v>
      </c>
      <c r="H246">
        <v>69068</v>
      </c>
      <c r="I246">
        <v>3356827200</v>
      </c>
      <c r="J246">
        <v>14986907700</v>
      </c>
      <c r="K246">
        <v>4.4646050592059003</v>
      </c>
      <c r="L246">
        <v>11995900</v>
      </c>
      <c r="M246">
        <v>796324500</v>
      </c>
      <c r="N246">
        <v>1259399600</v>
      </c>
      <c r="O246">
        <v>2055724100</v>
      </c>
      <c r="P246">
        <v>231100</v>
      </c>
      <c r="Q246">
        <v>604254500</v>
      </c>
      <c r="R246">
        <v>604485600</v>
      </c>
      <c r="S246">
        <v>2110800</v>
      </c>
      <c r="T246">
        <v>84370600</v>
      </c>
      <c r="U246">
        <v>7348565300</v>
      </c>
      <c r="V246">
        <v>4125731900</v>
      </c>
      <c r="W246">
        <v>882400</v>
      </c>
      <c r="X246">
        <v>3356827200</v>
      </c>
    </row>
    <row r="247" spans="1:24" x14ac:dyDescent="0.3">
      <c r="A247">
        <v>71</v>
      </c>
      <c r="B247">
        <v>262144</v>
      </c>
      <c r="C247">
        <v>4</v>
      </c>
      <c r="D247">
        <v>125</v>
      </c>
      <c r="E247">
        <v>0.8</v>
      </c>
      <c r="F247">
        <v>12</v>
      </c>
      <c r="G247">
        <v>8191</v>
      </c>
      <c r="H247">
        <v>32464</v>
      </c>
      <c r="I247">
        <v>2679301600</v>
      </c>
      <c r="J247">
        <v>9691604600</v>
      </c>
      <c r="K247">
        <v>3.6172130080465701</v>
      </c>
      <c r="L247">
        <v>5897000</v>
      </c>
      <c r="M247">
        <v>806573000</v>
      </c>
      <c r="N247">
        <v>731186800</v>
      </c>
      <c r="O247">
        <v>1537759800</v>
      </c>
      <c r="P247">
        <v>183100</v>
      </c>
      <c r="Q247">
        <v>290709100</v>
      </c>
      <c r="R247">
        <v>290892200</v>
      </c>
      <c r="S247">
        <v>2141900</v>
      </c>
      <c r="T247">
        <v>92253500</v>
      </c>
      <c r="U247">
        <v>4188698600</v>
      </c>
      <c r="V247">
        <v>1942059600</v>
      </c>
      <c r="W247">
        <v>863700</v>
      </c>
      <c r="X247">
        <v>2679301600</v>
      </c>
    </row>
    <row r="248" spans="1:24" x14ac:dyDescent="0.3">
      <c r="A248">
        <v>72</v>
      </c>
      <c r="B248">
        <v>262144</v>
      </c>
      <c r="C248">
        <v>4</v>
      </c>
      <c r="D248">
        <v>125</v>
      </c>
      <c r="E248">
        <v>0.95</v>
      </c>
      <c r="F248">
        <v>12</v>
      </c>
      <c r="G248">
        <v>8191</v>
      </c>
      <c r="H248">
        <v>24504</v>
      </c>
      <c r="I248">
        <v>1523097600</v>
      </c>
      <c r="J248">
        <v>6185312700</v>
      </c>
      <c r="K248">
        <v>4.0610087626689104</v>
      </c>
      <c r="L248">
        <v>3470100</v>
      </c>
      <c r="M248">
        <v>854894500</v>
      </c>
      <c r="N248">
        <v>218472700</v>
      </c>
      <c r="O248">
        <v>1073367200</v>
      </c>
      <c r="P248">
        <v>147700</v>
      </c>
      <c r="Q248">
        <v>217309200</v>
      </c>
      <c r="R248">
        <v>217456900</v>
      </c>
      <c r="S248">
        <v>2303900</v>
      </c>
      <c r="T248">
        <v>89929700</v>
      </c>
      <c r="U248">
        <v>1249996400</v>
      </c>
      <c r="V248">
        <v>1465470900</v>
      </c>
      <c r="W248">
        <v>866200</v>
      </c>
      <c r="X248">
        <v>1523097600</v>
      </c>
    </row>
    <row r="249" spans="1:24" x14ac:dyDescent="0.3">
      <c r="A249">
        <v>73</v>
      </c>
      <c r="B249">
        <v>262144</v>
      </c>
      <c r="C249">
        <v>5</v>
      </c>
      <c r="D249">
        <v>216</v>
      </c>
      <c r="E249">
        <v>0.2</v>
      </c>
      <c r="F249">
        <v>11</v>
      </c>
      <c r="G249">
        <v>4095</v>
      </c>
      <c r="H249">
        <v>941196</v>
      </c>
      <c r="I249">
        <v>65253475400</v>
      </c>
      <c r="J249">
        <v>384024593000</v>
      </c>
      <c r="K249">
        <v>5.8851209172530901</v>
      </c>
      <c r="L249">
        <v>141765500</v>
      </c>
      <c r="M249">
        <v>1681394400</v>
      </c>
      <c r="N249">
        <v>31300588800</v>
      </c>
      <c r="O249">
        <v>32981983200</v>
      </c>
      <c r="P249">
        <v>2636100</v>
      </c>
      <c r="Q249">
        <v>31823951300</v>
      </c>
      <c r="R249">
        <v>31826587400</v>
      </c>
      <c r="S249">
        <v>2718000</v>
      </c>
      <c r="T249">
        <v>76919100</v>
      </c>
      <c r="U249">
        <v>148204462500</v>
      </c>
      <c r="V249">
        <v>231157636300</v>
      </c>
      <c r="W249">
        <v>892400</v>
      </c>
      <c r="X249">
        <v>65253475400</v>
      </c>
    </row>
    <row r="250" spans="1:24" x14ac:dyDescent="0.3">
      <c r="A250">
        <v>74</v>
      </c>
      <c r="B250">
        <v>262144</v>
      </c>
      <c r="C250">
        <v>5</v>
      </c>
      <c r="D250">
        <v>216</v>
      </c>
      <c r="E250">
        <v>0.35</v>
      </c>
      <c r="F250">
        <v>11</v>
      </c>
      <c r="G250">
        <v>4095</v>
      </c>
      <c r="H250">
        <v>213308</v>
      </c>
      <c r="I250">
        <v>22163129500</v>
      </c>
      <c r="J250">
        <v>116662811000</v>
      </c>
      <c r="K250">
        <v>5.2638239107884104</v>
      </c>
      <c r="L250">
        <v>42547600</v>
      </c>
      <c r="M250">
        <v>1617108400</v>
      </c>
      <c r="N250">
        <v>12572669300</v>
      </c>
      <c r="O250">
        <v>14189777700</v>
      </c>
      <c r="P250">
        <v>671100</v>
      </c>
      <c r="Q250">
        <v>7165855400</v>
      </c>
      <c r="R250">
        <v>7166526500</v>
      </c>
      <c r="S250">
        <v>2100100</v>
      </c>
      <c r="T250">
        <v>81849400</v>
      </c>
      <c r="U250">
        <v>59634459600</v>
      </c>
      <c r="V250">
        <v>52426872100</v>
      </c>
      <c r="W250">
        <v>899300</v>
      </c>
      <c r="X250">
        <v>22163129500</v>
      </c>
    </row>
    <row r="251" spans="1:24" x14ac:dyDescent="0.3">
      <c r="A251">
        <v>75</v>
      </c>
      <c r="B251">
        <v>262144</v>
      </c>
      <c r="C251">
        <v>5</v>
      </c>
      <c r="D251">
        <v>216</v>
      </c>
      <c r="E251">
        <v>0.5</v>
      </c>
      <c r="F251">
        <v>11</v>
      </c>
      <c r="G251">
        <v>4095</v>
      </c>
      <c r="H251">
        <v>85116</v>
      </c>
      <c r="I251">
        <v>10358889400</v>
      </c>
      <c r="J251">
        <v>50488276600</v>
      </c>
      <c r="K251">
        <v>4.8739082589297604</v>
      </c>
      <c r="L251">
        <v>14664700</v>
      </c>
      <c r="M251">
        <v>1534126500</v>
      </c>
      <c r="N251">
        <v>5194120600</v>
      </c>
      <c r="O251">
        <v>6728247100</v>
      </c>
      <c r="P251">
        <v>281600</v>
      </c>
      <c r="Q251">
        <v>2853409300</v>
      </c>
      <c r="R251">
        <v>2853690900</v>
      </c>
      <c r="S251">
        <v>2252400</v>
      </c>
      <c r="T251">
        <v>89590200</v>
      </c>
      <c r="U251">
        <v>24877763900</v>
      </c>
      <c r="V251">
        <v>21023001000</v>
      </c>
      <c r="W251">
        <v>860400</v>
      </c>
      <c r="X251">
        <v>10358889400</v>
      </c>
    </row>
    <row r="252" spans="1:24" x14ac:dyDescent="0.3">
      <c r="A252">
        <v>76</v>
      </c>
      <c r="B252">
        <v>262144</v>
      </c>
      <c r="C252">
        <v>5</v>
      </c>
      <c r="D252">
        <v>216</v>
      </c>
      <c r="E252">
        <v>0.65</v>
      </c>
      <c r="F252">
        <v>11</v>
      </c>
      <c r="G252">
        <v>4095</v>
      </c>
      <c r="H252">
        <v>30816</v>
      </c>
      <c r="I252">
        <v>5509780600</v>
      </c>
      <c r="J252">
        <v>22502529800</v>
      </c>
      <c r="K252">
        <v>4.0841063253952399</v>
      </c>
      <c r="L252">
        <v>6693400</v>
      </c>
      <c r="M252">
        <v>1531693700</v>
      </c>
      <c r="N252">
        <v>2166468300</v>
      </c>
      <c r="O252">
        <v>3698162000</v>
      </c>
      <c r="P252">
        <v>165300</v>
      </c>
      <c r="Q252">
        <v>1042889000</v>
      </c>
      <c r="R252">
        <v>1043054300</v>
      </c>
      <c r="S252">
        <v>2147100</v>
      </c>
      <c r="T252">
        <v>90020700</v>
      </c>
      <c r="U252">
        <v>10275008200</v>
      </c>
      <c r="V252">
        <v>7574137300</v>
      </c>
      <c r="W252">
        <v>858800</v>
      </c>
      <c r="X252">
        <v>5509780600</v>
      </c>
    </row>
    <row r="253" spans="1:24" x14ac:dyDescent="0.3">
      <c r="A253">
        <v>77</v>
      </c>
      <c r="B253">
        <v>262144</v>
      </c>
      <c r="C253">
        <v>5</v>
      </c>
      <c r="D253">
        <v>216</v>
      </c>
      <c r="E253">
        <v>0.8</v>
      </c>
      <c r="F253">
        <v>11</v>
      </c>
      <c r="G253">
        <v>4095</v>
      </c>
      <c r="H253">
        <v>15232</v>
      </c>
      <c r="I253">
        <v>4124199200</v>
      </c>
      <c r="J253">
        <v>14685762300</v>
      </c>
      <c r="K253">
        <v>3.56087608474391</v>
      </c>
      <c r="L253">
        <v>2969400</v>
      </c>
      <c r="M253">
        <v>1539958700</v>
      </c>
      <c r="N253">
        <v>1299469800</v>
      </c>
      <c r="O253">
        <v>2839428500</v>
      </c>
      <c r="P253">
        <v>155000</v>
      </c>
      <c r="Q253">
        <v>519836200</v>
      </c>
      <c r="R253">
        <v>519991200</v>
      </c>
      <c r="S253">
        <v>2248600</v>
      </c>
      <c r="T253">
        <v>84468600</v>
      </c>
      <c r="U253">
        <v>6222623600</v>
      </c>
      <c r="V253">
        <v>3764569200</v>
      </c>
      <c r="W253">
        <v>899800</v>
      </c>
      <c r="X253">
        <v>4124199200</v>
      </c>
    </row>
    <row r="254" spans="1:24" x14ac:dyDescent="0.3">
      <c r="A254">
        <v>78</v>
      </c>
      <c r="B254">
        <v>262144</v>
      </c>
      <c r="C254">
        <v>5</v>
      </c>
      <c r="D254">
        <v>216</v>
      </c>
      <c r="E254">
        <v>0.95</v>
      </c>
      <c r="F254">
        <v>11</v>
      </c>
      <c r="G254">
        <v>4095</v>
      </c>
      <c r="H254">
        <v>8192</v>
      </c>
      <c r="I254">
        <v>3191611800</v>
      </c>
      <c r="J254">
        <v>8728155300</v>
      </c>
      <c r="K254">
        <v>2.7347170793139601</v>
      </c>
      <c r="L254">
        <v>1408000</v>
      </c>
      <c r="M254">
        <v>1520850700</v>
      </c>
      <c r="N254">
        <v>451172800</v>
      </c>
      <c r="O254">
        <v>1972023500</v>
      </c>
      <c r="P254">
        <v>135900</v>
      </c>
      <c r="Q254">
        <v>283822600</v>
      </c>
      <c r="R254">
        <v>283958500</v>
      </c>
      <c r="S254">
        <v>2085900</v>
      </c>
      <c r="T254">
        <v>84318700</v>
      </c>
      <c r="U254">
        <v>2145124200</v>
      </c>
      <c r="V254">
        <v>2014885700</v>
      </c>
      <c r="W254">
        <v>867200</v>
      </c>
      <c r="X254">
        <v>3191611800</v>
      </c>
    </row>
    <row r="255" spans="1:24" x14ac:dyDescent="0.3">
      <c r="A255">
        <v>79</v>
      </c>
      <c r="B255">
        <v>262144</v>
      </c>
      <c r="C255">
        <v>6</v>
      </c>
      <c r="D255">
        <v>343</v>
      </c>
      <c r="E255">
        <v>0.2</v>
      </c>
      <c r="F255">
        <v>10</v>
      </c>
      <c r="G255">
        <v>2047</v>
      </c>
      <c r="H255">
        <v>335160</v>
      </c>
      <c r="I255">
        <v>87340900800</v>
      </c>
      <c r="J255">
        <v>529825357900</v>
      </c>
      <c r="K255">
        <v>6.0661769348272996</v>
      </c>
      <c r="L255">
        <v>56777800</v>
      </c>
      <c r="M255">
        <v>3681392600</v>
      </c>
      <c r="N255">
        <v>37941274700</v>
      </c>
      <c r="O255">
        <v>41622667300</v>
      </c>
      <c r="P255">
        <v>954700</v>
      </c>
      <c r="Q255">
        <v>45265250900</v>
      </c>
      <c r="R255">
        <v>45266205600</v>
      </c>
      <c r="S255">
        <v>2172700</v>
      </c>
      <c r="T255">
        <v>70612400</v>
      </c>
      <c r="U255">
        <v>178159320300</v>
      </c>
      <c r="V255">
        <v>346010346600</v>
      </c>
      <c r="W255">
        <v>866700</v>
      </c>
      <c r="X255">
        <v>87340900800</v>
      </c>
    </row>
    <row r="256" spans="1:24" x14ac:dyDescent="0.3">
      <c r="A256">
        <v>80</v>
      </c>
      <c r="B256">
        <v>262144</v>
      </c>
      <c r="C256">
        <v>6</v>
      </c>
      <c r="D256">
        <v>343</v>
      </c>
      <c r="E256">
        <v>0.35</v>
      </c>
      <c r="F256">
        <v>10</v>
      </c>
      <c r="G256">
        <v>2047</v>
      </c>
      <c r="H256">
        <v>92208</v>
      </c>
      <c r="I256">
        <v>32217878100</v>
      </c>
      <c r="J256">
        <v>173754287900</v>
      </c>
      <c r="K256">
        <v>5.3931015370003497</v>
      </c>
      <c r="L256">
        <v>16248700</v>
      </c>
      <c r="M256">
        <v>3568083000</v>
      </c>
      <c r="N256">
        <v>15398133100</v>
      </c>
      <c r="O256">
        <v>18966216100</v>
      </c>
      <c r="P256">
        <v>204200</v>
      </c>
      <c r="Q256">
        <v>12387335200</v>
      </c>
      <c r="R256">
        <v>12387539400</v>
      </c>
      <c r="S256">
        <v>2496300</v>
      </c>
      <c r="T256">
        <v>77105100</v>
      </c>
      <c r="U256">
        <v>72825636900</v>
      </c>
      <c r="V256">
        <v>95344423000</v>
      </c>
      <c r="W256">
        <v>926900</v>
      </c>
      <c r="X256">
        <v>32217878100</v>
      </c>
    </row>
    <row r="257" spans="1:24" x14ac:dyDescent="0.3">
      <c r="A257">
        <v>81</v>
      </c>
      <c r="B257">
        <v>262144</v>
      </c>
      <c r="C257">
        <v>6</v>
      </c>
      <c r="D257">
        <v>343</v>
      </c>
      <c r="E257">
        <v>0.5</v>
      </c>
      <c r="F257">
        <v>10</v>
      </c>
      <c r="G257">
        <v>2047</v>
      </c>
      <c r="H257">
        <v>34764</v>
      </c>
      <c r="I257">
        <v>15802812500</v>
      </c>
      <c r="J257">
        <v>73499760400</v>
      </c>
      <c r="K257">
        <v>4.6510556522770798</v>
      </c>
      <c r="L257">
        <v>6810700</v>
      </c>
      <c r="M257">
        <v>3573679900</v>
      </c>
      <c r="N257">
        <v>6715821300</v>
      </c>
      <c r="O257">
        <v>10289501200</v>
      </c>
      <c r="P257">
        <v>156000</v>
      </c>
      <c r="Q257">
        <v>4659272300</v>
      </c>
      <c r="R257">
        <v>4659428300</v>
      </c>
      <c r="S257">
        <v>2711300</v>
      </c>
      <c r="T257">
        <v>77656700</v>
      </c>
      <c r="U257">
        <v>31983762200</v>
      </c>
      <c r="V257">
        <v>35810473900</v>
      </c>
      <c r="W257">
        <v>842100</v>
      </c>
      <c r="X257">
        <v>15802812500</v>
      </c>
    </row>
    <row r="258" spans="1:24" x14ac:dyDescent="0.3">
      <c r="A258">
        <v>82</v>
      </c>
      <c r="B258">
        <v>262144</v>
      </c>
      <c r="C258">
        <v>6</v>
      </c>
      <c r="D258">
        <v>343</v>
      </c>
      <c r="E258">
        <v>0.65</v>
      </c>
      <c r="F258">
        <v>10</v>
      </c>
      <c r="G258">
        <v>2047</v>
      </c>
      <c r="H258">
        <v>12300</v>
      </c>
      <c r="I258">
        <v>9213484200</v>
      </c>
      <c r="J258">
        <v>33087045600</v>
      </c>
      <c r="K258">
        <v>3.5911545384752399</v>
      </c>
      <c r="L258">
        <v>2627000</v>
      </c>
      <c r="M258">
        <v>3602975100</v>
      </c>
      <c r="N258">
        <v>3095169500</v>
      </c>
      <c r="O258">
        <v>6698144600</v>
      </c>
      <c r="P258">
        <v>101900</v>
      </c>
      <c r="Q258">
        <v>1665594000</v>
      </c>
      <c r="R258">
        <v>1665695900</v>
      </c>
      <c r="S258">
        <v>2044400</v>
      </c>
      <c r="T258">
        <v>73235700</v>
      </c>
      <c r="U258">
        <v>14509779400</v>
      </c>
      <c r="V258">
        <v>12838328000</v>
      </c>
      <c r="W258">
        <v>919600</v>
      </c>
      <c r="X258">
        <v>9213484200</v>
      </c>
    </row>
    <row r="259" spans="1:24" x14ac:dyDescent="0.3">
      <c r="A259">
        <v>83</v>
      </c>
      <c r="B259">
        <v>262144</v>
      </c>
      <c r="C259">
        <v>6</v>
      </c>
      <c r="D259">
        <v>343</v>
      </c>
      <c r="E259">
        <v>0.8</v>
      </c>
      <c r="F259">
        <v>10</v>
      </c>
      <c r="G259">
        <v>2047</v>
      </c>
      <c r="H259">
        <v>7692</v>
      </c>
      <c r="I259">
        <v>7369009000</v>
      </c>
      <c r="J259">
        <v>22391529900</v>
      </c>
      <c r="K259">
        <v>3.0386080272123399</v>
      </c>
      <c r="L259">
        <v>1912400</v>
      </c>
      <c r="M259">
        <v>3600992700</v>
      </c>
      <c r="N259">
        <v>1873865900</v>
      </c>
      <c r="O259">
        <v>5474858600</v>
      </c>
      <c r="P259">
        <v>81500</v>
      </c>
      <c r="Q259">
        <v>1043094700</v>
      </c>
      <c r="R259">
        <v>1043176200</v>
      </c>
      <c r="S259">
        <v>2108200</v>
      </c>
      <c r="T259">
        <v>86571200</v>
      </c>
      <c r="U259">
        <v>8808121300</v>
      </c>
      <c r="V259">
        <v>7943106000</v>
      </c>
      <c r="W259">
        <v>937500</v>
      </c>
      <c r="X259">
        <v>7369009000</v>
      </c>
    </row>
    <row r="260" spans="1:24" x14ac:dyDescent="0.3">
      <c r="A260">
        <v>84</v>
      </c>
      <c r="B260">
        <v>262144</v>
      </c>
      <c r="C260">
        <v>6</v>
      </c>
      <c r="D260">
        <v>343</v>
      </c>
      <c r="E260">
        <v>0.95</v>
      </c>
      <c r="F260">
        <v>10</v>
      </c>
      <c r="G260">
        <v>2047</v>
      </c>
      <c r="H260">
        <v>2048</v>
      </c>
      <c r="I260">
        <v>5879786900</v>
      </c>
      <c r="J260">
        <v>13204822100</v>
      </c>
      <c r="K260">
        <v>2.2457994353502801</v>
      </c>
      <c r="L260">
        <v>778900</v>
      </c>
      <c r="M260">
        <v>3607237000</v>
      </c>
      <c r="N260">
        <v>1146264300</v>
      </c>
      <c r="O260">
        <v>4753501300</v>
      </c>
      <c r="P260">
        <v>88000</v>
      </c>
      <c r="Q260">
        <v>284942300</v>
      </c>
      <c r="R260">
        <v>285030300</v>
      </c>
      <c r="S260">
        <v>2113900</v>
      </c>
      <c r="T260">
        <v>72569200</v>
      </c>
      <c r="U260">
        <v>5353163400</v>
      </c>
      <c r="V260">
        <v>2139667100</v>
      </c>
      <c r="W260">
        <v>872600</v>
      </c>
      <c r="X260">
        <v>5879786900</v>
      </c>
    </row>
    <row r="261" spans="1:24" x14ac:dyDescent="0.3">
      <c r="A261">
        <v>85</v>
      </c>
      <c r="B261">
        <v>262144</v>
      </c>
      <c r="C261">
        <v>7</v>
      </c>
      <c r="D261">
        <v>512</v>
      </c>
      <c r="E261">
        <v>0.2</v>
      </c>
      <c r="F261">
        <v>9</v>
      </c>
      <c r="G261">
        <v>1023</v>
      </c>
      <c r="H261">
        <v>164568</v>
      </c>
      <c r="I261">
        <v>108191897500</v>
      </c>
      <c r="J261">
        <v>793620440600</v>
      </c>
      <c r="K261">
        <v>7.3353038345593298</v>
      </c>
      <c r="L261">
        <v>22840200</v>
      </c>
      <c r="M261">
        <v>4304292900</v>
      </c>
      <c r="N261">
        <v>13621011200</v>
      </c>
      <c r="O261">
        <v>17925304100</v>
      </c>
      <c r="P261">
        <v>586500</v>
      </c>
      <c r="Q261">
        <v>89233799900</v>
      </c>
      <c r="R261">
        <v>89234386400</v>
      </c>
      <c r="S261">
        <v>2727500</v>
      </c>
      <c r="T261">
        <v>72420400</v>
      </c>
      <c r="U261">
        <v>72393824700</v>
      </c>
      <c r="V261">
        <v>714700981900</v>
      </c>
      <c r="W261">
        <v>863800</v>
      </c>
      <c r="X261">
        <v>108191897500</v>
      </c>
    </row>
    <row r="262" spans="1:24" x14ac:dyDescent="0.3">
      <c r="A262">
        <v>86</v>
      </c>
      <c r="B262">
        <v>262144</v>
      </c>
      <c r="C262">
        <v>7</v>
      </c>
      <c r="D262">
        <v>512</v>
      </c>
      <c r="E262">
        <v>0.35</v>
      </c>
      <c r="F262">
        <v>9</v>
      </c>
      <c r="G262">
        <v>1023</v>
      </c>
      <c r="H262">
        <v>49516</v>
      </c>
      <c r="I262">
        <v>40949939000</v>
      </c>
      <c r="J262">
        <v>267105502600</v>
      </c>
      <c r="K262">
        <v>6.5227326126175598</v>
      </c>
      <c r="L262">
        <v>6913100</v>
      </c>
      <c r="M262">
        <v>4291160300</v>
      </c>
      <c r="N262">
        <v>9137678900</v>
      </c>
      <c r="O262">
        <v>13428839200</v>
      </c>
      <c r="P262">
        <v>189200</v>
      </c>
      <c r="Q262">
        <v>26670121100</v>
      </c>
      <c r="R262">
        <v>26670310300</v>
      </c>
      <c r="S262">
        <v>2155100</v>
      </c>
      <c r="T262">
        <v>64155200</v>
      </c>
      <c r="U262">
        <v>48629466000</v>
      </c>
      <c r="V262">
        <v>211904819200</v>
      </c>
      <c r="W262">
        <v>886900</v>
      </c>
      <c r="X262">
        <v>40949939000</v>
      </c>
    </row>
    <row r="263" spans="1:24" x14ac:dyDescent="0.3">
      <c r="A263">
        <v>87</v>
      </c>
      <c r="B263">
        <v>262144</v>
      </c>
      <c r="C263">
        <v>7</v>
      </c>
      <c r="D263">
        <v>512</v>
      </c>
      <c r="E263">
        <v>0.5</v>
      </c>
      <c r="F263">
        <v>9</v>
      </c>
      <c r="G263">
        <v>1023</v>
      </c>
      <c r="H263">
        <v>19556</v>
      </c>
      <c r="I263">
        <v>20944203000</v>
      </c>
      <c r="J263">
        <v>118529282800</v>
      </c>
      <c r="K263">
        <v>5.6592882908936604</v>
      </c>
      <c r="L263">
        <v>3140400</v>
      </c>
      <c r="M263">
        <v>4288699200</v>
      </c>
      <c r="N263">
        <v>5294006500</v>
      </c>
      <c r="O263">
        <v>9582705700</v>
      </c>
      <c r="P263">
        <v>137800</v>
      </c>
      <c r="Q263">
        <v>10508918500</v>
      </c>
      <c r="R263">
        <v>10509056300</v>
      </c>
      <c r="S263">
        <v>2390800</v>
      </c>
      <c r="T263">
        <v>63545400</v>
      </c>
      <c r="U263">
        <v>28384388300</v>
      </c>
      <c r="V263">
        <v>83618203600</v>
      </c>
      <c r="W263">
        <v>891100</v>
      </c>
      <c r="X263">
        <v>20944203000</v>
      </c>
    </row>
    <row r="264" spans="1:24" x14ac:dyDescent="0.3">
      <c r="A264">
        <v>88</v>
      </c>
      <c r="B264">
        <v>262144</v>
      </c>
      <c r="C264">
        <v>7</v>
      </c>
      <c r="D264">
        <v>512</v>
      </c>
      <c r="E264">
        <v>0.65</v>
      </c>
      <c r="F264">
        <v>9</v>
      </c>
      <c r="G264">
        <v>1023</v>
      </c>
      <c r="H264">
        <v>8788</v>
      </c>
      <c r="I264">
        <v>12150371000</v>
      </c>
      <c r="J264">
        <v>56565772300</v>
      </c>
      <c r="K264">
        <v>4.6554769644482397</v>
      </c>
      <c r="L264">
        <v>1525000</v>
      </c>
      <c r="M264">
        <v>4293691100</v>
      </c>
      <c r="N264">
        <v>2307379000</v>
      </c>
      <c r="O264">
        <v>6601070100</v>
      </c>
      <c r="P264">
        <v>81300</v>
      </c>
      <c r="Q264">
        <v>4706216800</v>
      </c>
      <c r="R264">
        <v>4706298100</v>
      </c>
      <c r="S264">
        <v>2192400</v>
      </c>
      <c r="T264">
        <v>70303200</v>
      </c>
      <c r="U264">
        <v>12333096000</v>
      </c>
      <c r="V264">
        <v>37657042400</v>
      </c>
      <c r="W264">
        <v>883900</v>
      </c>
      <c r="X264">
        <v>12150371000</v>
      </c>
    </row>
    <row r="265" spans="1:24" x14ac:dyDescent="0.3">
      <c r="A265">
        <v>89</v>
      </c>
      <c r="B265">
        <v>262144</v>
      </c>
      <c r="C265">
        <v>7</v>
      </c>
      <c r="D265">
        <v>512</v>
      </c>
      <c r="E265">
        <v>0.8</v>
      </c>
      <c r="F265">
        <v>9</v>
      </c>
      <c r="G265">
        <v>1023</v>
      </c>
      <c r="H265">
        <v>4732</v>
      </c>
      <c r="I265">
        <v>9032240600</v>
      </c>
      <c r="J265">
        <v>34004310400</v>
      </c>
      <c r="K265">
        <v>3.7647702165949801</v>
      </c>
      <c r="L265">
        <v>965200</v>
      </c>
      <c r="M265">
        <v>4326471600</v>
      </c>
      <c r="N265">
        <v>1296021200</v>
      </c>
      <c r="O265">
        <v>5622492800</v>
      </c>
      <c r="P265">
        <v>76300</v>
      </c>
      <c r="Q265">
        <v>2562169500</v>
      </c>
      <c r="R265">
        <v>2562245800</v>
      </c>
      <c r="S265">
        <v>2367100</v>
      </c>
      <c r="T265">
        <v>72534300</v>
      </c>
      <c r="U265">
        <v>6833376200</v>
      </c>
      <c r="V265">
        <v>20512798400</v>
      </c>
      <c r="W265">
        <v>960200</v>
      </c>
      <c r="X265">
        <v>9032240600</v>
      </c>
    </row>
    <row r="266" spans="1:24" x14ac:dyDescent="0.3">
      <c r="A266">
        <v>90</v>
      </c>
      <c r="B266">
        <v>262144</v>
      </c>
      <c r="C266">
        <v>7</v>
      </c>
      <c r="D266">
        <v>512</v>
      </c>
      <c r="E266">
        <v>0.95</v>
      </c>
      <c r="F266">
        <v>9</v>
      </c>
      <c r="G266">
        <v>1023</v>
      </c>
      <c r="H266">
        <v>3072</v>
      </c>
      <c r="I266">
        <v>7307622000</v>
      </c>
      <c r="J266">
        <v>22057325300</v>
      </c>
      <c r="K266">
        <v>3.0183998707103301</v>
      </c>
      <c r="L266">
        <v>435000</v>
      </c>
      <c r="M266">
        <v>4326482600</v>
      </c>
      <c r="N266">
        <v>467728100</v>
      </c>
      <c r="O266">
        <v>4794210700</v>
      </c>
      <c r="P266">
        <v>94000</v>
      </c>
      <c r="Q266">
        <v>1665494300</v>
      </c>
      <c r="R266">
        <v>1665588300</v>
      </c>
      <c r="S266">
        <v>2201000</v>
      </c>
      <c r="T266">
        <v>69343600</v>
      </c>
      <c r="U266">
        <v>2464105700</v>
      </c>
      <c r="V266">
        <v>13093158800</v>
      </c>
      <c r="W266">
        <v>873300</v>
      </c>
      <c r="X266">
        <v>7307622000</v>
      </c>
    </row>
    <row r="267" spans="1:24" x14ac:dyDescent="0.3">
      <c r="A267">
        <v>91</v>
      </c>
      <c r="B267">
        <v>524288</v>
      </c>
      <c r="C267">
        <v>3</v>
      </c>
      <c r="D267">
        <v>64</v>
      </c>
      <c r="E267">
        <v>0.2</v>
      </c>
      <c r="F267">
        <v>13</v>
      </c>
      <c r="G267">
        <v>16383</v>
      </c>
      <c r="H267" s="1">
        <v>3665924</v>
      </c>
      <c r="I267">
        <v>57903077400</v>
      </c>
      <c r="J267">
        <v>351349778500</v>
      </c>
      <c r="K267">
        <v>6.0678947350732599</v>
      </c>
      <c r="L267">
        <v>793407300</v>
      </c>
      <c r="M267">
        <v>20624500</v>
      </c>
      <c r="N267">
        <v>25253935500</v>
      </c>
      <c r="O267">
        <v>25274560000</v>
      </c>
      <c r="P267">
        <v>10059900</v>
      </c>
      <c r="Q267">
        <v>31044368900</v>
      </c>
      <c r="R267">
        <v>31054428800</v>
      </c>
      <c r="S267">
        <v>11193000</v>
      </c>
      <c r="T267">
        <v>193016000</v>
      </c>
      <c r="U267">
        <v>128974150900</v>
      </c>
      <c r="V267">
        <v>218788016400</v>
      </c>
      <c r="W267">
        <v>1815500</v>
      </c>
      <c r="X267">
        <v>57903077400</v>
      </c>
    </row>
    <row r="268" spans="1:24" x14ac:dyDescent="0.3">
      <c r="A268">
        <v>92</v>
      </c>
      <c r="B268">
        <v>524288</v>
      </c>
      <c r="C268">
        <v>3</v>
      </c>
      <c r="D268">
        <v>64</v>
      </c>
      <c r="E268">
        <v>0.35</v>
      </c>
      <c r="F268">
        <v>13</v>
      </c>
      <c r="G268">
        <v>16383</v>
      </c>
      <c r="H268">
        <v>828588</v>
      </c>
      <c r="I268">
        <v>14617888600</v>
      </c>
      <c r="J268">
        <v>85178675300</v>
      </c>
      <c r="K268">
        <v>5.82701631068662</v>
      </c>
      <c r="L268">
        <v>181923000</v>
      </c>
      <c r="M268">
        <v>397266000</v>
      </c>
      <c r="N268">
        <v>6283561100</v>
      </c>
      <c r="O268">
        <v>6680827100</v>
      </c>
      <c r="P268">
        <v>2066900</v>
      </c>
      <c r="Q268">
        <v>6967365400</v>
      </c>
      <c r="R268">
        <v>6969432300</v>
      </c>
      <c r="S268">
        <v>4666800</v>
      </c>
      <c r="T268">
        <v>193250100</v>
      </c>
      <c r="U268">
        <v>32369366800</v>
      </c>
      <c r="V268">
        <v>49608350900</v>
      </c>
      <c r="W268">
        <v>1784000</v>
      </c>
      <c r="X268">
        <v>14617888600</v>
      </c>
    </row>
    <row r="269" spans="1:24" x14ac:dyDescent="0.3">
      <c r="A269">
        <v>93</v>
      </c>
      <c r="B269">
        <v>524288</v>
      </c>
      <c r="C269">
        <v>3</v>
      </c>
      <c r="D269">
        <v>64</v>
      </c>
      <c r="E269">
        <v>0.5</v>
      </c>
      <c r="F269">
        <v>13</v>
      </c>
      <c r="G269">
        <v>16383</v>
      </c>
      <c r="H269">
        <v>301856</v>
      </c>
      <c r="I269">
        <v>6300328400</v>
      </c>
      <c r="J269">
        <v>33420434400</v>
      </c>
      <c r="K269">
        <v>5.3045543467226199</v>
      </c>
      <c r="L269">
        <v>71168400</v>
      </c>
      <c r="M269">
        <v>512983100</v>
      </c>
      <c r="N269">
        <v>2382186100</v>
      </c>
      <c r="O269">
        <v>2895169200</v>
      </c>
      <c r="P269">
        <v>824800</v>
      </c>
      <c r="Q269">
        <v>2556893500</v>
      </c>
      <c r="R269">
        <v>2557718300</v>
      </c>
      <c r="S269">
        <v>4408600</v>
      </c>
      <c r="T269">
        <v>242262800</v>
      </c>
      <c r="U269">
        <v>12126816700</v>
      </c>
      <c r="V269">
        <v>18052516200</v>
      </c>
      <c r="W269">
        <v>1784500</v>
      </c>
      <c r="X269">
        <v>6300328400</v>
      </c>
    </row>
    <row r="270" spans="1:24" x14ac:dyDescent="0.3">
      <c r="A270">
        <v>94</v>
      </c>
      <c r="B270">
        <v>524288</v>
      </c>
      <c r="C270">
        <v>3</v>
      </c>
      <c r="D270">
        <v>64</v>
      </c>
      <c r="E270">
        <v>0.65</v>
      </c>
      <c r="F270">
        <v>13</v>
      </c>
      <c r="G270">
        <v>16383</v>
      </c>
      <c r="H270">
        <v>101908</v>
      </c>
      <c r="I270">
        <v>3202112500</v>
      </c>
      <c r="J270">
        <v>14743173800</v>
      </c>
      <c r="K270">
        <v>4.6042023195624697</v>
      </c>
      <c r="L270">
        <v>27901100</v>
      </c>
      <c r="M270">
        <v>548697800</v>
      </c>
      <c r="N270">
        <v>963685100</v>
      </c>
      <c r="O270">
        <v>1512382900</v>
      </c>
      <c r="P270">
        <v>381400</v>
      </c>
      <c r="Q270">
        <v>874089500</v>
      </c>
      <c r="R270">
        <v>874470900</v>
      </c>
      <c r="S270">
        <v>4002400</v>
      </c>
      <c r="T270">
        <v>500374700</v>
      </c>
      <c r="U270">
        <v>4969582400</v>
      </c>
      <c r="V270">
        <v>6157956900</v>
      </c>
      <c r="W270">
        <v>1792300</v>
      </c>
      <c r="X270">
        <v>3202112500</v>
      </c>
    </row>
    <row r="271" spans="1:24" x14ac:dyDescent="0.3">
      <c r="A271">
        <v>95</v>
      </c>
      <c r="B271">
        <v>524288</v>
      </c>
      <c r="C271">
        <v>3</v>
      </c>
      <c r="D271">
        <v>64</v>
      </c>
      <c r="E271">
        <v>0.8</v>
      </c>
      <c r="F271">
        <v>13</v>
      </c>
      <c r="G271">
        <v>16383</v>
      </c>
      <c r="H271">
        <v>55008</v>
      </c>
      <c r="I271">
        <v>2548461500</v>
      </c>
      <c r="J271">
        <v>9093425800</v>
      </c>
      <c r="K271">
        <v>3.5682021486296698</v>
      </c>
      <c r="L271">
        <v>11965200</v>
      </c>
      <c r="M271">
        <v>564648600</v>
      </c>
      <c r="N271">
        <v>519376600</v>
      </c>
      <c r="O271">
        <v>1084025200</v>
      </c>
      <c r="P271">
        <v>142000</v>
      </c>
      <c r="Q271">
        <v>479672000</v>
      </c>
      <c r="R271">
        <v>479814000</v>
      </c>
      <c r="S271">
        <v>4434700</v>
      </c>
      <c r="T271">
        <v>192434900</v>
      </c>
      <c r="U271">
        <v>2658261500</v>
      </c>
      <c r="V271">
        <v>3317381200</v>
      </c>
      <c r="W271">
        <v>1803000</v>
      </c>
      <c r="X271">
        <v>2548461500</v>
      </c>
    </row>
    <row r="272" spans="1:24" x14ac:dyDescent="0.3">
      <c r="A272">
        <v>96</v>
      </c>
      <c r="B272">
        <v>524288</v>
      </c>
      <c r="C272">
        <v>3</v>
      </c>
      <c r="D272">
        <v>64</v>
      </c>
      <c r="E272">
        <v>0.95</v>
      </c>
      <c r="F272">
        <v>13</v>
      </c>
      <c r="G272">
        <v>16383</v>
      </c>
      <c r="H272">
        <v>16400</v>
      </c>
      <c r="I272">
        <v>1428737800</v>
      </c>
      <c r="J272">
        <v>5906614100</v>
      </c>
      <c r="K272">
        <v>4.13414840707651</v>
      </c>
      <c r="L272">
        <v>11970200</v>
      </c>
      <c r="M272">
        <v>665562300</v>
      </c>
      <c r="N272">
        <v>309907600</v>
      </c>
      <c r="O272">
        <v>975469900</v>
      </c>
      <c r="P272">
        <v>75500</v>
      </c>
      <c r="Q272">
        <v>154654800</v>
      </c>
      <c r="R272">
        <v>154730300</v>
      </c>
      <c r="S272">
        <v>3946700</v>
      </c>
      <c r="T272">
        <v>203226900</v>
      </c>
      <c r="U272">
        <v>1597250700</v>
      </c>
      <c r="V272">
        <v>1020158100</v>
      </c>
      <c r="W272">
        <v>1866300</v>
      </c>
      <c r="X272">
        <v>1428737800</v>
      </c>
    </row>
    <row r="273" spans="1:24" x14ac:dyDescent="0.3">
      <c r="A273">
        <v>97</v>
      </c>
      <c r="B273">
        <v>524288</v>
      </c>
      <c r="C273">
        <v>4</v>
      </c>
      <c r="D273">
        <v>125</v>
      </c>
      <c r="E273">
        <v>0.2</v>
      </c>
      <c r="F273">
        <v>13</v>
      </c>
      <c r="G273">
        <v>16383</v>
      </c>
      <c r="H273" s="1">
        <v>3671112</v>
      </c>
      <c r="I273">
        <v>117801477500</v>
      </c>
      <c r="J273">
        <v>704619644400</v>
      </c>
      <c r="K273">
        <v>5.98141601746888</v>
      </c>
      <c r="L273">
        <v>789563300</v>
      </c>
      <c r="M273">
        <v>785918700</v>
      </c>
      <c r="N273">
        <v>83580980400</v>
      </c>
      <c r="O273">
        <v>84366899100</v>
      </c>
      <c r="P273">
        <v>11417300</v>
      </c>
      <c r="Q273">
        <v>32138864400</v>
      </c>
      <c r="R273">
        <v>32150281700</v>
      </c>
      <c r="S273">
        <v>5114600</v>
      </c>
      <c r="T273">
        <v>511629900</v>
      </c>
      <c r="U273">
        <v>477686576400</v>
      </c>
      <c r="V273">
        <v>219696902000</v>
      </c>
      <c r="W273">
        <v>2084500</v>
      </c>
      <c r="X273">
        <v>117801477500</v>
      </c>
    </row>
    <row r="274" spans="1:24" x14ac:dyDescent="0.3">
      <c r="A274">
        <v>98</v>
      </c>
      <c r="B274">
        <v>524288</v>
      </c>
      <c r="C274">
        <v>4</v>
      </c>
      <c r="D274">
        <v>125</v>
      </c>
      <c r="E274">
        <v>0.35</v>
      </c>
      <c r="F274">
        <v>13</v>
      </c>
      <c r="G274">
        <v>16383</v>
      </c>
      <c r="H274">
        <v>829920</v>
      </c>
      <c r="I274">
        <v>30459863400</v>
      </c>
      <c r="J274">
        <v>176530779700</v>
      </c>
      <c r="K274">
        <v>5.7955210560793198</v>
      </c>
      <c r="L274">
        <v>227467300</v>
      </c>
      <c r="M274">
        <v>1315138900</v>
      </c>
      <c r="N274">
        <v>20911365100</v>
      </c>
      <c r="O274">
        <v>22226504000</v>
      </c>
      <c r="P274">
        <v>2207100</v>
      </c>
      <c r="Q274">
        <v>7222864200</v>
      </c>
      <c r="R274">
        <v>7225071300</v>
      </c>
      <c r="S274">
        <v>4245000</v>
      </c>
      <c r="T274">
        <v>214734500</v>
      </c>
      <c r="U274">
        <v>120331477800</v>
      </c>
      <c r="V274">
        <v>49415836300</v>
      </c>
      <c r="W274">
        <v>1791500</v>
      </c>
      <c r="X274">
        <v>30459863400</v>
      </c>
    </row>
    <row r="275" spans="1:24" x14ac:dyDescent="0.3">
      <c r="A275">
        <v>99</v>
      </c>
      <c r="B275">
        <v>524288</v>
      </c>
      <c r="C275">
        <v>4</v>
      </c>
      <c r="D275">
        <v>125</v>
      </c>
      <c r="E275">
        <v>0.5</v>
      </c>
      <c r="F275">
        <v>13</v>
      </c>
      <c r="G275">
        <v>16383</v>
      </c>
      <c r="H275">
        <v>301884</v>
      </c>
      <c r="I275">
        <v>12751933300</v>
      </c>
      <c r="J275">
        <v>70327555700</v>
      </c>
      <c r="K275">
        <v>5.5150504668966498</v>
      </c>
      <c r="L275">
        <v>66927500</v>
      </c>
      <c r="M275">
        <v>1472894100</v>
      </c>
      <c r="N275">
        <v>7799761400</v>
      </c>
      <c r="O275">
        <v>9272655500</v>
      </c>
      <c r="P275">
        <v>831900</v>
      </c>
      <c r="Q275">
        <v>2622975700</v>
      </c>
      <c r="R275">
        <v>2623807600</v>
      </c>
      <c r="S275">
        <v>4314800</v>
      </c>
      <c r="T275">
        <v>261094300</v>
      </c>
      <c r="U275">
        <v>45324860400</v>
      </c>
      <c r="V275">
        <v>18236653900</v>
      </c>
      <c r="W275">
        <v>1873600</v>
      </c>
      <c r="X275">
        <v>12751933300</v>
      </c>
    </row>
    <row r="276" spans="1:24" x14ac:dyDescent="0.3">
      <c r="A276">
        <v>100</v>
      </c>
      <c r="B276">
        <v>524288</v>
      </c>
      <c r="C276">
        <v>4</v>
      </c>
      <c r="D276">
        <v>125</v>
      </c>
      <c r="E276">
        <v>0.65</v>
      </c>
      <c r="F276">
        <v>13</v>
      </c>
      <c r="G276">
        <v>16383</v>
      </c>
      <c r="H276">
        <v>101392</v>
      </c>
      <c r="I276">
        <v>6390095600</v>
      </c>
      <c r="J276">
        <v>30964295000</v>
      </c>
      <c r="K276">
        <v>4.8456700710393097</v>
      </c>
      <c r="L276">
        <v>28914100</v>
      </c>
      <c r="M276">
        <v>1521631600</v>
      </c>
      <c r="N276">
        <v>3171414800</v>
      </c>
      <c r="O276">
        <v>4693046400</v>
      </c>
      <c r="P276">
        <v>386100</v>
      </c>
      <c r="Q276">
        <v>889764600</v>
      </c>
      <c r="R276">
        <v>890150700</v>
      </c>
      <c r="S276">
        <v>4027300</v>
      </c>
      <c r="T276">
        <v>263095900</v>
      </c>
      <c r="U276">
        <v>18156169700</v>
      </c>
      <c r="V276">
        <v>6105541700</v>
      </c>
      <c r="W276">
        <v>1852200</v>
      </c>
      <c r="X276">
        <v>6390095600</v>
      </c>
    </row>
    <row r="277" spans="1:24" x14ac:dyDescent="0.3">
      <c r="A277">
        <v>101</v>
      </c>
      <c r="B277">
        <v>524288</v>
      </c>
      <c r="C277">
        <v>4</v>
      </c>
      <c r="D277">
        <v>125</v>
      </c>
      <c r="E277">
        <v>0.8</v>
      </c>
      <c r="F277">
        <v>13</v>
      </c>
      <c r="G277">
        <v>16383</v>
      </c>
      <c r="H277">
        <v>54772</v>
      </c>
      <c r="I277">
        <v>4525685900</v>
      </c>
      <c r="J277">
        <v>20248990000</v>
      </c>
      <c r="K277">
        <v>4.4742367118319004</v>
      </c>
      <c r="L277">
        <v>11963000</v>
      </c>
      <c r="M277">
        <v>1536732400</v>
      </c>
      <c r="N277">
        <v>1704463400</v>
      </c>
      <c r="O277">
        <v>3241195800</v>
      </c>
      <c r="P277">
        <v>147700</v>
      </c>
      <c r="Q277">
        <v>491881500</v>
      </c>
      <c r="R277">
        <v>492029200</v>
      </c>
      <c r="S277">
        <v>4356200</v>
      </c>
      <c r="T277">
        <v>534840900</v>
      </c>
      <c r="U277">
        <v>9964121000</v>
      </c>
      <c r="V277">
        <v>3307595600</v>
      </c>
      <c r="W277">
        <v>1946300</v>
      </c>
      <c r="X277">
        <v>4525685900</v>
      </c>
    </row>
    <row r="278" spans="1:24" x14ac:dyDescent="0.3">
      <c r="A278">
        <v>102</v>
      </c>
      <c r="B278">
        <v>524288</v>
      </c>
      <c r="C278">
        <v>4</v>
      </c>
      <c r="D278">
        <v>125</v>
      </c>
      <c r="E278">
        <v>0.95</v>
      </c>
      <c r="F278">
        <v>13</v>
      </c>
      <c r="G278">
        <v>16383</v>
      </c>
      <c r="H278">
        <v>16396</v>
      </c>
      <c r="I278">
        <v>3510116600</v>
      </c>
      <c r="J278">
        <v>13605448800</v>
      </c>
      <c r="K278">
        <v>3.8760674787840301</v>
      </c>
      <c r="L278">
        <v>5558000</v>
      </c>
      <c r="M278">
        <v>1545499400</v>
      </c>
      <c r="N278">
        <v>1026303700</v>
      </c>
      <c r="O278">
        <v>2571803100</v>
      </c>
      <c r="P278">
        <v>95200</v>
      </c>
      <c r="Q278">
        <v>154900600</v>
      </c>
      <c r="R278">
        <v>154995800</v>
      </c>
      <c r="S278">
        <v>4257900</v>
      </c>
      <c r="T278">
        <v>244794100</v>
      </c>
      <c r="U278">
        <v>5868078700</v>
      </c>
      <c r="V278">
        <v>1013848800</v>
      </c>
      <c r="W278">
        <v>1869300</v>
      </c>
      <c r="X278">
        <v>3510116600</v>
      </c>
    </row>
    <row r="279" spans="1:24" x14ac:dyDescent="0.3">
      <c r="A279">
        <v>103</v>
      </c>
      <c r="B279">
        <v>524288</v>
      </c>
      <c r="C279">
        <v>5</v>
      </c>
      <c r="D279">
        <v>216</v>
      </c>
      <c r="E279">
        <v>0.2</v>
      </c>
      <c r="F279">
        <v>12</v>
      </c>
      <c r="G279">
        <v>8191</v>
      </c>
      <c r="H279" s="1">
        <v>2245568</v>
      </c>
      <c r="I279">
        <v>173416211600</v>
      </c>
      <c r="J279">
        <v>1001885948400</v>
      </c>
      <c r="K279">
        <v>5.7773488369757402</v>
      </c>
      <c r="L279">
        <v>703919600</v>
      </c>
      <c r="M279">
        <v>2357997300</v>
      </c>
      <c r="N279">
        <v>93347876000</v>
      </c>
      <c r="O279">
        <v>95705873300</v>
      </c>
      <c r="P279">
        <v>5576400</v>
      </c>
      <c r="Q279">
        <v>75897955300</v>
      </c>
      <c r="R279">
        <v>75903531700</v>
      </c>
      <c r="S279">
        <v>11312800</v>
      </c>
      <c r="T279">
        <v>245916700</v>
      </c>
      <c r="U279">
        <v>439694534400</v>
      </c>
      <c r="V279">
        <v>553036350200</v>
      </c>
      <c r="W279">
        <v>1925900</v>
      </c>
      <c r="X279">
        <v>173416211600</v>
      </c>
    </row>
    <row r="280" spans="1:24" x14ac:dyDescent="0.3">
      <c r="A280">
        <v>104</v>
      </c>
      <c r="B280">
        <v>524288</v>
      </c>
      <c r="C280">
        <v>5</v>
      </c>
      <c r="D280">
        <v>216</v>
      </c>
      <c r="E280">
        <v>0.35</v>
      </c>
      <c r="F280">
        <v>12</v>
      </c>
      <c r="G280">
        <v>8191</v>
      </c>
      <c r="H280">
        <v>504600</v>
      </c>
      <c r="I280">
        <v>47624682600</v>
      </c>
      <c r="J280">
        <v>259918517800</v>
      </c>
      <c r="K280">
        <v>5.4576430457932297</v>
      </c>
      <c r="L280">
        <v>87527500</v>
      </c>
      <c r="M280">
        <v>2908845000</v>
      </c>
      <c r="N280">
        <v>26813231700</v>
      </c>
      <c r="O280">
        <v>29722076700</v>
      </c>
      <c r="P280">
        <v>1350300</v>
      </c>
      <c r="Q280">
        <v>16894717100</v>
      </c>
      <c r="R280">
        <v>16896067400</v>
      </c>
      <c r="S280">
        <v>3975100</v>
      </c>
      <c r="T280">
        <v>193597100</v>
      </c>
      <c r="U280">
        <v>126817962800</v>
      </c>
      <c r="V280">
        <v>124270630900</v>
      </c>
      <c r="W280">
        <v>1899200</v>
      </c>
      <c r="X280">
        <v>47624682600</v>
      </c>
    </row>
    <row r="281" spans="1:24" x14ac:dyDescent="0.3">
      <c r="A281">
        <v>105</v>
      </c>
      <c r="B281">
        <v>524288</v>
      </c>
      <c r="C281">
        <v>5</v>
      </c>
      <c r="D281">
        <v>216</v>
      </c>
      <c r="E281">
        <v>0.5</v>
      </c>
      <c r="F281">
        <v>12</v>
      </c>
      <c r="G281">
        <v>8191</v>
      </c>
      <c r="H281">
        <v>178624</v>
      </c>
      <c r="I281">
        <v>22006903800</v>
      </c>
      <c r="J281">
        <v>110635608200</v>
      </c>
      <c r="K281">
        <v>5.0273136650872203</v>
      </c>
      <c r="L281">
        <v>31999800</v>
      </c>
      <c r="M281">
        <v>2983371200</v>
      </c>
      <c r="N281">
        <v>12059840900</v>
      </c>
      <c r="O281">
        <v>15043212100</v>
      </c>
      <c r="P281">
        <v>571900</v>
      </c>
      <c r="Q281">
        <v>6008167400</v>
      </c>
      <c r="R281">
        <v>6008739300</v>
      </c>
      <c r="S281">
        <v>4394600</v>
      </c>
      <c r="T281">
        <v>246033800</v>
      </c>
      <c r="U281">
        <v>57310907500</v>
      </c>
      <c r="V281">
        <v>44491871600</v>
      </c>
      <c r="W281">
        <v>1809400</v>
      </c>
      <c r="X281">
        <v>22006903800</v>
      </c>
    </row>
    <row r="282" spans="1:24" x14ac:dyDescent="0.3">
      <c r="A282">
        <v>106</v>
      </c>
      <c r="B282">
        <v>524288</v>
      </c>
      <c r="C282">
        <v>5</v>
      </c>
      <c r="D282">
        <v>216</v>
      </c>
      <c r="E282">
        <v>0.65</v>
      </c>
      <c r="F282">
        <v>12</v>
      </c>
      <c r="G282">
        <v>8191</v>
      </c>
      <c r="H282">
        <v>71236</v>
      </c>
      <c r="I282">
        <v>10630357400</v>
      </c>
      <c r="J282">
        <v>47697302000</v>
      </c>
      <c r="K282">
        <v>4.4868954264886698</v>
      </c>
      <c r="L282">
        <v>18915800</v>
      </c>
      <c r="M282">
        <v>2969546400</v>
      </c>
      <c r="N282">
        <v>4319838600</v>
      </c>
      <c r="O282">
        <v>7289385000</v>
      </c>
      <c r="P282">
        <v>236000</v>
      </c>
      <c r="Q282">
        <v>2394171900</v>
      </c>
      <c r="R282">
        <v>2394407900</v>
      </c>
      <c r="S282">
        <v>4063200</v>
      </c>
      <c r="T282">
        <v>529132800</v>
      </c>
      <c r="U282">
        <v>20943735900</v>
      </c>
      <c r="V282">
        <v>17504449500</v>
      </c>
      <c r="W282">
        <v>1836500</v>
      </c>
      <c r="X282">
        <v>10630357400</v>
      </c>
    </row>
    <row r="283" spans="1:24" x14ac:dyDescent="0.3">
      <c r="A283">
        <v>107</v>
      </c>
      <c r="B283">
        <v>524288</v>
      </c>
      <c r="C283">
        <v>5</v>
      </c>
      <c r="D283">
        <v>216</v>
      </c>
      <c r="E283">
        <v>0.8</v>
      </c>
      <c r="F283">
        <v>12</v>
      </c>
      <c r="G283">
        <v>8191</v>
      </c>
      <c r="H283">
        <v>34372</v>
      </c>
      <c r="I283">
        <v>7693017600</v>
      </c>
      <c r="J283">
        <v>29638346100</v>
      </c>
      <c r="K283">
        <v>3.8526294415340998</v>
      </c>
      <c r="L283">
        <v>6198200</v>
      </c>
      <c r="M283">
        <v>3059819700</v>
      </c>
      <c r="N283">
        <v>2528569700</v>
      </c>
      <c r="O283">
        <v>5588389400</v>
      </c>
      <c r="P283">
        <v>192300</v>
      </c>
      <c r="Q283">
        <v>1170001600</v>
      </c>
      <c r="R283">
        <v>1170193900</v>
      </c>
      <c r="S283">
        <v>4448600</v>
      </c>
      <c r="T283">
        <v>191138800</v>
      </c>
      <c r="U283">
        <v>12228191000</v>
      </c>
      <c r="V283">
        <v>8556437600</v>
      </c>
      <c r="W283">
        <v>1819200</v>
      </c>
      <c r="X283">
        <v>7693017600</v>
      </c>
    </row>
    <row r="284" spans="1:24" x14ac:dyDescent="0.3">
      <c r="A284">
        <v>108</v>
      </c>
      <c r="B284">
        <v>524288</v>
      </c>
      <c r="C284">
        <v>5</v>
      </c>
      <c r="D284">
        <v>216</v>
      </c>
      <c r="E284">
        <v>0.95</v>
      </c>
      <c r="F284">
        <v>12</v>
      </c>
      <c r="G284">
        <v>8191</v>
      </c>
      <c r="H284">
        <v>24568</v>
      </c>
      <c r="I284">
        <v>5554327100</v>
      </c>
      <c r="J284">
        <v>18739441200</v>
      </c>
      <c r="K284">
        <v>3.3738454474530299</v>
      </c>
      <c r="L284">
        <v>3132900</v>
      </c>
      <c r="M284">
        <v>3034175400</v>
      </c>
      <c r="N284">
        <v>761986600</v>
      </c>
      <c r="O284">
        <v>3796162000</v>
      </c>
      <c r="P284">
        <v>157800</v>
      </c>
      <c r="Q284">
        <v>841342600</v>
      </c>
      <c r="R284">
        <v>841500400</v>
      </c>
      <c r="S284">
        <v>3992400</v>
      </c>
      <c r="T284">
        <v>188511300</v>
      </c>
      <c r="U284">
        <v>3639273400</v>
      </c>
      <c r="V284">
        <v>6057847800</v>
      </c>
      <c r="W284">
        <v>1928100</v>
      </c>
      <c r="X284">
        <v>5554327100</v>
      </c>
    </row>
    <row r="285" spans="1:24" x14ac:dyDescent="0.3">
      <c r="A285">
        <v>109</v>
      </c>
      <c r="B285">
        <v>524288</v>
      </c>
      <c r="C285">
        <v>6</v>
      </c>
      <c r="D285">
        <v>343</v>
      </c>
      <c r="E285">
        <v>0.2</v>
      </c>
      <c r="F285">
        <v>11</v>
      </c>
      <c r="G285">
        <v>4095</v>
      </c>
      <c r="H285">
        <v>951920</v>
      </c>
      <c r="I285">
        <v>215055366300</v>
      </c>
      <c r="J285">
        <v>1363301524800</v>
      </c>
      <c r="K285">
        <v>6.3393048416109199</v>
      </c>
      <c r="L285">
        <v>145458600</v>
      </c>
      <c r="M285">
        <v>7106017700</v>
      </c>
      <c r="N285">
        <v>78161734500</v>
      </c>
      <c r="O285">
        <v>85267752200</v>
      </c>
      <c r="P285">
        <v>2585200</v>
      </c>
      <c r="Q285">
        <v>128531288800</v>
      </c>
      <c r="R285">
        <v>128533874000</v>
      </c>
      <c r="S285">
        <v>11458800</v>
      </c>
      <c r="T285">
        <v>186390900</v>
      </c>
      <c r="U285">
        <v>365631721500</v>
      </c>
      <c r="V285">
        <v>986715147100</v>
      </c>
      <c r="W285">
        <v>1838700</v>
      </c>
      <c r="X285">
        <v>215055366300</v>
      </c>
    </row>
    <row r="286" spans="1:24" x14ac:dyDescent="0.3">
      <c r="A286">
        <v>110</v>
      </c>
      <c r="B286">
        <v>524288</v>
      </c>
      <c r="C286">
        <v>6</v>
      </c>
      <c r="D286">
        <v>343</v>
      </c>
      <c r="E286">
        <v>0.35</v>
      </c>
      <c r="F286">
        <v>11</v>
      </c>
      <c r="G286">
        <v>4095</v>
      </c>
      <c r="H286">
        <v>215220</v>
      </c>
      <c r="I286">
        <v>68334706800</v>
      </c>
      <c r="J286">
        <v>383328844700</v>
      </c>
      <c r="K286">
        <v>5.6095776604693004</v>
      </c>
      <c r="L286">
        <v>37960400</v>
      </c>
      <c r="M286">
        <v>6998557400</v>
      </c>
      <c r="N286">
        <v>31422087600</v>
      </c>
      <c r="O286">
        <v>38420645000</v>
      </c>
      <c r="P286">
        <v>663900</v>
      </c>
      <c r="Q286">
        <v>28782421300</v>
      </c>
      <c r="R286">
        <v>28783085200</v>
      </c>
      <c r="S286">
        <v>4018300</v>
      </c>
      <c r="T286">
        <v>177534700</v>
      </c>
      <c r="U286">
        <v>149058188800</v>
      </c>
      <c r="V286">
        <v>223229504400</v>
      </c>
      <c r="W286">
        <v>3061700</v>
      </c>
      <c r="X286">
        <v>68334706800</v>
      </c>
    </row>
    <row r="287" spans="1:24" x14ac:dyDescent="0.3">
      <c r="A287">
        <v>111</v>
      </c>
      <c r="B287">
        <v>524288</v>
      </c>
      <c r="C287">
        <v>6</v>
      </c>
      <c r="D287">
        <v>343</v>
      </c>
      <c r="E287">
        <v>0.5</v>
      </c>
      <c r="F287">
        <v>11</v>
      </c>
      <c r="G287">
        <v>4095</v>
      </c>
      <c r="H287">
        <v>87980</v>
      </c>
      <c r="I287">
        <v>32833889600</v>
      </c>
      <c r="J287">
        <v>162842832900</v>
      </c>
      <c r="K287">
        <v>4.9595961637149397</v>
      </c>
      <c r="L287">
        <v>19078700</v>
      </c>
      <c r="M287">
        <v>7025511800</v>
      </c>
      <c r="N287">
        <v>12876643500</v>
      </c>
      <c r="O287">
        <v>19902155300</v>
      </c>
      <c r="P287">
        <v>262400</v>
      </c>
      <c r="Q287">
        <v>11813046600</v>
      </c>
      <c r="R287">
        <v>11813309000</v>
      </c>
      <c r="S287">
        <v>3995100</v>
      </c>
      <c r="T287">
        <v>182872600</v>
      </c>
      <c r="U287">
        <v>60531158900</v>
      </c>
      <c r="V287">
        <v>91113057000</v>
      </c>
      <c r="W287">
        <v>1862800</v>
      </c>
      <c r="X287">
        <v>32833889600</v>
      </c>
    </row>
    <row r="288" spans="1:24" x14ac:dyDescent="0.3">
      <c r="A288">
        <v>112</v>
      </c>
      <c r="B288">
        <v>524288</v>
      </c>
      <c r="C288">
        <v>6</v>
      </c>
      <c r="D288">
        <v>343</v>
      </c>
      <c r="E288">
        <v>0.65</v>
      </c>
      <c r="F288">
        <v>11</v>
      </c>
      <c r="G288">
        <v>4095</v>
      </c>
      <c r="H288">
        <v>31660</v>
      </c>
      <c r="I288">
        <v>17747874400</v>
      </c>
      <c r="J288">
        <v>69234135100</v>
      </c>
      <c r="K288">
        <v>3.9009818043336999</v>
      </c>
      <c r="L288">
        <v>5533900</v>
      </c>
      <c r="M288">
        <v>7036673300</v>
      </c>
      <c r="N288">
        <v>5358411900</v>
      </c>
      <c r="O288">
        <v>12395085200</v>
      </c>
      <c r="P288">
        <v>176800</v>
      </c>
      <c r="Q288">
        <v>4253766200</v>
      </c>
      <c r="R288">
        <v>4253943000</v>
      </c>
      <c r="S288">
        <v>4019300</v>
      </c>
      <c r="T288">
        <v>183403900</v>
      </c>
      <c r="U288">
        <v>25242298800</v>
      </c>
      <c r="V288">
        <v>32936580200</v>
      </c>
      <c r="W288">
        <v>1903900</v>
      </c>
      <c r="X288">
        <v>17747874400</v>
      </c>
    </row>
    <row r="289" spans="1:24" x14ac:dyDescent="0.3">
      <c r="A289">
        <v>113</v>
      </c>
      <c r="B289">
        <v>524288</v>
      </c>
      <c r="C289">
        <v>6</v>
      </c>
      <c r="D289">
        <v>343</v>
      </c>
      <c r="E289">
        <v>0.8</v>
      </c>
      <c r="F289">
        <v>11</v>
      </c>
      <c r="G289">
        <v>4095</v>
      </c>
      <c r="H289">
        <v>15656</v>
      </c>
      <c r="I289">
        <v>13589840300</v>
      </c>
      <c r="J289">
        <v>42856371600</v>
      </c>
      <c r="K289">
        <v>3.1535596190928001</v>
      </c>
      <c r="L289">
        <v>3086000</v>
      </c>
      <c r="M289">
        <v>7089543100</v>
      </c>
      <c r="N289">
        <v>3292839500</v>
      </c>
      <c r="O289">
        <v>10382382600</v>
      </c>
      <c r="P289">
        <v>166100</v>
      </c>
      <c r="Q289">
        <v>2116678200</v>
      </c>
      <c r="R289">
        <v>2116844300</v>
      </c>
      <c r="S289">
        <v>4357400</v>
      </c>
      <c r="T289">
        <v>186812400</v>
      </c>
      <c r="U289">
        <v>15424650300</v>
      </c>
      <c r="V289">
        <v>16402296400</v>
      </c>
      <c r="W289">
        <v>1889400</v>
      </c>
      <c r="X289">
        <v>13589840300</v>
      </c>
    </row>
    <row r="290" spans="1:24" x14ac:dyDescent="0.3">
      <c r="A290">
        <v>114</v>
      </c>
      <c r="B290">
        <v>524288</v>
      </c>
      <c r="C290">
        <v>6</v>
      </c>
      <c r="D290">
        <v>343</v>
      </c>
      <c r="E290">
        <v>0.95</v>
      </c>
      <c r="F290">
        <v>11</v>
      </c>
      <c r="G290">
        <v>4095</v>
      </c>
      <c r="H290">
        <v>8192</v>
      </c>
      <c r="I290">
        <v>10453263700</v>
      </c>
      <c r="J290">
        <v>24946667000</v>
      </c>
      <c r="K290">
        <v>2.3864955210112901</v>
      </c>
      <c r="L290">
        <v>1346500</v>
      </c>
      <c r="M290">
        <v>7091017400</v>
      </c>
      <c r="N290">
        <v>1146375500</v>
      </c>
      <c r="O290">
        <v>8237392900</v>
      </c>
      <c r="P290">
        <v>149800</v>
      </c>
      <c r="Q290">
        <v>1120259500</v>
      </c>
      <c r="R290">
        <v>1120409300</v>
      </c>
      <c r="S290">
        <v>4206500</v>
      </c>
      <c r="T290">
        <v>180620000</v>
      </c>
      <c r="U290">
        <v>5363949700</v>
      </c>
      <c r="V290">
        <v>8475711300</v>
      </c>
      <c r="W290">
        <v>1910500</v>
      </c>
      <c r="X290">
        <v>10453263700</v>
      </c>
    </row>
    <row r="291" spans="1:24" x14ac:dyDescent="0.3">
      <c r="A291">
        <v>115</v>
      </c>
      <c r="B291">
        <v>524288</v>
      </c>
      <c r="C291">
        <v>7</v>
      </c>
      <c r="D291">
        <v>512</v>
      </c>
      <c r="E291">
        <v>0.2</v>
      </c>
      <c r="F291">
        <v>10</v>
      </c>
      <c r="G291">
        <v>2047</v>
      </c>
      <c r="H291">
        <v>338136</v>
      </c>
      <c r="I291">
        <v>266946146500</v>
      </c>
      <c r="J291">
        <v>1870320240700</v>
      </c>
      <c r="K291">
        <v>7.0063578936135702</v>
      </c>
      <c r="L291">
        <v>54280700</v>
      </c>
      <c r="M291">
        <v>8563345800</v>
      </c>
      <c r="N291">
        <v>74019964500</v>
      </c>
      <c r="O291">
        <v>82583310300</v>
      </c>
      <c r="P291">
        <v>920300</v>
      </c>
      <c r="Q291">
        <v>183204237400</v>
      </c>
      <c r="R291">
        <v>183205157700</v>
      </c>
      <c r="S291">
        <v>4418300</v>
      </c>
      <c r="T291">
        <v>164742900</v>
      </c>
      <c r="U291">
        <v>390181013300</v>
      </c>
      <c r="V291">
        <v>1467224739100</v>
      </c>
      <c r="W291">
        <v>2132900</v>
      </c>
      <c r="X291">
        <v>266946146500</v>
      </c>
    </row>
    <row r="292" spans="1:24" x14ac:dyDescent="0.3">
      <c r="A292">
        <v>116</v>
      </c>
      <c r="B292">
        <v>524288</v>
      </c>
      <c r="C292">
        <v>7</v>
      </c>
      <c r="D292">
        <v>512</v>
      </c>
      <c r="E292">
        <v>0.35</v>
      </c>
      <c r="F292">
        <v>10</v>
      </c>
      <c r="G292">
        <v>2047</v>
      </c>
      <c r="H292">
        <v>93304</v>
      </c>
      <c r="I292">
        <v>89446585000</v>
      </c>
      <c r="J292">
        <v>576151837500</v>
      </c>
      <c r="K292">
        <v>6.4412949639161701</v>
      </c>
      <c r="L292">
        <v>20392100</v>
      </c>
      <c r="M292">
        <v>8395691500</v>
      </c>
      <c r="N292">
        <v>29909013700</v>
      </c>
      <c r="O292">
        <v>38304705200</v>
      </c>
      <c r="P292">
        <v>207600</v>
      </c>
      <c r="Q292">
        <v>50029365800</v>
      </c>
      <c r="R292">
        <v>50029573400</v>
      </c>
      <c r="S292">
        <v>10965800</v>
      </c>
      <c r="T292">
        <v>173474800</v>
      </c>
      <c r="U292">
        <v>159725817800</v>
      </c>
      <c r="V292">
        <v>403710500100</v>
      </c>
      <c r="W292">
        <v>1970500</v>
      </c>
      <c r="X292">
        <v>89446585000</v>
      </c>
    </row>
    <row r="293" spans="1:24" x14ac:dyDescent="0.3">
      <c r="A293">
        <v>117</v>
      </c>
      <c r="B293">
        <v>524288</v>
      </c>
      <c r="C293">
        <v>7</v>
      </c>
      <c r="D293">
        <v>512</v>
      </c>
      <c r="E293">
        <v>0.5</v>
      </c>
      <c r="F293">
        <v>10</v>
      </c>
      <c r="G293">
        <v>2047</v>
      </c>
      <c r="H293">
        <v>34876</v>
      </c>
      <c r="I293">
        <v>41593831100</v>
      </c>
      <c r="J293">
        <v>234741714200</v>
      </c>
      <c r="K293">
        <v>5.6436665724691997</v>
      </c>
      <c r="L293">
        <v>6303500</v>
      </c>
      <c r="M293">
        <v>8428029800</v>
      </c>
      <c r="N293">
        <v>13282105800</v>
      </c>
      <c r="O293">
        <v>21710135600</v>
      </c>
      <c r="P293">
        <v>129200</v>
      </c>
      <c r="Q293">
        <v>18772660200</v>
      </c>
      <c r="R293">
        <v>18772789400</v>
      </c>
      <c r="S293">
        <v>4333300</v>
      </c>
      <c r="T293">
        <v>166984800</v>
      </c>
      <c r="U293">
        <v>70335215900</v>
      </c>
      <c r="V293">
        <v>151581057000</v>
      </c>
      <c r="W293">
        <v>1814800</v>
      </c>
      <c r="X293">
        <v>41593831100</v>
      </c>
    </row>
    <row r="294" spans="1:24" x14ac:dyDescent="0.3">
      <c r="A294">
        <v>118</v>
      </c>
      <c r="B294">
        <v>524288</v>
      </c>
      <c r="C294">
        <v>7</v>
      </c>
      <c r="D294">
        <v>512</v>
      </c>
      <c r="E294">
        <v>0.65</v>
      </c>
      <c r="F294">
        <v>10</v>
      </c>
      <c r="G294">
        <v>2047</v>
      </c>
      <c r="H294">
        <v>12432</v>
      </c>
      <c r="I294">
        <v>22612659400</v>
      </c>
      <c r="J294">
        <v>100064594100</v>
      </c>
      <c r="K294">
        <v>4.4251581527823296</v>
      </c>
      <c r="L294">
        <v>2813800</v>
      </c>
      <c r="M294">
        <v>8440535000</v>
      </c>
      <c r="N294">
        <v>6359016300</v>
      </c>
      <c r="O294">
        <v>14799551300</v>
      </c>
      <c r="P294">
        <v>100000</v>
      </c>
      <c r="Q294">
        <v>6708650700</v>
      </c>
      <c r="R294">
        <v>6708750700</v>
      </c>
      <c r="S294">
        <v>11070600</v>
      </c>
      <c r="T294">
        <v>165547000</v>
      </c>
      <c r="U294">
        <v>33645094300</v>
      </c>
      <c r="V294">
        <v>53776611900</v>
      </c>
      <c r="W294">
        <v>1870300</v>
      </c>
      <c r="X294">
        <v>22612659400</v>
      </c>
    </row>
    <row r="295" spans="1:24" x14ac:dyDescent="0.3">
      <c r="A295">
        <v>119</v>
      </c>
      <c r="B295">
        <v>524288</v>
      </c>
      <c r="C295">
        <v>7</v>
      </c>
      <c r="D295">
        <v>512</v>
      </c>
      <c r="E295">
        <v>0.8</v>
      </c>
      <c r="F295">
        <v>10</v>
      </c>
      <c r="G295">
        <v>2047</v>
      </c>
      <c r="H295">
        <v>7440</v>
      </c>
      <c r="I295">
        <v>17201564300</v>
      </c>
      <c r="J295">
        <v>64365491700</v>
      </c>
      <c r="K295">
        <v>3.74183943840502</v>
      </c>
      <c r="L295">
        <v>1635400</v>
      </c>
      <c r="M295">
        <v>8429251600</v>
      </c>
      <c r="N295">
        <v>3666784300</v>
      </c>
      <c r="O295">
        <v>12096035900</v>
      </c>
      <c r="P295">
        <v>79800</v>
      </c>
      <c r="Q295">
        <v>4010126000</v>
      </c>
      <c r="R295">
        <v>4010205800</v>
      </c>
      <c r="S295">
        <v>3991400</v>
      </c>
      <c r="T295">
        <v>159426900</v>
      </c>
      <c r="U295">
        <v>19447557500</v>
      </c>
      <c r="V295">
        <v>32198613400</v>
      </c>
      <c r="W295">
        <v>1838900</v>
      </c>
      <c r="X295">
        <v>17201564300</v>
      </c>
    </row>
    <row r="296" spans="1:24" x14ac:dyDescent="0.3">
      <c r="A296">
        <v>120</v>
      </c>
      <c r="B296">
        <v>524288</v>
      </c>
      <c r="C296">
        <v>7</v>
      </c>
      <c r="D296">
        <v>512</v>
      </c>
      <c r="E296">
        <v>0.95</v>
      </c>
      <c r="F296">
        <v>10</v>
      </c>
      <c r="G296">
        <v>2047</v>
      </c>
      <c r="H296">
        <v>2048</v>
      </c>
      <c r="I296">
        <v>12968014300</v>
      </c>
      <c r="J296">
        <v>33633473300</v>
      </c>
      <c r="K296">
        <v>2.5935715771072201</v>
      </c>
      <c r="L296">
        <v>769100</v>
      </c>
      <c r="M296">
        <v>8488378900</v>
      </c>
      <c r="N296">
        <v>2260091400</v>
      </c>
      <c r="O296">
        <v>10748470300</v>
      </c>
      <c r="P296">
        <v>100000</v>
      </c>
      <c r="Q296">
        <v>1119045400</v>
      </c>
      <c r="R296">
        <v>1119145400</v>
      </c>
      <c r="S296">
        <v>4393900</v>
      </c>
      <c r="T296">
        <v>155290800</v>
      </c>
      <c r="U296">
        <v>11895946500</v>
      </c>
      <c r="V296">
        <v>8832231400</v>
      </c>
      <c r="W296">
        <v>1912300</v>
      </c>
      <c r="X296">
        <v>12968014300</v>
      </c>
    </row>
    <row r="297" spans="1:24" x14ac:dyDescent="0.3">
      <c r="A297">
        <v>121</v>
      </c>
      <c r="B297">
        <v>1048576</v>
      </c>
      <c r="C297">
        <v>3</v>
      </c>
      <c r="D297">
        <v>64</v>
      </c>
      <c r="E297">
        <v>0.2</v>
      </c>
      <c r="F297">
        <v>14</v>
      </c>
      <c r="G297">
        <v>32767</v>
      </c>
      <c r="H297" s="1">
        <v>9807860</v>
      </c>
      <c r="I297">
        <v>130652522900</v>
      </c>
      <c r="J297">
        <v>818390451500</v>
      </c>
      <c r="K297">
        <v>6.26387025167808</v>
      </c>
      <c r="L297">
        <v>2124853900</v>
      </c>
      <c r="M297">
        <v>30269900</v>
      </c>
      <c r="N297">
        <v>44133211500</v>
      </c>
      <c r="O297">
        <v>44163481400</v>
      </c>
      <c r="P297">
        <v>29640800</v>
      </c>
      <c r="Q297">
        <v>83363718700</v>
      </c>
      <c r="R297">
        <v>83393359500</v>
      </c>
      <c r="S297">
        <v>8479500</v>
      </c>
      <c r="T297">
        <v>489721800</v>
      </c>
      <c r="U297">
        <v>223538055600</v>
      </c>
      <c r="V297">
        <v>587671665600</v>
      </c>
      <c r="W297">
        <v>3749300</v>
      </c>
      <c r="X297">
        <v>130652522900</v>
      </c>
    </row>
    <row r="298" spans="1:24" x14ac:dyDescent="0.3">
      <c r="A298">
        <v>122</v>
      </c>
      <c r="B298">
        <v>1048576</v>
      </c>
      <c r="C298">
        <v>3</v>
      </c>
      <c r="D298">
        <v>64</v>
      </c>
      <c r="E298">
        <v>0.35</v>
      </c>
      <c r="F298">
        <v>14</v>
      </c>
      <c r="G298">
        <v>32767</v>
      </c>
      <c r="H298" s="1">
        <v>1927488</v>
      </c>
      <c r="I298">
        <v>29750731700</v>
      </c>
      <c r="J298">
        <v>182249688400</v>
      </c>
      <c r="K298">
        <v>6.1258892802290301</v>
      </c>
      <c r="L298">
        <v>387134700</v>
      </c>
      <c r="M298">
        <v>681643700</v>
      </c>
      <c r="N298">
        <v>11576960200</v>
      </c>
      <c r="O298">
        <v>12258603900</v>
      </c>
      <c r="P298">
        <v>4928700</v>
      </c>
      <c r="Q298">
        <v>16112013800</v>
      </c>
      <c r="R298">
        <v>16116942500</v>
      </c>
      <c r="S298">
        <v>7916100</v>
      </c>
      <c r="T298">
        <v>816938000</v>
      </c>
      <c r="U298">
        <v>59823619700</v>
      </c>
      <c r="V298">
        <v>115754881800</v>
      </c>
      <c r="W298">
        <v>3681400</v>
      </c>
      <c r="X298">
        <v>29750731700</v>
      </c>
    </row>
    <row r="299" spans="1:24" x14ac:dyDescent="0.3">
      <c r="A299">
        <v>123</v>
      </c>
      <c r="B299">
        <v>1048576</v>
      </c>
      <c r="C299">
        <v>3</v>
      </c>
      <c r="D299">
        <v>64</v>
      </c>
      <c r="E299">
        <v>0.5</v>
      </c>
      <c r="F299">
        <v>14</v>
      </c>
      <c r="G299">
        <v>32767</v>
      </c>
      <c r="H299">
        <v>721832</v>
      </c>
      <c r="I299">
        <v>12490481200</v>
      </c>
      <c r="J299">
        <v>71924794800</v>
      </c>
      <c r="K299">
        <v>5.7583686047259697</v>
      </c>
      <c r="L299">
        <v>497187200</v>
      </c>
      <c r="M299">
        <v>560974800</v>
      </c>
      <c r="N299">
        <v>4354942600</v>
      </c>
      <c r="O299">
        <v>4915917400</v>
      </c>
      <c r="P299">
        <v>2111200</v>
      </c>
      <c r="Q299">
        <v>6072010500</v>
      </c>
      <c r="R299">
        <v>6074121700</v>
      </c>
      <c r="S299">
        <v>7836700</v>
      </c>
      <c r="T299">
        <v>791158500</v>
      </c>
      <c r="U299">
        <v>22438005500</v>
      </c>
      <c r="V299">
        <v>43427797600</v>
      </c>
      <c r="W299">
        <v>3707700</v>
      </c>
      <c r="X299">
        <v>12490481200</v>
      </c>
    </row>
    <row r="300" spans="1:24" x14ac:dyDescent="0.3">
      <c r="A300">
        <v>124</v>
      </c>
      <c r="B300">
        <v>1048576</v>
      </c>
      <c r="C300">
        <v>3</v>
      </c>
      <c r="D300">
        <v>64</v>
      </c>
      <c r="E300">
        <v>0.65</v>
      </c>
      <c r="F300">
        <v>14</v>
      </c>
      <c r="G300">
        <v>32767</v>
      </c>
      <c r="H300">
        <v>249500</v>
      </c>
      <c r="I300">
        <v>5765945400</v>
      </c>
      <c r="J300">
        <v>29430156100</v>
      </c>
      <c r="K300">
        <v>5.1041336777139703</v>
      </c>
      <c r="L300">
        <v>48583800</v>
      </c>
      <c r="M300">
        <v>1035782700</v>
      </c>
      <c r="N300">
        <v>1600557100</v>
      </c>
      <c r="O300">
        <v>2636339800</v>
      </c>
      <c r="P300">
        <v>735900</v>
      </c>
      <c r="Q300">
        <v>2113665000</v>
      </c>
      <c r="R300">
        <v>2114400900</v>
      </c>
      <c r="S300">
        <v>7936600</v>
      </c>
      <c r="T300">
        <v>532330700</v>
      </c>
      <c r="U300">
        <v>8229436900</v>
      </c>
      <c r="V300">
        <v>15180042100</v>
      </c>
      <c r="W300">
        <v>3729600</v>
      </c>
      <c r="X300">
        <v>5765945400</v>
      </c>
    </row>
    <row r="301" spans="1:24" x14ac:dyDescent="0.3">
      <c r="A301">
        <v>125</v>
      </c>
      <c r="B301">
        <v>1048576</v>
      </c>
      <c r="C301">
        <v>3</v>
      </c>
      <c r="D301">
        <v>64</v>
      </c>
      <c r="E301">
        <v>0.8</v>
      </c>
      <c r="F301">
        <v>14</v>
      </c>
      <c r="G301">
        <v>32767</v>
      </c>
      <c r="H301">
        <v>115844</v>
      </c>
      <c r="I301">
        <v>3950015300</v>
      </c>
      <c r="J301">
        <v>17739853700</v>
      </c>
      <c r="K301">
        <v>4.4910848066841602</v>
      </c>
      <c r="L301">
        <v>67836700</v>
      </c>
      <c r="M301">
        <v>1015682200</v>
      </c>
      <c r="N301">
        <v>901505200</v>
      </c>
      <c r="O301">
        <v>1917187400</v>
      </c>
      <c r="P301">
        <v>402600</v>
      </c>
      <c r="Q301">
        <v>998499300</v>
      </c>
      <c r="R301">
        <v>998901900</v>
      </c>
      <c r="S301">
        <v>8477500</v>
      </c>
      <c r="T301">
        <v>483455600</v>
      </c>
      <c r="U301">
        <v>4640574200</v>
      </c>
      <c r="V301">
        <v>7001418700</v>
      </c>
      <c r="W301">
        <v>3871900</v>
      </c>
      <c r="X301">
        <v>3950015300</v>
      </c>
    </row>
    <row r="302" spans="1:24" x14ac:dyDescent="0.3">
      <c r="A302">
        <v>126</v>
      </c>
      <c r="B302">
        <v>1048576</v>
      </c>
      <c r="C302">
        <v>3</v>
      </c>
      <c r="D302">
        <v>64</v>
      </c>
      <c r="E302">
        <v>0.95</v>
      </c>
      <c r="F302">
        <v>14</v>
      </c>
      <c r="G302">
        <v>32767</v>
      </c>
      <c r="H302">
        <v>65536</v>
      </c>
      <c r="I302">
        <v>2948695800</v>
      </c>
      <c r="J302">
        <v>12312281300</v>
      </c>
      <c r="K302">
        <v>4.1755006738911398</v>
      </c>
      <c r="L302">
        <v>10506200</v>
      </c>
      <c r="M302">
        <v>1068496200</v>
      </c>
      <c r="N302">
        <v>309278800</v>
      </c>
      <c r="O302">
        <v>1377775000</v>
      </c>
      <c r="P302">
        <v>163200</v>
      </c>
      <c r="Q302">
        <v>583885000</v>
      </c>
      <c r="R302">
        <v>584048200</v>
      </c>
      <c r="S302">
        <v>7912200</v>
      </c>
      <c r="T302">
        <v>757738500</v>
      </c>
      <c r="U302">
        <v>1591186900</v>
      </c>
      <c r="V302">
        <v>4033854000</v>
      </c>
      <c r="W302">
        <v>3788900</v>
      </c>
      <c r="X302">
        <v>2948695800</v>
      </c>
    </row>
    <row r="303" spans="1:24" x14ac:dyDescent="0.3">
      <c r="A303">
        <v>127</v>
      </c>
      <c r="B303">
        <v>1048576</v>
      </c>
      <c r="C303">
        <v>4</v>
      </c>
      <c r="D303">
        <v>125</v>
      </c>
      <c r="E303">
        <v>0.2</v>
      </c>
      <c r="F303">
        <v>14</v>
      </c>
      <c r="G303">
        <v>32767</v>
      </c>
      <c r="H303" s="1">
        <v>9807112</v>
      </c>
      <c r="I303">
        <v>234977581100</v>
      </c>
      <c r="J303">
        <v>1429000492200</v>
      </c>
      <c r="K303">
        <v>6.0814333244491801</v>
      </c>
      <c r="L303">
        <v>2171642700</v>
      </c>
      <c r="M303">
        <v>810320700</v>
      </c>
      <c r="N303">
        <v>144830932200</v>
      </c>
      <c r="O303">
        <v>145641252900</v>
      </c>
      <c r="P303">
        <v>29026700</v>
      </c>
      <c r="Q303">
        <v>85570201400</v>
      </c>
      <c r="R303">
        <v>85599228100</v>
      </c>
      <c r="S303">
        <v>7867600</v>
      </c>
      <c r="T303">
        <v>786834800</v>
      </c>
      <c r="U303">
        <v>827513192800</v>
      </c>
      <c r="V303">
        <v>586765881100</v>
      </c>
      <c r="W303">
        <v>3919500</v>
      </c>
      <c r="X303">
        <v>234977581100</v>
      </c>
    </row>
    <row r="304" spans="1:24" x14ac:dyDescent="0.3">
      <c r="A304">
        <v>128</v>
      </c>
      <c r="B304">
        <v>1048576</v>
      </c>
      <c r="C304">
        <v>4</v>
      </c>
      <c r="D304">
        <v>125</v>
      </c>
      <c r="E304">
        <v>0.35</v>
      </c>
      <c r="F304">
        <v>14</v>
      </c>
      <c r="G304">
        <v>32767</v>
      </c>
      <c r="H304" s="1">
        <v>1930356</v>
      </c>
      <c r="I304">
        <v>59561129700</v>
      </c>
      <c r="J304">
        <v>351154475800</v>
      </c>
      <c r="K304">
        <v>5.8956987143915702</v>
      </c>
      <c r="L304">
        <v>384402200</v>
      </c>
      <c r="M304">
        <v>2576835800</v>
      </c>
      <c r="N304">
        <v>38555211800</v>
      </c>
      <c r="O304">
        <v>41132047600</v>
      </c>
      <c r="P304">
        <v>5216400</v>
      </c>
      <c r="Q304">
        <v>16683052500</v>
      </c>
      <c r="R304">
        <v>16688268900</v>
      </c>
      <c r="S304">
        <v>7746700</v>
      </c>
      <c r="T304">
        <v>884749900</v>
      </c>
      <c r="U304">
        <v>221959965900</v>
      </c>
      <c r="V304">
        <v>115657194200</v>
      </c>
      <c r="W304">
        <v>3745400</v>
      </c>
      <c r="X304">
        <v>59561129700</v>
      </c>
    </row>
    <row r="305" spans="1:24" x14ac:dyDescent="0.3">
      <c r="A305">
        <v>129</v>
      </c>
      <c r="B305">
        <v>1048576</v>
      </c>
      <c r="C305">
        <v>4</v>
      </c>
      <c r="D305">
        <v>125</v>
      </c>
      <c r="E305">
        <v>0.5</v>
      </c>
      <c r="F305">
        <v>14</v>
      </c>
      <c r="G305">
        <v>32767</v>
      </c>
      <c r="H305">
        <v>721732</v>
      </c>
      <c r="I305">
        <v>25167551000</v>
      </c>
      <c r="J305">
        <v>140084514700</v>
      </c>
      <c r="K305">
        <v>5.5660765205164298</v>
      </c>
      <c r="L305">
        <v>141012600</v>
      </c>
      <c r="M305">
        <v>2825650500</v>
      </c>
      <c r="N305">
        <v>14574517900</v>
      </c>
      <c r="O305">
        <v>17400168400</v>
      </c>
      <c r="P305">
        <v>2056800</v>
      </c>
      <c r="Q305">
        <v>6263369300</v>
      </c>
      <c r="R305">
        <v>6265426100</v>
      </c>
      <c r="S305">
        <v>8889400</v>
      </c>
      <c r="T305">
        <v>499108300</v>
      </c>
      <c r="U305">
        <v>83801769200</v>
      </c>
      <c r="V305">
        <v>43323759600</v>
      </c>
      <c r="W305">
        <v>3755700</v>
      </c>
      <c r="X305">
        <v>25167551000</v>
      </c>
    </row>
    <row r="306" spans="1:24" x14ac:dyDescent="0.3">
      <c r="A306">
        <v>130</v>
      </c>
      <c r="B306">
        <v>1048576</v>
      </c>
      <c r="C306">
        <v>4</v>
      </c>
      <c r="D306">
        <v>125</v>
      </c>
      <c r="E306">
        <v>0.65</v>
      </c>
      <c r="F306">
        <v>14</v>
      </c>
      <c r="G306">
        <v>32767</v>
      </c>
      <c r="H306">
        <v>249832</v>
      </c>
      <c r="I306">
        <v>11786327200</v>
      </c>
      <c r="J306">
        <v>59186106900</v>
      </c>
      <c r="K306">
        <v>5.0215903475002799</v>
      </c>
      <c r="L306">
        <v>48593400</v>
      </c>
      <c r="M306">
        <v>2908992000</v>
      </c>
      <c r="N306">
        <v>5281280400</v>
      </c>
      <c r="O306">
        <v>8190272400</v>
      </c>
      <c r="P306">
        <v>772100</v>
      </c>
      <c r="Q306">
        <v>2179896800</v>
      </c>
      <c r="R306">
        <v>2180668900</v>
      </c>
      <c r="S306">
        <v>7969500</v>
      </c>
      <c r="T306">
        <v>864630500</v>
      </c>
      <c r="U306">
        <v>30823113100</v>
      </c>
      <c r="V306">
        <v>15164292000</v>
      </c>
      <c r="W306">
        <v>3716700</v>
      </c>
      <c r="X306">
        <v>11786327200</v>
      </c>
    </row>
    <row r="307" spans="1:24" x14ac:dyDescent="0.3">
      <c r="A307">
        <v>131</v>
      </c>
      <c r="B307">
        <v>1048576</v>
      </c>
      <c r="C307">
        <v>4</v>
      </c>
      <c r="D307">
        <v>125</v>
      </c>
      <c r="E307">
        <v>0.8</v>
      </c>
      <c r="F307">
        <v>14</v>
      </c>
      <c r="G307">
        <v>32767</v>
      </c>
      <c r="H307">
        <v>115440</v>
      </c>
      <c r="I307">
        <v>8264951000</v>
      </c>
      <c r="J307">
        <v>37581796500</v>
      </c>
      <c r="K307">
        <v>4.5471287730562402</v>
      </c>
      <c r="L307">
        <v>23780600</v>
      </c>
      <c r="M307">
        <v>2941378000</v>
      </c>
      <c r="N307">
        <v>2900511800</v>
      </c>
      <c r="O307">
        <v>5841889800</v>
      </c>
      <c r="P307">
        <v>414100</v>
      </c>
      <c r="Q307">
        <v>1037708000</v>
      </c>
      <c r="R307">
        <v>1038122100</v>
      </c>
      <c r="S307">
        <v>8016300</v>
      </c>
      <c r="T307">
        <v>859132300</v>
      </c>
      <c r="U307">
        <v>16765550600</v>
      </c>
      <c r="V307">
        <v>7116566100</v>
      </c>
      <c r="W307">
        <v>3764600</v>
      </c>
      <c r="X307">
        <v>8264951000</v>
      </c>
    </row>
    <row r="308" spans="1:24" x14ac:dyDescent="0.3">
      <c r="A308">
        <v>132</v>
      </c>
      <c r="B308">
        <v>1048576</v>
      </c>
      <c r="C308">
        <v>4</v>
      </c>
      <c r="D308">
        <v>125</v>
      </c>
      <c r="E308">
        <v>0.95</v>
      </c>
      <c r="F308">
        <v>14</v>
      </c>
      <c r="G308">
        <v>32767</v>
      </c>
      <c r="H308">
        <v>65536</v>
      </c>
      <c r="I308">
        <v>5908898000</v>
      </c>
      <c r="J308">
        <v>23469444700</v>
      </c>
      <c r="K308">
        <v>3.9718818466658199</v>
      </c>
      <c r="L308">
        <v>10241500</v>
      </c>
      <c r="M308">
        <v>2970843800</v>
      </c>
      <c r="N308">
        <v>1013064700</v>
      </c>
      <c r="O308">
        <v>3983908500</v>
      </c>
      <c r="P308">
        <v>150100</v>
      </c>
      <c r="Q308">
        <v>581826800</v>
      </c>
      <c r="R308">
        <v>581976900</v>
      </c>
      <c r="S308">
        <v>7847200</v>
      </c>
      <c r="T308">
        <v>878473400</v>
      </c>
      <c r="U308">
        <v>5852575200</v>
      </c>
      <c r="V308">
        <v>3991207200</v>
      </c>
      <c r="W308">
        <v>3835700</v>
      </c>
      <c r="X308">
        <v>5908898000</v>
      </c>
    </row>
    <row r="309" spans="1:24" x14ac:dyDescent="0.3">
      <c r="A309">
        <v>133</v>
      </c>
      <c r="B309">
        <v>1048576</v>
      </c>
      <c r="C309">
        <v>5</v>
      </c>
      <c r="D309">
        <v>216</v>
      </c>
      <c r="E309">
        <v>0.2</v>
      </c>
      <c r="F309">
        <v>13</v>
      </c>
      <c r="G309">
        <v>16383</v>
      </c>
      <c r="H309" s="1">
        <v>3774572</v>
      </c>
      <c r="I309">
        <v>432590628200</v>
      </c>
      <c r="J309">
        <v>2342819987400</v>
      </c>
      <c r="K309">
        <v>5.4157899748046301</v>
      </c>
      <c r="L309">
        <v>819663600</v>
      </c>
      <c r="M309">
        <v>5139543000</v>
      </c>
      <c r="N309">
        <v>297417270300</v>
      </c>
      <c r="O309">
        <v>302556813300</v>
      </c>
      <c r="P309">
        <v>8926000</v>
      </c>
      <c r="Q309">
        <v>127554674800</v>
      </c>
      <c r="R309">
        <v>127563600800</v>
      </c>
      <c r="S309">
        <v>9027700</v>
      </c>
      <c r="T309">
        <v>542510600</v>
      </c>
      <c r="U309">
        <v>1392154413900</v>
      </c>
      <c r="V309">
        <v>932692372800</v>
      </c>
      <c r="W309">
        <v>3785800</v>
      </c>
      <c r="X309">
        <v>432590628200</v>
      </c>
    </row>
    <row r="310" spans="1:24" x14ac:dyDescent="0.3">
      <c r="A310">
        <v>134</v>
      </c>
      <c r="B310">
        <v>1048576</v>
      </c>
      <c r="C310">
        <v>5</v>
      </c>
      <c r="D310">
        <v>216</v>
      </c>
      <c r="E310">
        <v>0.35</v>
      </c>
      <c r="F310">
        <v>13</v>
      </c>
      <c r="G310">
        <v>16383</v>
      </c>
      <c r="H310">
        <v>863620</v>
      </c>
      <c r="I310">
        <v>110111716700</v>
      </c>
      <c r="J310">
        <v>579902902400</v>
      </c>
      <c r="K310">
        <v>5.2664958805423803</v>
      </c>
      <c r="L310">
        <v>181186400</v>
      </c>
      <c r="M310">
        <v>5654247000</v>
      </c>
      <c r="N310">
        <v>73680959200</v>
      </c>
      <c r="O310">
        <v>79335206200</v>
      </c>
      <c r="P310">
        <v>2286600</v>
      </c>
      <c r="Q310">
        <v>28939857000</v>
      </c>
      <c r="R310">
        <v>28942143600</v>
      </c>
      <c r="S310">
        <v>8504900</v>
      </c>
      <c r="T310">
        <v>860830100</v>
      </c>
      <c r="U310">
        <v>350018534900</v>
      </c>
      <c r="V310">
        <v>212461525200</v>
      </c>
      <c r="W310">
        <v>3766700</v>
      </c>
      <c r="X310">
        <v>110111716700</v>
      </c>
    </row>
    <row r="311" spans="1:24" x14ac:dyDescent="0.3">
      <c r="A311">
        <v>135</v>
      </c>
      <c r="B311">
        <v>1048576</v>
      </c>
      <c r="C311">
        <v>5</v>
      </c>
      <c r="D311">
        <v>216</v>
      </c>
      <c r="E311">
        <v>0.5</v>
      </c>
      <c r="F311">
        <v>13</v>
      </c>
      <c r="G311">
        <v>16383</v>
      </c>
      <c r="H311">
        <v>310412</v>
      </c>
      <c r="I311">
        <v>45761659000</v>
      </c>
      <c r="J311">
        <v>225222887900</v>
      </c>
      <c r="K311">
        <v>4.9216504126303597</v>
      </c>
      <c r="L311">
        <v>64861200</v>
      </c>
      <c r="M311">
        <v>5773507800</v>
      </c>
      <c r="N311">
        <v>27787868400</v>
      </c>
      <c r="O311">
        <v>33561376200</v>
      </c>
      <c r="P311">
        <v>879000</v>
      </c>
      <c r="Q311">
        <v>10489286200</v>
      </c>
      <c r="R311">
        <v>10490165200</v>
      </c>
      <c r="S311">
        <v>8063400</v>
      </c>
      <c r="T311">
        <v>852824500</v>
      </c>
      <c r="U311">
        <v>131302289100</v>
      </c>
      <c r="V311">
        <v>76340191600</v>
      </c>
      <c r="W311">
        <v>3817200</v>
      </c>
      <c r="X311">
        <v>45761659000</v>
      </c>
    </row>
    <row r="312" spans="1:24" x14ac:dyDescent="0.3">
      <c r="A312">
        <v>136</v>
      </c>
      <c r="B312">
        <v>1048576</v>
      </c>
      <c r="C312">
        <v>5</v>
      </c>
      <c r="D312">
        <v>216</v>
      </c>
      <c r="E312">
        <v>0.65</v>
      </c>
      <c r="F312">
        <v>13</v>
      </c>
      <c r="G312">
        <v>16383</v>
      </c>
      <c r="H312">
        <v>103468</v>
      </c>
      <c r="I312">
        <v>22160860500</v>
      </c>
      <c r="J312">
        <v>95991509000</v>
      </c>
      <c r="K312">
        <v>4.3315785955152704</v>
      </c>
      <c r="L312">
        <v>22515600</v>
      </c>
      <c r="M312">
        <v>5845016300</v>
      </c>
      <c r="N312">
        <v>11142883500</v>
      </c>
      <c r="O312">
        <v>16987899800</v>
      </c>
      <c r="P312">
        <v>396700</v>
      </c>
      <c r="Q312">
        <v>3503234100</v>
      </c>
      <c r="R312">
        <v>3503630800</v>
      </c>
      <c r="S312">
        <v>7816900</v>
      </c>
      <c r="T312">
        <v>835603100</v>
      </c>
      <c r="U312">
        <v>52948739100</v>
      </c>
      <c r="V312">
        <v>25509465700</v>
      </c>
      <c r="W312">
        <v>3750000</v>
      </c>
      <c r="X312">
        <v>22160860500</v>
      </c>
    </row>
    <row r="313" spans="1:24" x14ac:dyDescent="0.3">
      <c r="A313">
        <v>137</v>
      </c>
      <c r="B313">
        <v>1048576</v>
      </c>
      <c r="C313">
        <v>5</v>
      </c>
      <c r="D313">
        <v>216</v>
      </c>
      <c r="E313">
        <v>0.8</v>
      </c>
      <c r="F313">
        <v>13</v>
      </c>
      <c r="G313">
        <v>16383</v>
      </c>
      <c r="H313">
        <v>59172</v>
      </c>
      <c r="I313">
        <v>15308764300</v>
      </c>
      <c r="J313">
        <v>60026226600</v>
      </c>
      <c r="K313">
        <v>3.9210366966065302</v>
      </c>
      <c r="L313">
        <v>12210300</v>
      </c>
      <c r="M313">
        <v>5875673300</v>
      </c>
      <c r="N313">
        <v>5752035200</v>
      </c>
      <c r="O313">
        <v>11627708500</v>
      </c>
      <c r="P313">
        <v>154200</v>
      </c>
      <c r="Q313">
        <v>2012365200</v>
      </c>
      <c r="R313">
        <v>2012519400</v>
      </c>
      <c r="S313">
        <v>8584600</v>
      </c>
      <c r="T313">
        <v>852664100</v>
      </c>
      <c r="U313">
        <v>27923196300</v>
      </c>
      <c r="V313">
        <v>14541149400</v>
      </c>
      <c r="W313">
        <v>3841600</v>
      </c>
      <c r="X313">
        <v>15308764300</v>
      </c>
    </row>
    <row r="314" spans="1:24" x14ac:dyDescent="0.3">
      <c r="A314">
        <v>138</v>
      </c>
      <c r="B314">
        <v>1048576</v>
      </c>
      <c r="C314">
        <v>5</v>
      </c>
      <c r="D314">
        <v>216</v>
      </c>
      <c r="E314">
        <v>0.95</v>
      </c>
      <c r="F314">
        <v>13</v>
      </c>
      <c r="G314">
        <v>16383</v>
      </c>
      <c r="H314">
        <v>16384</v>
      </c>
      <c r="I314">
        <v>11798059900</v>
      </c>
      <c r="J314">
        <v>39653681000</v>
      </c>
      <c r="K314">
        <v>3.36103404594513</v>
      </c>
      <c r="L314">
        <v>5369700</v>
      </c>
      <c r="M314">
        <v>5901313000</v>
      </c>
      <c r="N314">
        <v>3646849500</v>
      </c>
      <c r="O314">
        <v>9548162500</v>
      </c>
      <c r="P314">
        <v>107800</v>
      </c>
      <c r="Q314">
        <v>582552300</v>
      </c>
      <c r="R314">
        <v>582660100</v>
      </c>
      <c r="S314">
        <v>8050800</v>
      </c>
      <c r="T314">
        <v>819170500</v>
      </c>
      <c r="U314">
        <v>17198752200</v>
      </c>
      <c r="V314">
        <v>4084342000</v>
      </c>
      <c r="W314">
        <v>3784700</v>
      </c>
      <c r="X314">
        <v>11798059900</v>
      </c>
    </row>
    <row r="315" spans="1:24" x14ac:dyDescent="0.3">
      <c r="A315">
        <v>139</v>
      </c>
      <c r="B315">
        <v>1048576</v>
      </c>
      <c r="C315">
        <v>6</v>
      </c>
      <c r="D315">
        <v>343</v>
      </c>
      <c r="E315">
        <v>0.2</v>
      </c>
      <c r="F315">
        <v>12</v>
      </c>
      <c r="G315">
        <v>8191</v>
      </c>
      <c r="H315" s="1">
        <v>2279600</v>
      </c>
      <c r="I315">
        <v>556014363800</v>
      </c>
      <c r="J315">
        <v>3456769910800</v>
      </c>
      <c r="K315">
        <v>6.21705145740337</v>
      </c>
      <c r="L315">
        <v>369505000</v>
      </c>
      <c r="M315">
        <v>13636205200</v>
      </c>
      <c r="N315">
        <v>232248193400</v>
      </c>
      <c r="O315">
        <v>245884398600</v>
      </c>
      <c r="P315">
        <v>5604500</v>
      </c>
      <c r="Q315">
        <v>307734545300</v>
      </c>
      <c r="R315">
        <v>307740149800</v>
      </c>
      <c r="S315">
        <v>21943900</v>
      </c>
      <c r="T315">
        <v>742139100</v>
      </c>
      <c r="U315">
        <v>1079390402900</v>
      </c>
      <c r="V315">
        <v>2354818462100</v>
      </c>
      <c r="W315">
        <v>3813100</v>
      </c>
      <c r="X315">
        <v>556014363800</v>
      </c>
    </row>
    <row r="316" spans="1:24" x14ac:dyDescent="0.3">
      <c r="A316">
        <v>140</v>
      </c>
      <c r="B316">
        <v>1048576</v>
      </c>
      <c r="C316">
        <v>6</v>
      </c>
      <c r="D316">
        <v>343</v>
      </c>
      <c r="E316">
        <v>0.35</v>
      </c>
      <c r="F316">
        <v>12</v>
      </c>
      <c r="G316">
        <v>8191</v>
      </c>
      <c r="H316">
        <v>511120</v>
      </c>
      <c r="I316">
        <v>151076684700</v>
      </c>
      <c r="J316">
        <v>861832363500</v>
      </c>
      <c r="K316">
        <v>5.7046020384374998</v>
      </c>
      <c r="L316">
        <v>101995500</v>
      </c>
      <c r="M316">
        <v>13773407100</v>
      </c>
      <c r="N316">
        <v>66262324700</v>
      </c>
      <c r="O316">
        <v>80035731800</v>
      </c>
      <c r="P316">
        <v>1678000</v>
      </c>
      <c r="Q316">
        <v>68569253900</v>
      </c>
      <c r="R316">
        <v>68570931900</v>
      </c>
      <c r="S316">
        <v>9426700</v>
      </c>
      <c r="T316">
        <v>454026800</v>
      </c>
      <c r="U316">
        <v>311866904100</v>
      </c>
      <c r="V316">
        <v>527834758600</v>
      </c>
      <c r="W316">
        <v>3812400</v>
      </c>
      <c r="X316">
        <v>151076684700</v>
      </c>
    </row>
    <row r="317" spans="1:24" x14ac:dyDescent="0.3">
      <c r="A317">
        <v>141</v>
      </c>
      <c r="B317">
        <v>1048576</v>
      </c>
      <c r="C317">
        <v>6</v>
      </c>
      <c r="D317">
        <v>343</v>
      </c>
      <c r="E317">
        <v>0.5</v>
      </c>
      <c r="F317">
        <v>12</v>
      </c>
      <c r="G317">
        <v>8191</v>
      </c>
      <c r="H317">
        <v>181008</v>
      </c>
      <c r="I317">
        <v>70731548400</v>
      </c>
      <c r="J317">
        <v>352182239500</v>
      </c>
      <c r="K317">
        <v>4.9791394005450602</v>
      </c>
      <c r="L317">
        <v>32693300</v>
      </c>
      <c r="M317">
        <v>13894255900</v>
      </c>
      <c r="N317">
        <v>30593352300</v>
      </c>
      <c r="O317">
        <v>44487608200</v>
      </c>
      <c r="P317">
        <v>615800</v>
      </c>
      <c r="Q317">
        <v>24219085900</v>
      </c>
      <c r="R317">
        <v>24219701700</v>
      </c>
      <c r="S317">
        <v>8543400</v>
      </c>
      <c r="T317">
        <v>766856000</v>
      </c>
      <c r="U317">
        <v>143474267700</v>
      </c>
      <c r="V317">
        <v>187101585300</v>
      </c>
      <c r="W317">
        <v>3785800</v>
      </c>
      <c r="X317">
        <v>70731548400</v>
      </c>
    </row>
    <row r="318" spans="1:24" x14ac:dyDescent="0.3">
      <c r="A318">
        <v>142</v>
      </c>
      <c r="B318">
        <v>1048576</v>
      </c>
      <c r="C318">
        <v>6</v>
      </c>
      <c r="D318">
        <v>343</v>
      </c>
      <c r="E318">
        <v>0.65</v>
      </c>
      <c r="F318">
        <v>12</v>
      </c>
      <c r="G318">
        <v>8191</v>
      </c>
      <c r="H318">
        <v>72776</v>
      </c>
      <c r="I318">
        <v>36646818800</v>
      </c>
      <c r="J318">
        <v>148232816500</v>
      </c>
      <c r="K318">
        <v>4.0449027051701396</v>
      </c>
      <c r="L318">
        <v>12046200</v>
      </c>
      <c r="M318">
        <v>13941783500</v>
      </c>
      <c r="N318">
        <v>10912963800</v>
      </c>
      <c r="O318">
        <v>24854747300</v>
      </c>
      <c r="P318">
        <v>248600</v>
      </c>
      <c r="Q318">
        <v>9793359700</v>
      </c>
      <c r="R318">
        <v>9793608300</v>
      </c>
      <c r="S318">
        <v>8569200</v>
      </c>
      <c r="T318">
        <v>831038300</v>
      </c>
      <c r="U318">
        <v>50952127600</v>
      </c>
      <c r="V318">
        <v>75320330800</v>
      </c>
      <c r="W318">
        <v>3801500</v>
      </c>
      <c r="X318">
        <v>36646818800</v>
      </c>
    </row>
    <row r="319" spans="1:24" x14ac:dyDescent="0.3">
      <c r="A319">
        <v>143</v>
      </c>
      <c r="B319">
        <v>1048576</v>
      </c>
      <c r="C319">
        <v>6</v>
      </c>
      <c r="D319">
        <v>343</v>
      </c>
      <c r="E319">
        <v>0.8</v>
      </c>
      <c r="F319">
        <v>12</v>
      </c>
      <c r="G319">
        <v>8191</v>
      </c>
      <c r="H319">
        <v>36280</v>
      </c>
      <c r="I319">
        <v>26835048700</v>
      </c>
      <c r="J319">
        <v>87709869100</v>
      </c>
      <c r="K319">
        <v>3.2684818306292098</v>
      </c>
      <c r="L319">
        <v>6199900</v>
      </c>
      <c r="M319">
        <v>13894035200</v>
      </c>
      <c r="N319">
        <v>6026845700</v>
      </c>
      <c r="O319">
        <v>19920880900</v>
      </c>
      <c r="P319">
        <v>190700</v>
      </c>
      <c r="Q319">
        <v>4884571000</v>
      </c>
      <c r="R319">
        <v>4884761700</v>
      </c>
      <c r="S319">
        <v>21788700</v>
      </c>
      <c r="T319">
        <v>801864400</v>
      </c>
      <c r="U319">
        <v>28412553400</v>
      </c>
      <c r="V319">
        <v>37304934800</v>
      </c>
      <c r="W319">
        <v>3764900</v>
      </c>
      <c r="X319">
        <v>26835048700</v>
      </c>
    </row>
    <row r="320" spans="1:24" x14ac:dyDescent="0.3">
      <c r="A320">
        <v>144</v>
      </c>
      <c r="B320">
        <v>1048576</v>
      </c>
      <c r="C320">
        <v>6</v>
      </c>
      <c r="D320">
        <v>343</v>
      </c>
      <c r="E320">
        <v>0.95</v>
      </c>
      <c r="F320">
        <v>12</v>
      </c>
      <c r="G320">
        <v>8191</v>
      </c>
      <c r="H320">
        <v>24576</v>
      </c>
      <c r="I320">
        <v>21236964300</v>
      </c>
      <c r="J320">
        <v>56192521600</v>
      </c>
      <c r="K320">
        <v>2.6459771183021599</v>
      </c>
      <c r="L320">
        <v>3267500</v>
      </c>
      <c r="M320">
        <v>13978174500</v>
      </c>
      <c r="N320">
        <v>1911409700</v>
      </c>
      <c r="O320">
        <v>15889584200</v>
      </c>
      <c r="P320">
        <v>163600</v>
      </c>
      <c r="Q320">
        <v>3326300400</v>
      </c>
      <c r="R320">
        <v>3326464000</v>
      </c>
      <c r="S320">
        <v>7980500</v>
      </c>
      <c r="T320">
        <v>797896000</v>
      </c>
      <c r="U320">
        <v>8964929000</v>
      </c>
      <c r="V320">
        <v>25363039200</v>
      </c>
      <c r="W320">
        <v>3830600</v>
      </c>
      <c r="X320">
        <v>21236964300</v>
      </c>
    </row>
    <row r="321" spans="1:24" x14ac:dyDescent="0.3">
      <c r="A321">
        <v>145</v>
      </c>
      <c r="B321">
        <v>1048576</v>
      </c>
      <c r="C321">
        <v>7</v>
      </c>
      <c r="D321">
        <v>512</v>
      </c>
      <c r="E321">
        <v>0.2</v>
      </c>
      <c r="F321">
        <v>11</v>
      </c>
      <c r="G321">
        <v>4095</v>
      </c>
      <c r="H321">
        <v>958192</v>
      </c>
      <c r="I321">
        <v>689750648200</v>
      </c>
      <c r="J321">
        <v>5061157169200</v>
      </c>
      <c r="K321">
        <v>7.3376620702101398</v>
      </c>
      <c r="L321">
        <v>139096200</v>
      </c>
      <c r="M321">
        <v>16609047300</v>
      </c>
      <c r="N321">
        <v>152045931400</v>
      </c>
      <c r="O321">
        <v>168654978700</v>
      </c>
      <c r="P321">
        <v>2604300</v>
      </c>
      <c r="Q321">
        <v>518966410600</v>
      </c>
      <c r="R321">
        <v>518969014900</v>
      </c>
      <c r="S321">
        <v>9523500</v>
      </c>
      <c r="T321">
        <v>799376800</v>
      </c>
      <c r="U321">
        <v>810105929400</v>
      </c>
      <c r="V321">
        <v>4225031503900</v>
      </c>
      <c r="W321">
        <v>3837700</v>
      </c>
      <c r="X321">
        <v>689750648200</v>
      </c>
    </row>
    <row r="322" spans="1:24" x14ac:dyDescent="0.3">
      <c r="A322">
        <v>146</v>
      </c>
      <c r="B322">
        <v>1048576</v>
      </c>
      <c r="C322">
        <v>7</v>
      </c>
      <c r="D322">
        <v>512</v>
      </c>
      <c r="E322">
        <v>0.35</v>
      </c>
      <c r="F322">
        <v>11</v>
      </c>
      <c r="G322">
        <v>4095</v>
      </c>
      <c r="H322">
        <v>216780</v>
      </c>
      <c r="I322">
        <v>198046893200</v>
      </c>
      <c r="J322">
        <v>1312396589900</v>
      </c>
      <c r="K322">
        <v>6.6266961763174903</v>
      </c>
      <c r="L322">
        <v>37454800</v>
      </c>
      <c r="M322">
        <v>16560967000</v>
      </c>
      <c r="N322">
        <v>62021410500</v>
      </c>
      <c r="O322">
        <v>78582377500</v>
      </c>
      <c r="P322">
        <v>646600</v>
      </c>
      <c r="Q322">
        <v>117404872400</v>
      </c>
      <c r="R322">
        <v>117405519000</v>
      </c>
      <c r="S322">
        <v>24629600</v>
      </c>
      <c r="T322">
        <v>697452800</v>
      </c>
      <c r="U322">
        <v>331899526500</v>
      </c>
      <c r="V322">
        <v>954861511600</v>
      </c>
      <c r="W322">
        <v>3841400</v>
      </c>
      <c r="X322">
        <v>198046893200</v>
      </c>
    </row>
    <row r="323" spans="1:24" x14ac:dyDescent="0.3">
      <c r="A323">
        <v>147</v>
      </c>
      <c r="B323">
        <v>1048576</v>
      </c>
      <c r="C323">
        <v>7</v>
      </c>
      <c r="D323">
        <v>512</v>
      </c>
      <c r="E323">
        <v>0.5</v>
      </c>
      <c r="F323">
        <v>11</v>
      </c>
      <c r="G323">
        <v>4095</v>
      </c>
      <c r="H323">
        <v>90592</v>
      </c>
      <c r="I323">
        <v>91420194600</v>
      </c>
      <c r="J323">
        <v>555197334900</v>
      </c>
      <c r="K323">
        <v>6.0730272707163904</v>
      </c>
      <c r="L323">
        <v>15147300</v>
      </c>
      <c r="M323">
        <v>16572783900</v>
      </c>
      <c r="N323">
        <v>24261089800</v>
      </c>
      <c r="O323">
        <v>40833873700</v>
      </c>
      <c r="P323">
        <v>265800</v>
      </c>
      <c r="Q323">
        <v>48576344000</v>
      </c>
      <c r="R323">
        <v>48576609800</v>
      </c>
      <c r="S323">
        <v>8521400</v>
      </c>
      <c r="T323">
        <v>753243200</v>
      </c>
      <c r="U323">
        <v>130007192900</v>
      </c>
      <c r="V323">
        <v>399226386700</v>
      </c>
      <c r="W323">
        <v>3856400</v>
      </c>
      <c r="X323">
        <v>91420194600</v>
      </c>
    </row>
    <row r="324" spans="1:24" x14ac:dyDescent="0.3">
      <c r="A324">
        <v>148</v>
      </c>
      <c r="B324">
        <v>1048576</v>
      </c>
      <c r="C324">
        <v>7</v>
      </c>
      <c r="D324">
        <v>512</v>
      </c>
      <c r="E324">
        <v>0.65</v>
      </c>
      <c r="F324">
        <v>11</v>
      </c>
      <c r="G324">
        <v>4095</v>
      </c>
      <c r="H324">
        <v>31584</v>
      </c>
      <c r="I324">
        <v>46011444700</v>
      </c>
      <c r="J324">
        <v>221280430500</v>
      </c>
      <c r="K324">
        <v>4.8092476109536202</v>
      </c>
      <c r="L324">
        <v>5855200</v>
      </c>
      <c r="M324">
        <v>16568963000</v>
      </c>
      <c r="N324">
        <v>10480480500</v>
      </c>
      <c r="O324">
        <v>27049443500</v>
      </c>
      <c r="P324">
        <v>194100</v>
      </c>
      <c r="Q324">
        <v>16959371800</v>
      </c>
      <c r="R324">
        <v>16959565900</v>
      </c>
      <c r="S324">
        <v>8515100</v>
      </c>
      <c r="T324">
        <v>763467700</v>
      </c>
      <c r="U324">
        <v>56258424400</v>
      </c>
      <c r="V324">
        <v>138969123000</v>
      </c>
      <c r="W324">
        <v>3783900</v>
      </c>
      <c r="X324">
        <v>46011444700</v>
      </c>
    </row>
    <row r="325" spans="1:24" x14ac:dyDescent="0.3">
      <c r="A325">
        <v>149</v>
      </c>
      <c r="B325">
        <v>1048576</v>
      </c>
      <c r="C325">
        <v>7</v>
      </c>
      <c r="D325">
        <v>512</v>
      </c>
      <c r="E325">
        <v>0.8</v>
      </c>
      <c r="F325">
        <v>11</v>
      </c>
      <c r="G325">
        <v>4095</v>
      </c>
      <c r="H325">
        <v>15580</v>
      </c>
      <c r="I325">
        <v>33624821300</v>
      </c>
      <c r="J325">
        <v>129176599400</v>
      </c>
      <c r="K325">
        <v>3.8417036702586098</v>
      </c>
      <c r="L325">
        <v>3156200</v>
      </c>
      <c r="M325">
        <v>16718324400</v>
      </c>
      <c r="N325">
        <v>6503861600</v>
      </c>
      <c r="O325">
        <v>23222186000</v>
      </c>
      <c r="P325">
        <v>161300</v>
      </c>
      <c r="Q325">
        <v>8413192900</v>
      </c>
      <c r="R325">
        <v>8413354200</v>
      </c>
      <c r="S325">
        <v>7988900</v>
      </c>
      <c r="T325">
        <v>765116000</v>
      </c>
      <c r="U325">
        <v>34858149400</v>
      </c>
      <c r="V325">
        <v>68570471400</v>
      </c>
      <c r="W325">
        <v>3803500</v>
      </c>
      <c r="X325">
        <v>33624821300</v>
      </c>
    </row>
    <row r="326" spans="1:24" x14ac:dyDescent="0.3">
      <c r="A326">
        <v>150</v>
      </c>
      <c r="B326">
        <v>1048576</v>
      </c>
      <c r="C326">
        <v>7</v>
      </c>
      <c r="D326">
        <v>512</v>
      </c>
      <c r="E326">
        <v>0.95</v>
      </c>
      <c r="F326">
        <v>11</v>
      </c>
      <c r="G326">
        <v>4095</v>
      </c>
      <c r="H326">
        <v>8192</v>
      </c>
      <c r="I326">
        <v>25335472700</v>
      </c>
      <c r="J326">
        <v>74063691300</v>
      </c>
      <c r="K326">
        <v>2.9233198913237501</v>
      </c>
      <c r="L326">
        <v>1354400</v>
      </c>
      <c r="M326">
        <v>16666918000</v>
      </c>
      <c r="N326">
        <v>2252478500</v>
      </c>
      <c r="O326">
        <v>18919396500</v>
      </c>
      <c r="P326">
        <v>146700</v>
      </c>
      <c r="Q326">
        <v>4426594800</v>
      </c>
      <c r="R326">
        <v>4426741500</v>
      </c>
      <c r="S326">
        <v>7791800</v>
      </c>
      <c r="T326">
        <v>759664600</v>
      </c>
      <c r="U326">
        <v>11974417600</v>
      </c>
      <c r="V326">
        <v>36036629400</v>
      </c>
      <c r="W326">
        <v>3799700</v>
      </c>
      <c r="X326">
        <v>25335472700</v>
      </c>
    </row>
    <row r="327" spans="1:24" x14ac:dyDescent="0.3">
      <c r="A327">
        <v>1</v>
      </c>
      <c r="B327">
        <v>65536</v>
      </c>
      <c r="C327">
        <v>3</v>
      </c>
      <c r="D327">
        <v>64</v>
      </c>
      <c r="E327">
        <v>0.2</v>
      </c>
      <c r="F327">
        <v>10</v>
      </c>
      <c r="G327">
        <v>2047</v>
      </c>
      <c r="H327">
        <v>322584</v>
      </c>
      <c r="I327">
        <v>4689043700</v>
      </c>
      <c r="J327">
        <v>26514244300</v>
      </c>
      <c r="K327">
        <v>5.6545099590349297</v>
      </c>
      <c r="L327">
        <v>54040500</v>
      </c>
      <c r="M327">
        <v>75547100</v>
      </c>
      <c r="N327">
        <v>1347849900</v>
      </c>
      <c r="O327">
        <v>1423397000</v>
      </c>
      <c r="P327">
        <v>874300</v>
      </c>
      <c r="Q327">
        <v>2741583600</v>
      </c>
      <c r="R327">
        <v>2742457900</v>
      </c>
      <c r="S327">
        <v>750700</v>
      </c>
      <c r="T327">
        <v>24826000</v>
      </c>
      <c r="U327">
        <v>6759579400</v>
      </c>
      <c r="V327">
        <v>19364832900</v>
      </c>
      <c r="W327">
        <v>139600</v>
      </c>
      <c r="X327">
        <v>4689043700</v>
      </c>
    </row>
    <row r="328" spans="1:24" x14ac:dyDescent="0.3">
      <c r="A328">
        <v>2</v>
      </c>
      <c r="B328">
        <v>65536</v>
      </c>
      <c r="C328">
        <v>3</v>
      </c>
      <c r="D328">
        <v>64</v>
      </c>
      <c r="E328">
        <v>0.35</v>
      </c>
      <c r="F328">
        <v>10</v>
      </c>
      <c r="G328">
        <v>2047</v>
      </c>
      <c r="H328">
        <v>86588</v>
      </c>
      <c r="I328">
        <v>1958381000</v>
      </c>
      <c r="J328">
        <v>8189221300</v>
      </c>
      <c r="K328">
        <v>4.1816282429210601</v>
      </c>
      <c r="L328">
        <v>15992600</v>
      </c>
      <c r="M328">
        <v>136937300</v>
      </c>
      <c r="N328">
        <v>593304800</v>
      </c>
      <c r="O328">
        <v>730242100</v>
      </c>
      <c r="P328">
        <v>184700</v>
      </c>
      <c r="Q328">
        <v>727929400</v>
      </c>
      <c r="R328">
        <v>728114100</v>
      </c>
      <c r="S328">
        <v>1202400</v>
      </c>
      <c r="T328">
        <v>25757800</v>
      </c>
      <c r="U328">
        <v>2736472200</v>
      </c>
      <c r="V328">
        <v>5095055200</v>
      </c>
      <c r="W328">
        <v>139600</v>
      </c>
      <c r="X328">
        <v>1958381000</v>
      </c>
    </row>
    <row r="329" spans="1:24" x14ac:dyDescent="0.3">
      <c r="A329">
        <v>3</v>
      </c>
      <c r="B329">
        <v>65536</v>
      </c>
      <c r="C329">
        <v>3</v>
      </c>
      <c r="D329">
        <v>64</v>
      </c>
      <c r="E329">
        <v>0.5</v>
      </c>
      <c r="F329">
        <v>10</v>
      </c>
      <c r="G329">
        <v>2047</v>
      </c>
      <c r="H329">
        <v>33704</v>
      </c>
      <c r="I329">
        <v>754203000</v>
      </c>
      <c r="J329">
        <v>3505925400</v>
      </c>
      <c r="K329">
        <v>4.6485169112294704</v>
      </c>
      <c r="L329">
        <v>6376900</v>
      </c>
      <c r="M329">
        <v>140393900</v>
      </c>
      <c r="N329">
        <v>280959800</v>
      </c>
      <c r="O329">
        <v>421353700</v>
      </c>
      <c r="P329">
        <v>101700</v>
      </c>
      <c r="Q329">
        <v>295210100</v>
      </c>
      <c r="R329">
        <v>295311800</v>
      </c>
      <c r="S329">
        <v>673300</v>
      </c>
      <c r="T329">
        <v>15098200</v>
      </c>
      <c r="U329">
        <v>1179851000</v>
      </c>
      <c r="V329">
        <v>1970566600</v>
      </c>
      <c r="W329">
        <v>138400</v>
      </c>
      <c r="X329">
        <v>754203000</v>
      </c>
    </row>
    <row r="330" spans="1:24" x14ac:dyDescent="0.3">
      <c r="A330">
        <v>4</v>
      </c>
      <c r="B330">
        <v>65536</v>
      </c>
      <c r="C330">
        <v>3</v>
      </c>
      <c r="D330">
        <v>64</v>
      </c>
      <c r="E330">
        <v>0.65</v>
      </c>
      <c r="F330">
        <v>10</v>
      </c>
      <c r="G330">
        <v>2047</v>
      </c>
      <c r="H330">
        <v>12016</v>
      </c>
      <c r="I330">
        <v>485982900</v>
      </c>
      <c r="J330">
        <v>1668121100</v>
      </c>
      <c r="K330">
        <v>3.4324687144341901</v>
      </c>
      <c r="L330">
        <v>3001800</v>
      </c>
      <c r="M330">
        <v>189820200</v>
      </c>
      <c r="N330">
        <v>137595300</v>
      </c>
      <c r="O330">
        <v>327415500</v>
      </c>
      <c r="P330">
        <v>65500</v>
      </c>
      <c r="Q330">
        <v>122226900</v>
      </c>
      <c r="R330">
        <v>122292400</v>
      </c>
      <c r="S330">
        <v>761400</v>
      </c>
      <c r="T330">
        <v>15296200</v>
      </c>
      <c r="U330">
        <v>586079500</v>
      </c>
      <c r="V330">
        <v>741055700</v>
      </c>
      <c r="W330">
        <v>161200</v>
      </c>
      <c r="X330">
        <v>485982900</v>
      </c>
    </row>
    <row r="331" spans="1:24" x14ac:dyDescent="0.3">
      <c r="A331">
        <v>5</v>
      </c>
      <c r="B331">
        <v>65536</v>
      </c>
      <c r="C331">
        <v>3</v>
      </c>
      <c r="D331">
        <v>64</v>
      </c>
      <c r="E331">
        <v>0.8</v>
      </c>
      <c r="F331">
        <v>10</v>
      </c>
      <c r="G331">
        <v>2047</v>
      </c>
      <c r="H331">
        <v>6824</v>
      </c>
      <c r="I331">
        <v>376925500</v>
      </c>
      <c r="J331">
        <v>1096931100</v>
      </c>
      <c r="K331">
        <v>2.91020665887556</v>
      </c>
      <c r="L331">
        <v>1611600</v>
      </c>
      <c r="M331">
        <v>183483600</v>
      </c>
      <c r="N331">
        <v>82077800</v>
      </c>
      <c r="O331">
        <v>265561400</v>
      </c>
      <c r="P331">
        <v>51200</v>
      </c>
      <c r="Q331">
        <v>75696800</v>
      </c>
      <c r="R331">
        <v>75748000</v>
      </c>
      <c r="S331">
        <v>662000</v>
      </c>
      <c r="T331">
        <v>14508200</v>
      </c>
      <c r="U331">
        <v>338760300</v>
      </c>
      <c r="V331">
        <v>424367400</v>
      </c>
      <c r="W331">
        <v>140700</v>
      </c>
      <c r="X331">
        <v>376925500</v>
      </c>
    </row>
    <row r="332" spans="1:24" x14ac:dyDescent="0.3">
      <c r="A332">
        <v>6</v>
      </c>
      <c r="B332">
        <v>65536</v>
      </c>
      <c r="C332">
        <v>3</v>
      </c>
      <c r="D332">
        <v>64</v>
      </c>
      <c r="E332">
        <v>0.95</v>
      </c>
      <c r="F332">
        <v>10</v>
      </c>
      <c r="G332">
        <v>2047</v>
      </c>
      <c r="H332">
        <v>2048</v>
      </c>
      <c r="I332">
        <v>303987100</v>
      </c>
      <c r="J332">
        <v>730309900</v>
      </c>
      <c r="K332">
        <v>2.4024371428919098</v>
      </c>
      <c r="L332">
        <v>763800</v>
      </c>
      <c r="M332">
        <v>194646700</v>
      </c>
      <c r="N332">
        <v>49701700</v>
      </c>
      <c r="O332">
        <v>244348400</v>
      </c>
      <c r="P332">
        <v>56400</v>
      </c>
      <c r="Q332">
        <v>24758300</v>
      </c>
      <c r="R332">
        <v>24814700</v>
      </c>
      <c r="S332">
        <v>754600</v>
      </c>
      <c r="T332">
        <v>14083700</v>
      </c>
      <c r="U332">
        <v>226201700</v>
      </c>
      <c r="V332">
        <v>125185900</v>
      </c>
      <c r="W332">
        <v>178300</v>
      </c>
      <c r="X332">
        <v>303987100</v>
      </c>
    </row>
    <row r="333" spans="1:24" x14ac:dyDescent="0.3">
      <c r="A333">
        <v>7</v>
      </c>
      <c r="B333">
        <v>65536</v>
      </c>
      <c r="C333">
        <v>4</v>
      </c>
      <c r="D333">
        <v>125</v>
      </c>
      <c r="E333">
        <v>0.2</v>
      </c>
      <c r="F333">
        <v>10</v>
      </c>
      <c r="G333">
        <v>2047</v>
      </c>
      <c r="H333">
        <v>321036</v>
      </c>
      <c r="I333">
        <v>7495946100</v>
      </c>
      <c r="J333">
        <v>44835998400</v>
      </c>
      <c r="K333">
        <v>5.9813661680411396</v>
      </c>
      <c r="L333">
        <v>52645900</v>
      </c>
      <c r="M333">
        <v>283288300</v>
      </c>
      <c r="N333">
        <v>4299030600</v>
      </c>
      <c r="O333">
        <v>4582318900</v>
      </c>
      <c r="P333">
        <v>3487900</v>
      </c>
      <c r="Q333">
        <v>2802822200</v>
      </c>
      <c r="R333">
        <v>2806310100</v>
      </c>
      <c r="S333">
        <v>728000</v>
      </c>
      <c r="T333">
        <v>349244700</v>
      </c>
      <c r="U333">
        <v>24771038100</v>
      </c>
      <c r="V333">
        <v>18946494700</v>
      </c>
      <c r="W333">
        <v>140000</v>
      </c>
      <c r="X333">
        <v>7495946100</v>
      </c>
    </row>
    <row r="334" spans="1:24" x14ac:dyDescent="0.3">
      <c r="A334">
        <v>8</v>
      </c>
      <c r="B334">
        <v>65536</v>
      </c>
      <c r="C334">
        <v>4</v>
      </c>
      <c r="D334">
        <v>125</v>
      </c>
      <c r="E334">
        <v>0.35</v>
      </c>
      <c r="F334">
        <v>10</v>
      </c>
      <c r="G334">
        <v>2047</v>
      </c>
      <c r="H334">
        <v>86636</v>
      </c>
      <c r="I334">
        <v>3376410400</v>
      </c>
      <c r="J334">
        <v>16574589500</v>
      </c>
      <c r="K334">
        <v>4.90893805444977</v>
      </c>
      <c r="L334">
        <v>16532200</v>
      </c>
      <c r="M334">
        <v>282906500</v>
      </c>
      <c r="N334">
        <v>1784851800</v>
      </c>
      <c r="O334">
        <v>2067758300</v>
      </c>
      <c r="P334">
        <v>189200</v>
      </c>
      <c r="Q334">
        <v>756930900</v>
      </c>
      <c r="R334">
        <v>757120100</v>
      </c>
      <c r="S334">
        <v>711400</v>
      </c>
      <c r="T334">
        <v>21959200</v>
      </c>
      <c r="U334">
        <v>10653008100</v>
      </c>
      <c r="V334">
        <v>5134281700</v>
      </c>
      <c r="W334">
        <v>141700</v>
      </c>
      <c r="X334">
        <v>3376410400</v>
      </c>
    </row>
    <row r="335" spans="1:24" x14ac:dyDescent="0.3">
      <c r="A335">
        <v>9</v>
      </c>
      <c r="B335">
        <v>65536</v>
      </c>
      <c r="C335">
        <v>4</v>
      </c>
      <c r="D335">
        <v>125</v>
      </c>
      <c r="E335">
        <v>0.5</v>
      </c>
      <c r="F335">
        <v>10</v>
      </c>
      <c r="G335">
        <v>2047</v>
      </c>
      <c r="H335">
        <v>33540</v>
      </c>
      <c r="I335">
        <v>1905954400</v>
      </c>
      <c r="J335">
        <v>7095947600</v>
      </c>
      <c r="K335">
        <v>3.7230416425492598</v>
      </c>
      <c r="L335">
        <v>6045400</v>
      </c>
      <c r="M335">
        <v>290360200</v>
      </c>
      <c r="N335">
        <v>784784400</v>
      </c>
      <c r="O335">
        <v>1075144600</v>
      </c>
      <c r="P335">
        <v>112200</v>
      </c>
      <c r="Q335">
        <v>293752200</v>
      </c>
      <c r="R335">
        <v>293864400</v>
      </c>
      <c r="S335">
        <v>678200</v>
      </c>
      <c r="T335">
        <v>21721400</v>
      </c>
      <c r="U335">
        <v>4361696500</v>
      </c>
      <c r="V335">
        <v>1973035600</v>
      </c>
      <c r="W335">
        <v>144100</v>
      </c>
      <c r="X335">
        <v>1905954400</v>
      </c>
    </row>
    <row r="336" spans="1:24" x14ac:dyDescent="0.3">
      <c r="A336">
        <v>10</v>
      </c>
      <c r="B336">
        <v>65536</v>
      </c>
      <c r="C336">
        <v>4</v>
      </c>
      <c r="D336">
        <v>125</v>
      </c>
      <c r="E336">
        <v>0.65</v>
      </c>
      <c r="F336">
        <v>10</v>
      </c>
      <c r="G336">
        <v>2047</v>
      </c>
      <c r="H336">
        <v>11912</v>
      </c>
      <c r="I336">
        <v>828657900</v>
      </c>
      <c r="J336">
        <v>3466736300</v>
      </c>
      <c r="K336">
        <v>4.1835554817011902</v>
      </c>
      <c r="L336">
        <v>2823600</v>
      </c>
      <c r="M336">
        <v>289232300</v>
      </c>
      <c r="N336">
        <v>374152200</v>
      </c>
      <c r="O336">
        <v>663384500</v>
      </c>
      <c r="P336">
        <v>72900</v>
      </c>
      <c r="Q336">
        <v>104742100</v>
      </c>
      <c r="R336">
        <v>104815000</v>
      </c>
      <c r="S336">
        <v>728500</v>
      </c>
      <c r="T336">
        <v>26386000</v>
      </c>
      <c r="U336">
        <v>1998939700</v>
      </c>
      <c r="V336">
        <v>709349600</v>
      </c>
      <c r="W336">
        <v>140300</v>
      </c>
      <c r="X336">
        <v>828657900</v>
      </c>
    </row>
    <row r="337" spans="1:24" x14ac:dyDescent="0.3">
      <c r="A337">
        <v>11</v>
      </c>
      <c r="B337">
        <v>65536</v>
      </c>
      <c r="C337">
        <v>4</v>
      </c>
      <c r="D337">
        <v>125</v>
      </c>
      <c r="E337">
        <v>0.8</v>
      </c>
      <c r="F337">
        <v>10</v>
      </c>
      <c r="G337">
        <v>2047</v>
      </c>
      <c r="H337">
        <v>6712</v>
      </c>
      <c r="I337">
        <v>662200900</v>
      </c>
      <c r="J337">
        <v>2669075900</v>
      </c>
      <c r="K337">
        <v>4.0306135192507204</v>
      </c>
      <c r="L337">
        <v>1655200</v>
      </c>
      <c r="M337">
        <v>309289500</v>
      </c>
      <c r="N337">
        <v>231795000</v>
      </c>
      <c r="O337">
        <v>541084500</v>
      </c>
      <c r="P337">
        <v>65400</v>
      </c>
      <c r="Q337">
        <v>63867300</v>
      </c>
      <c r="R337">
        <v>63932700</v>
      </c>
      <c r="S337">
        <v>762000</v>
      </c>
      <c r="T337">
        <v>21419000</v>
      </c>
      <c r="U337">
        <v>1192482400</v>
      </c>
      <c r="V337">
        <v>396379500</v>
      </c>
      <c r="W337">
        <v>167700</v>
      </c>
      <c r="X337">
        <v>662200900</v>
      </c>
    </row>
    <row r="338" spans="1:24" x14ac:dyDescent="0.3">
      <c r="A338">
        <v>12</v>
      </c>
      <c r="B338">
        <v>65536</v>
      </c>
      <c r="C338">
        <v>4</v>
      </c>
      <c r="D338">
        <v>125</v>
      </c>
      <c r="E338">
        <v>0.95</v>
      </c>
      <c r="F338">
        <v>10</v>
      </c>
      <c r="G338">
        <v>2047</v>
      </c>
      <c r="H338">
        <v>2056</v>
      </c>
      <c r="I338">
        <v>534497700</v>
      </c>
      <c r="J338">
        <v>1623487900</v>
      </c>
      <c r="K338">
        <v>3.0374085800556299</v>
      </c>
      <c r="L338">
        <v>898200</v>
      </c>
      <c r="M338">
        <v>306060500</v>
      </c>
      <c r="N338">
        <v>149368200</v>
      </c>
      <c r="O338">
        <v>455428700</v>
      </c>
      <c r="P338">
        <v>87000</v>
      </c>
      <c r="Q338">
        <v>20925200</v>
      </c>
      <c r="R338">
        <v>21012200</v>
      </c>
      <c r="S338">
        <v>712700</v>
      </c>
      <c r="T338">
        <v>21833300</v>
      </c>
      <c r="U338">
        <v>735614600</v>
      </c>
      <c r="V338">
        <v>123914700</v>
      </c>
      <c r="W338">
        <v>167400</v>
      </c>
      <c r="X338">
        <v>534497700</v>
      </c>
    </row>
    <row r="339" spans="1:24" x14ac:dyDescent="0.3">
      <c r="A339">
        <v>13</v>
      </c>
      <c r="B339">
        <v>65536</v>
      </c>
      <c r="C339">
        <v>5</v>
      </c>
      <c r="D339">
        <v>216</v>
      </c>
      <c r="E339">
        <v>0.2</v>
      </c>
      <c r="F339">
        <v>9</v>
      </c>
      <c r="G339">
        <v>1023</v>
      </c>
      <c r="H339">
        <v>162328</v>
      </c>
      <c r="I339">
        <v>8871831000</v>
      </c>
      <c r="J339">
        <v>54153849300</v>
      </c>
      <c r="K339">
        <v>6.1040217402698396</v>
      </c>
      <c r="L339">
        <v>21272700</v>
      </c>
      <c r="M339">
        <v>509063000</v>
      </c>
      <c r="N339">
        <v>2850295300</v>
      </c>
      <c r="O339">
        <v>3359358300</v>
      </c>
      <c r="P339">
        <v>543700</v>
      </c>
      <c r="Q339">
        <v>5416426100</v>
      </c>
      <c r="R339">
        <v>5416969800</v>
      </c>
      <c r="S339">
        <v>723300</v>
      </c>
      <c r="T339">
        <v>15209600</v>
      </c>
      <c r="U339">
        <v>13649708500</v>
      </c>
      <c r="V339">
        <v>39413537600</v>
      </c>
      <c r="W339">
        <v>148000</v>
      </c>
      <c r="X339">
        <v>8871831000</v>
      </c>
    </row>
    <row r="340" spans="1:24" x14ac:dyDescent="0.3">
      <c r="A340">
        <v>14</v>
      </c>
      <c r="B340">
        <v>65536</v>
      </c>
      <c r="C340">
        <v>5</v>
      </c>
      <c r="D340">
        <v>216</v>
      </c>
      <c r="E340">
        <v>0.35</v>
      </c>
      <c r="F340">
        <v>9</v>
      </c>
      <c r="G340">
        <v>1023</v>
      </c>
      <c r="H340">
        <v>48708</v>
      </c>
      <c r="I340">
        <v>4536654000</v>
      </c>
      <c r="J340">
        <v>22041394600</v>
      </c>
      <c r="K340">
        <v>4.8585134771133003</v>
      </c>
      <c r="L340">
        <v>6998300</v>
      </c>
      <c r="M340">
        <v>501541500</v>
      </c>
      <c r="N340">
        <v>1850828100</v>
      </c>
      <c r="O340">
        <v>2352369600</v>
      </c>
      <c r="P340">
        <v>120800</v>
      </c>
      <c r="Q340">
        <v>1627835000</v>
      </c>
      <c r="R340">
        <v>1627955800</v>
      </c>
      <c r="S340">
        <v>708900</v>
      </c>
      <c r="T340">
        <v>14684400</v>
      </c>
      <c r="U340">
        <v>8881729700</v>
      </c>
      <c r="V340">
        <v>11797389500</v>
      </c>
      <c r="W340">
        <v>167600</v>
      </c>
      <c r="X340">
        <v>4536654000</v>
      </c>
    </row>
    <row r="341" spans="1:24" x14ac:dyDescent="0.3">
      <c r="A341">
        <v>15</v>
      </c>
      <c r="B341">
        <v>65536</v>
      </c>
      <c r="C341">
        <v>5</v>
      </c>
      <c r="D341">
        <v>216</v>
      </c>
      <c r="E341">
        <v>0.5</v>
      </c>
      <c r="F341">
        <v>9</v>
      </c>
      <c r="G341">
        <v>1023</v>
      </c>
      <c r="H341">
        <v>19244</v>
      </c>
      <c r="I341">
        <v>2743985500</v>
      </c>
      <c r="J341">
        <v>10848772100</v>
      </c>
      <c r="K341">
        <v>3.9536550393578902</v>
      </c>
      <c r="L341">
        <v>2991600</v>
      </c>
      <c r="M341">
        <v>505060200</v>
      </c>
      <c r="N341">
        <v>1057715100</v>
      </c>
      <c r="O341">
        <v>1562775300</v>
      </c>
      <c r="P341">
        <v>107800</v>
      </c>
      <c r="Q341">
        <v>643919300</v>
      </c>
      <c r="R341">
        <v>644027100</v>
      </c>
      <c r="S341">
        <v>751100</v>
      </c>
      <c r="T341">
        <v>20769100</v>
      </c>
      <c r="U341">
        <v>5080684900</v>
      </c>
      <c r="V341">
        <v>4691012300</v>
      </c>
      <c r="W341">
        <v>148200</v>
      </c>
      <c r="X341">
        <v>2743985500</v>
      </c>
    </row>
    <row r="342" spans="1:24" x14ac:dyDescent="0.3">
      <c r="A342">
        <v>16</v>
      </c>
      <c r="B342">
        <v>65536</v>
      </c>
      <c r="C342">
        <v>5</v>
      </c>
      <c r="D342">
        <v>216</v>
      </c>
      <c r="E342">
        <v>0.65</v>
      </c>
      <c r="F342">
        <v>9</v>
      </c>
      <c r="G342">
        <v>1023</v>
      </c>
      <c r="H342">
        <v>8300</v>
      </c>
      <c r="I342">
        <v>1963946500</v>
      </c>
      <c r="J342">
        <v>5378260100</v>
      </c>
      <c r="K342">
        <v>2.7384962370410801</v>
      </c>
      <c r="L342">
        <v>1451700</v>
      </c>
      <c r="M342">
        <v>510067500</v>
      </c>
      <c r="N342">
        <v>459524600</v>
      </c>
      <c r="O342">
        <v>969592100</v>
      </c>
      <c r="P342">
        <v>74600</v>
      </c>
      <c r="Q342">
        <v>279478000</v>
      </c>
      <c r="R342">
        <v>279552600</v>
      </c>
      <c r="S342">
        <v>706700</v>
      </c>
      <c r="T342">
        <v>19763100</v>
      </c>
      <c r="U342">
        <v>2246644800</v>
      </c>
      <c r="V342">
        <v>2051907000</v>
      </c>
      <c r="W342">
        <v>148500</v>
      </c>
      <c r="X342">
        <v>1963946500</v>
      </c>
    </row>
    <row r="343" spans="1:24" x14ac:dyDescent="0.3">
      <c r="A343">
        <v>17</v>
      </c>
      <c r="B343">
        <v>65536</v>
      </c>
      <c r="C343">
        <v>5</v>
      </c>
      <c r="D343">
        <v>216</v>
      </c>
      <c r="E343">
        <v>0.8</v>
      </c>
      <c r="F343">
        <v>9</v>
      </c>
      <c r="G343">
        <v>1023</v>
      </c>
      <c r="H343">
        <v>4180</v>
      </c>
      <c r="I343">
        <v>1152876200</v>
      </c>
      <c r="J343">
        <v>3969712600</v>
      </c>
      <c r="K343">
        <v>3.4433121266619899</v>
      </c>
      <c r="L343">
        <v>926300</v>
      </c>
      <c r="M343">
        <v>612325700</v>
      </c>
      <c r="N343">
        <v>322668900</v>
      </c>
      <c r="O343">
        <v>934994600</v>
      </c>
      <c r="P343">
        <v>74000</v>
      </c>
      <c r="Q343">
        <v>142977000</v>
      </c>
      <c r="R343">
        <v>143051000</v>
      </c>
      <c r="S343">
        <v>891200</v>
      </c>
      <c r="T343">
        <v>19991300</v>
      </c>
      <c r="U343">
        <v>1512979300</v>
      </c>
      <c r="V343">
        <v>1049239400</v>
      </c>
      <c r="W343">
        <v>170700</v>
      </c>
      <c r="X343">
        <v>1152876200</v>
      </c>
    </row>
    <row r="344" spans="1:24" x14ac:dyDescent="0.3">
      <c r="A344">
        <v>18</v>
      </c>
      <c r="B344">
        <v>65536</v>
      </c>
      <c r="C344">
        <v>5</v>
      </c>
      <c r="D344">
        <v>216</v>
      </c>
      <c r="E344">
        <v>0.95</v>
      </c>
      <c r="F344">
        <v>9</v>
      </c>
      <c r="G344">
        <v>1023</v>
      </c>
      <c r="H344">
        <v>3072</v>
      </c>
      <c r="I344">
        <v>812082700</v>
      </c>
      <c r="J344">
        <v>2259025200</v>
      </c>
      <c r="K344">
        <v>2.7817674234409799</v>
      </c>
      <c r="L344">
        <v>485700</v>
      </c>
      <c r="M344">
        <v>531217600</v>
      </c>
      <c r="N344">
        <v>101412300</v>
      </c>
      <c r="O344">
        <v>632629900</v>
      </c>
      <c r="P344">
        <v>93000</v>
      </c>
      <c r="Q344">
        <v>104884100</v>
      </c>
      <c r="R344">
        <v>104977100</v>
      </c>
      <c r="S344">
        <v>712200</v>
      </c>
      <c r="T344">
        <v>24787500</v>
      </c>
      <c r="U344">
        <v>458731700</v>
      </c>
      <c r="V344">
        <v>756412600</v>
      </c>
      <c r="W344">
        <v>149900</v>
      </c>
      <c r="X344">
        <v>812082700</v>
      </c>
    </row>
    <row r="345" spans="1:24" x14ac:dyDescent="0.3">
      <c r="A345">
        <v>19</v>
      </c>
      <c r="B345">
        <v>65536</v>
      </c>
      <c r="C345">
        <v>6</v>
      </c>
      <c r="D345">
        <v>343</v>
      </c>
      <c r="E345">
        <v>0.2</v>
      </c>
      <c r="F345">
        <v>8</v>
      </c>
      <c r="G345">
        <v>511</v>
      </c>
      <c r="H345">
        <v>56132</v>
      </c>
      <c r="I345">
        <v>9635475800</v>
      </c>
      <c r="J345">
        <v>62992539700</v>
      </c>
      <c r="K345">
        <v>6.5375639986558802</v>
      </c>
      <c r="L345">
        <v>6321200</v>
      </c>
      <c r="M345">
        <v>1121396800</v>
      </c>
      <c r="N345">
        <v>832944300</v>
      </c>
      <c r="O345">
        <v>1954341100</v>
      </c>
      <c r="P345">
        <v>158000</v>
      </c>
      <c r="Q345">
        <v>7578812600</v>
      </c>
      <c r="R345">
        <v>7578970600</v>
      </c>
      <c r="S345">
        <v>757800</v>
      </c>
      <c r="T345">
        <v>19712000</v>
      </c>
      <c r="U345">
        <v>3950752900</v>
      </c>
      <c r="V345">
        <v>57724212900</v>
      </c>
      <c r="W345">
        <v>165600</v>
      </c>
      <c r="X345">
        <v>9635475800</v>
      </c>
    </row>
    <row r="346" spans="1:24" x14ac:dyDescent="0.3">
      <c r="A346">
        <v>20</v>
      </c>
      <c r="B346">
        <v>65536</v>
      </c>
      <c r="C346">
        <v>6</v>
      </c>
      <c r="D346">
        <v>343</v>
      </c>
      <c r="E346">
        <v>0.35</v>
      </c>
      <c r="F346">
        <v>8</v>
      </c>
      <c r="G346">
        <v>511</v>
      </c>
      <c r="H346">
        <v>19544</v>
      </c>
      <c r="I346">
        <v>6038647200</v>
      </c>
      <c r="J346">
        <v>30187969700</v>
      </c>
      <c r="K346">
        <v>4.9991279006993397</v>
      </c>
      <c r="L346">
        <v>3074400</v>
      </c>
      <c r="M346">
        <v>1046432800</v>
      </c>
      <c r="N346">
        <v>1816427100</v>
      </c>
      <c r="O346">
        <v>2862859900</v>
      </c>
      <c r="P346">
        <v>113600</v>
      </c>
      <c r="Q346">
        <v>2618499500</v>
      </c>
      <c r="R346">
        <v>2618613100</v>
      </c>
      <c r="S346">
        <v>676900</v>
      </c>
      <c r="T346">
        <v>13277200</v>
      </c>
      <c r="U346">
        <v>8659867000</v>
      </c>
      <c r="V346">
        <v>19940441100</v>
      </c>
      <c r="W346">
        <v>184800</v>
      </c>
      <c r="X346">
        <v>6038647200</v>
      </c>
    </row>
    <row r="347" spans="1:24" x14ac:dyDescent="0.3">
      <c r="A347">
        <v>21</v>
      </c>
      <c r="B347">
        <v>65536</v>
      </c>
      <c r="C347">
        <v>6</v>
      </c>
      <c r="D347">
        <v>343</v>
      </c>
      <c r="E347">
        <v>0.5</v>
      </c>
      <c r="F347">
        <v>8</v>
      </c>
      <c r="G347">
        <v>511</v>
      </c>
      <c r="H347">
        <v>8936</v>
      </c>
      <c r="I347">
        <v>3836156700</v>
      </c>
      <c r="J347">
        <v>15345942100</v>
      </c>
      <c r="K347">
        <v>4.0003428692055198</v>
      </c>
      <c r="L347">
        <v>1364600</v>
      </c>
      <c r="M347">
        <v>1047231800</v>
      </c>
      <c r="N347">
        <v>1012653900</v>
      </c>
      <c r="O347">
        <v>2059885700</v>
      </c>
      <c r="P347">
        <v>85600</v>
      </c>
      <c r="Q347">
        <v>1210198500</v>
      </c>
      <c r="R347">
        <v>1210284100</v>
      </c>
      <c r="S347">
        <v>749100</v>
      </c>
      <c r="T347">
        <v>18383400</v>
      </c>
      <c r="U347">
        <v>4772508100</v>
      </c>
      <c r="V347">
        <v>9267472900</v>
      </c>
      <c r="W347">
        <v>153200</v>
      </c>
      <c r="X347">
        <v>3836156700</v>
      </c>
    </row>
    <row r="348" spans="1:24" x14ac:dyDescent="0.3">
      <c r="A348">
        <v>22</v>
      </c>
      <c r="B348">
        <v>65536</v>
      </c>
      <c r="C348">
        <v>6</v>
      </c>
      <c r="D348">
        <v>343</v>
      </c>
      <c r="E348">
        <v>0.65</v>
      </c>
      <c r="F348">
        <v>8</v>
      </c>
      <c r="G348">
        <v>511</v>
      </c>
      <c r="H348">
        <v>3544</v>
      </c>
      <c r="I348">
        <v>2802470500</v>
      </c>
      <c r="J348">
        <v>7489727000</v>
      </c>
      <c r="K348">
        <v>2.6725444567569898</v>
      </c>
      <c r="L348">
        <v>649700</v>
      </c>
      <c r="M348">
        <v>1050584400</v>
      </c>
      <c r="N348">
        <v>538516500</v>
      </c>
      <c r="O348">
        <v>1589100900</v>
      </c>
      <c r="P348">
        <v>70100</v>
      </c>
      <c r="Q348">
        <v>482396500</v>
      </c>
      <c r="R348">
        <v>482466600</v>
      </c>
      <c r="S348">
        <v>796200</v>
      </c>
      <c r="T348">
        <v>17951500</v>
      </c>
      <c r="U348">
        <v>2526314500</v>
      </c>
      <c r="V348">
        <v>3619921600</v>
      </c>
      <c r="W348">
        <v>159000</v>
      </c>
      <c r="X348">
        <v>2802470500</v>
      </c>
    </row>
    <row r="349" spans="1:24" x14ac:dyDescent="0.3">
      <c r="A349">
        <v>23</v>
      </c>
      <c r="B349">
        <v>65536</v>
      </c>
      <c r="C349">
        <v>6</v>
      </c>
      <c r="D349">
        <v>343</v>
      </c>
      <c r="E349">
        <v>0.8</v>
      </c>
      <c r="F349">
        <v>8</v>
      </c>
      <c r="G349">
        <v>511</v>
      </c>
      <c r="H349">
        <v>1872</v>
      </c>
      <c r="I349">
        <v>1810795400</v>
      </c>
      <c r="J349">
        <v>5388316500</v>
      </c>
      <c r="K349">
        <v>2.97566279437202</v>
      </c>
      <c r="L349">
        <v>408800</v>
      </c>
      <c r="M349">
        <v>1073495600</v>
      </c>
      <c r="N349">
        <v>385734100</v>
      </c>
      <c r="O349">
        <v>1459229700</v>
      </c>
      <c r="P349">
        <v>70600</v>
      </c>
      <c r="Q349">
        <v>256820300</v>
      </c>
      <c r="R349">
        <v>256890900</v>
      </c>
      <c r="S349">
        <v>680000</v>
      </c>
      <c r="T349">
        <v>20506500</v>
      </c>
      <c r="U349">
        <v>1809956300</v>
      </c>
      <c r="V349">
        <v>1924252100</v>
      </c>
      <c r="W349">
        <v>151700</v>
      </c>
      <c r="X349">
        <v>1810795400</v>
      </c>
    </row>
    <row r="350" spans="1:24" x14ac:dyDescent="0.3">
      <c r="A350">
        <v>24</v>
      </c>
      <c r="B350">
        <v>65536</v>
      </c>
      <c r="C350">
        <v>6</v>
      </c>
      <c r="D350">
        <v>343</v>
      </c>
      <c r="E350">
        <v>0.95</v>
      </c>
      <c r="F350">
        <v>8</v>
      </c>
      <c r="G350">
        <v>511</v>
      </c>
      <c r="H350">
        <v>1024</v>
      </c>
      <c r="I350">
        <v>1437353200</v>
      </c>
      <c r="J350">
        <v>3036248300</v>
      </c>
      <c r="K350">
        <v>2.1123884512171398</v>
      </c>
      <c r="L350">
        <v>235300</v>
      </c>
      <c r="M350">
        <v>1058645900</v>
      </c>
      <c r="N350">
        <v>142299300</v>
      </c>
      <c r="O350">
        <v>1200945200</v>
      </c>
      <c r="P350">
        <v>70700</v>
      </c>
      <c r="Q350">
        <v>142035500</v>
      </c>
      <c r="R350">
        <v>142106200</v>
      </c>
      <c r="S350">
        <v>677700</v>
      </c>
      <c r="T350">
        <v>24462900</v>
      </c>
      <c r="U350">
        <v>668805300</v>
      </c>
      <c r="V350">
        <v>1046685200</v>
      </c>
      <c r="W350">
        <v>160900</v>
      </c>
      <c r="X350">
        <v>1437353200</v>
      </c>
    </row>
    <row r="351" spans="1:24" x14ac:dyDescent="0.3">
      <c r="A351">
        <v>25</v>
      </c>
      <c r="B351">
        <v>65536</v>
      </c>
      <c r="C351">
        <v>7</v>
      </c>
      <c r="D351">
        <v>512</v>
      </c>
      <c r="E351">
        <v>0.2</v>
      </c>
      <c r="F351">
        <v>7</v>
      </c>
      <c r="G351">
        <v>255</v>
      </c>
      <c r="H351">
        <v>15804</v>
      </c>
      <c r="I351">
        <v>10108210900</v>
      </c>
      <c r="J351">
        <v>69104087700</v>
      </c>
      <c r="K351">
        <v>6.8364311334263901</v>
      </c>
      <c r="L351">
        <v>1614900</v>
      </c>
      <c r="M351">
        <v>1288692000</v>
      </c>
      <c r="N351">
        <v>139919100</v>
      </c>
      <c r="O351">
        <v>1428611100</v>
      </c>
      <c r="P351">
        <v>68500</v>
      </c>
      <c r="Q351">
        <v>8579543300</v>
      </c>
      <c r="R351">
        <v>8579611800</v>
      </c>
      <c r="S351">
        <v>709300</v>
      </c>
      <c r="T351">
        <v>18984600</v>
      </c>
      <c r="U351">
        <v>728820800</v>
      </c>
      <c r="V351">
        <v>66853077300</v>
      </c>
      <c r="W351">
        <v>153500</v>
      </c>
      <c r="X351">
        <v>10108210900</v>
      </c>
    </row>
    <row r="352" spans="1:24" x14ac:dyDescent="0.3">
      <c r="A352">
        <v>26</v>
      </c>
      <c r="B352">
        <v>65536</v>
      </c>
      <c r="C352">
        <v>7</v>
      </c>
      <c r="D352">
        <v>512</v>
      </c>
      <c r="E352">
        <v>0.35</v>
      </c>
      <c r="F352">
        <v>7</v>
      </c>
      <c r="G352">
        <v>255</v>
      </c>
      <c r="H352">
        <v>7568</v>
      </c>
      <c r="I352">
        <v>7281707300</v>
      </c>
      <c r="J352">
        <v>41110425200</v>
      </c>
      <c r="K352">
        <v>5.6457124004421297</v>
      </c>
      <c r="L352">
        <v>6483900</v>
      </c>
      <c r="M352">
        <v>1255257800</v>
      </c>
      <c r="N352">
        <v>1335699000</v>
      </c>
      <c r="O352">
        <v>2590956800</v>
      </c>
      <c r="P352">
        <v>70500</v>
      </c>
      <c r="Q352">
        <v>4114511700</v>
      </c>
      <c r="R352">
        <v>4114582200</v>
      </c>
      <c r="S352">
        <v>721800</v>
      </c>
      <c r="T352">
        <v>11125000</v>
      </c>
      <c r="U352">
        <v>7052310100</v>
      </c>
      <c r="V352">
        <v>32182050700</v>
      </c>
      <c r="W352">
        <v>173000</v>
      </c>
      <c r="X352">
        <v>7281707300</v>
      </c>
    </row>
    <row r="353" spans="1:24" x14ac:dyDescent="0.3">
      <c r="A353">
        <v>27</v>
      </c>
      <c r="B353">
        <v>65536</v>
      </c>
      <c r="C353">
        <v>7</v>
      </c>
      <c r="D353">
        <v>512</v>
      </c>
      <c r="E353">
        <v>0.5</v>
      </c>
      <c r="F353">
        <v>7</v>
      </c>
      <c r="G353">
        <v>255</v>
      </c>
      <c r="H353">
        <v>3412</v>
      </c>
      <c r="I353">
        <v>4557401600</v>
      </c>
      <c r="J353">
        <v>20656303500</v>
      </c>
      <c r="K353">
        <v>4.5324738333352004</v>
      </c>
      <c r="L353">
        <v>566000</v>
      </c>
      <c r="M353">
        <v>1259890700</v>
      </c>
      <c r="N353">
        <v>885911000</v>
      </c>
      <c r="O353">
        <v>2145801700</v>
      </c>
      <c r="P353">
        <v>82500</v>
      </c>
      <c r="Q353">
        <v>1852539500</v>
      </c>
      <c r="R353">
        <v>1852622000</v>
      </c>
      <c r="S353">
        <v>728400</v>
      </c>
      <c r="T353">
        <v>17755500</v>
      </c>
      <c r="U353">
        <v>4688856100</v>
      </c>
      <c r="V353">
        <v>14446925100</v>
      </c>
      <c r="W353">
        <v>155200</v>
      </c>
      <c r="X353">
        <v>4557401600</v>
      </c>
    </row>
    <row r="354" spans="1:24" x14ac:dyDescent="0.3">
      <c r="A354">
        <v>28</v>
      </c>
      <c r="B354">
        <v>65536</v>
      </c>
      <c r="C354">
        <v>7</v>
      </c>
      <c r="D354">
        <v>512</v>
      </c>
      <c r="E354">
        <v>0.65</v>
      </c>
      <c r="F354">
        <v>7</v>
      </c>
      <c r="G354">
        <v>255</v>
      </c>
      <c r="H354">
        <v>1408</v>
      </c>
      <c r="I354">
        <v>3189268200</v>
      </c>
      <c r="J354">
        <v>10594965900</v>
      </c>
      <c r="K354">
        <v>3.32206802174868</v>
      </c>
      <c r="L354">
        <v>326600</v>
      </c>
      <c r="M354">
        <v>1260192600</v>
      </c>
      <c r="N354">
        <v>589533400</v>
      </c>
      <c r="O354">
        <v>1849726000</v>
      </c>
      <c r="P354">
        <v>87600</v>
      </c>
      <c r="Q354">
        <v>771399700</v>
      </c>
      <c r="R354">
        <v>771487300</v>
      </c>
      <c r="S354">
        <v>696500</v>
      </c>
      <c r="T354">
        <v>11504000</v>
      </c>
      <c r="U354">
        <v>3080579000</v>
      </c>
      <c r="V354">
        <v>5953489600</v>
      </c>
      <c r="W354">
        <v>169900</v>
      </c>
      <c r="X354">
        <v>3189268200</v>
      </c>
    </row>
    <row r="355" spans="1:24" x14ac:dyDescent="0.3">
      <c r="A355">
        <v>29</v>
      </c>
      <c r="B355">
        <v>65536</v>
      </c>
      <c r="C355">
        <v>7</v>
      </c>
      <c r="D355">
        <v>512</v>
      </c>
      <c r="E355">
        <v>0.8</v>
      </c>
      <c r="F355">
        <v>7</v>
      </c>
      <c r="G355">
        <v>255</v>
      </c>
      <c r="H355">
        <v>980</v>
      </c>
      <c r="I355">
        <v>2971110100</v>
      </c>
      <c r="J355">
        <v>8400153500</v>
      </c>
      <c r="K355">
        <v>2.82727775722616</v>
      </c>
      <c r="L355">
        <v>227200</v>
      </c>
      <c r="M355">
        <v>1260857500</v>
      </c>
      <c r="N355">
        <v>429119200</v>
      </c>
      <c r="O355">
        <v>1689976700</v>
      </c>
      <c r="P355">
        <v>93900</v>
      </c>
      <c r="Q355">
        <v>536786400</v>
      </c>
      <c r="R355">
        <v>536880300</v>
      </c>
      <c r="S355">
        <v>779400</v>
      </c>
      <c r="T355">
        <v>16751400</v>
      </c>
      <c r="U355">
        <v>2351124200</v>
      </c>
      <c r="V355">
        <v>4185600500</v>
      </c>
      <c r="W355">
        <v>153700</v>
      </c>
      <c r="X355">
        <v>2971110100</v>
      </c>
    </row>
    <row r="356" spans="1:24" x14ac:dyDescent="0.3">
      <c r="A356">
        <v>30</v>
      </c>
      <c r="B356">
        <v>65536</v>
      </c>
      <c r="C356">
        <v>7</v>
      </c>
      <c r="D356">
        <v>512</v>
      </c>
      <c r="E356">
        <v>0.95</v>
      </c>
      <c r="F356">
        <v>7</v>
      </c>
      <c r="G356">
        <v>255</v>
      </c>
      <c r="H356">
        <v>256</v>
      </c>
      <c r="I356">
        <v>1885036800</v>
      </c>
      <c r="J356">
        <v>4127975300</v>
      </c>
      <c r="K356">
        <v>2.1898645692222001</v>
      </c>
      <c r="L356">
        <v>89200</v>
      </c>
      <c r="M356">
        <v>1360371800</v>
      </c>
      <c r="N356">
        <v>286216700</v>
      </c>
      <c r="O356">
        <v>1646588500</v>
      </c>
      <c r="P356">
        <v>27800</v>
      </c>
      <c r="Q356">
        <v>141905900</v>
      </c>
      <c r="R356">
        <v>141933700</v>
      </c>
      <c r="S356">
        <v>706900</v>
      </c>
      <c r="T356">
        <v>10970300</v>
      </c>
      <c r="U356">
        <v>1486021200</v>
      </c>
      <c r="V356">
        <v>1084413200</v>
      </c>
      <c r="W356">
        <v>152000</v>
      </c>
      <c r="X356">
        <v>1885036800</v>
      </c>
    </row>
    <row r="357" spans="1:24" x14ac:dyDescent="0.3">
      <c r="A357">
        <v>31</v>
      </c>
      <c r="B357">
        <v>131072</v>
      </c>
      <c r="C357">
        <v>3</v>
      </c>
      <c r="D357">
        <v>64</v>
      </c>
      <c r="E357">
        <v>0.2</v>
      </c>
      <c r="F357">
        <v>11</v>
      </c>
      <c r="G357">
        <v>4095</v>
      </c>
      <c r="H357">
        <v>912804</v>
      </c>
      <c r="I357">
        <v>10978087500</v>
      </c>
      <c r="J357">
        <v>69339576000</v>
      </c>
      <c r="K357">
        <v>6.3161799357128396</v>
      </c>
      <c r="L357">
        <v>143231200</v>
      </c>
      <c r="M357">
        <v>291725000</v>
      </c>
      <c r="N357">
        <v>2787655900</v>
      </c>
      <c r="O357">
        <v>3079380900</v>
      </c>
      <c r="P357">
        <v>2247400</v>
      </c>
      <c r="Q357">
        <v>7689035800</v>
      </c>
      <c r="R357">
        <v>7691283200</v>
      </c>
      <c r="S357">
        <v>1237000</v>
      </c>
      <c r="T357">
        <v>37756800</v>
      </c>
      <c r="U357">
        <v>14116342500</v>
      </c>
      <c r="V357">
        <v>54148255500</v>
      </c>
      <c r="W357">
        <v>341600</v>
      </c>
      <c r="X357">
        <v>10978087500</v>
      </c>
    </row>
    <row r="358" spans="1:24" x14ac:dyDescent="0.3">
      <c r="A358">
        <v>32</v>
      </c>
      <c r="B358">
        <v>131072</v>
      </c>
      <c r="C358">
        <v>3</v>
      </c>
      <c r="D358">
        <v>64</v>
      </c>
      <c r="E358">
        <v>0.35</v>
      </c>
      <c r="F358">
        <v>11</v>
      </c>
      <c r="G358">
        <v>4095</v>
      </c>
      <c r="H358">
        <v>207768</v>
      </c>
      <c r="I358">
        <v>3626805700</v>
      </c>
      <c r="J358">
        <v>18440669200</v>
      </c>
      <c r="K358">
        <v>5.08454842232105</v>
      </c>
      <c r="L358">
        <v>41078200</v>
      </c>
      <c r="M358">
        <v>179326700</v>
      </c>
      <c r="N358">
        <v>1112980300</v>
      </c>
      <c r="O358">
        <v>1292307000</v>
      </c>
      <c r="P358">
        <v>608600</v>
      </c>
      <c r="Q358">
        <v>1758481500</v>
      </c>
      <c r="R358">
        <v>1759090100</v>
      </c>
      <c r="S358">
        <v>1384400</v>
      </c>
      <c r="T358">
        <v>38917100</v>
      </c>
      <c r="U358">
        <v>5437220700</v>
      </c>
      <c r="V358">
        <v>12306232500</v>
      </c>
      <c r="W358">
        <v>339900</v>
      </c>
      <c r="X358">
        <v>3626805700</v>
      </c>
    </row>
    <row r="359" spans="1:24" x14ac:dyDescent="0.3">
      <c r="A359">
        <v>33</v>
      </c>
      <c r="B359">
        <v>131072</v>
      </c>
      <c r="C359">
        <v>3</v>
      </c>
      <c r="D359">
        <v>64</v>
      </c>
      <c r="E359">
        <v>0.5</v>
      </c>
      <c r="F359">
        <v>11</v>
      </c>
      <c r="G359">
        <v>4095</v>
      </c>
      <c r="H359">
        <v>81968</v>
      </c>
      <c r="I359">
        <v>1938009500</v>
      </c>
      <c r="J359">
        <v>8211413700</v>
      </c>
      <c r="K359">
        <v>4.2370348029769698</v>
      </c>
      <c r="L359">
        <v>14829700</v>
      </c>
      <c r="M359">
        <v>192189400</v>
      </c>
      <c r="N359">
        <v>497140200</v>
      </c>
      <c r="O359">
        <v>689329600</v>
      </c>
      <c r="P359">
        <v>239100</v>
      </c>
      <c r="Q359">
        <v>696250500</v>
      </c>
      <c r="R359">
        <v>696489600</v>
      </c>
      <c r="S359">
        <v>1211000</v>
      </c>
      <c r="T359">
        <v>39664700</v>
      </c>
      <c r="U359">
        <v>2318182800</v>
      </c>
      <c r="V359">
        <v>4864642700</v>
      </c>
      <c r="W359">
        <v>339300</v>
      </c>
      <c r="X359">
        <v>1938009500</v>
      </c>
    </row>
    <row r="360" spans="1:24" x14ac:dyDescent="0.3">
      <c r="A360">
        <v>34</v>
      </c>
      <c r="B360">
        <v>131072</v>
      </c>
      <c r="C360">
        <v>3</v>
      </c>
      <c r="D360">
        <v>64</v>
      </c>
      <c r="E360">
        <v>0.65</v>
      </c>
      <c r="F360">
        <v>11</v>
      </c>
      <c r="G360">
        <v>4095</v>
      </c>
      <c r="H360">
        <v>30396</v>
      </c>
      <c r="I360">
        <v>874809300</v>
      </c>
      <c r="J360">
        <v>3499269700</v>
      </c>
      <c r="K360">
        <v>4.0000371509539203</v>
      </c>
      <c r="L360">
        <v>5340700</v>
      </c>
      <c r="M360">
        <v>303715500</v>
      </c>
      <c r="N360">
        <v>228811500</v>
      </c>
      <c r="O360">
        <v>532527000</v>
      </c>
      <c r="P360">
        <v>176400</v>
      </c>
      <c r="Q360">
        <v>274619100</v>
      </c>
      <c r="R360">
        <v>274795500</v>
      </c>
      <c r="S360">
        <v>1240400</v>
      </c>
      <c r="T360">
        <v>39329600</v>
      </c>
      <c r="U360">
        <v>966981000</v>
      </c>
      <c r="V360">
        <v>1812490500</v>
      </c>
      <c r="W360">
        <v>440100</v>
      </c>
      <c r="X360">
        <v>874809300</v>
      </c>
    </row>
    <row r="361" spans="1:24" x14ac:dyDescent="0.3">
      <c r="A361">
        <v>35</v>
      </c>
      <c r="B361">
        <v>131072</v>
      </c>
      <c r="C361">
        <v>3</v>
      </c>
      <c r="D361">
        <v>64</v>
      </c>
      <c r="E361">
        <v>0.8</v>
      </c>
      <c r="F361">
        <v>11</v>
      </c>
      <c r="G361">
        <v>4095</v>
      </c>
      <c r="H361">
        <v>14564</v>
      </c>
      <c r="I361">
        <v>622494300</v>
      </c>
      <c r="J361">
        <v>2494871400</v>
      </c>
      <c r="K361">
        <v>4.0078622406662996</v>
      </c>
      <c r="L361">
        <v>10944800</v>
      </c>
      <c r="M361">
        <v>261377200</v>
      </c>
      <c r="N361">
        <v>137069800</v>
      </c>
      <c r="O361">
        <v>398447000</v>
      </c>
      <c r="P361">
        <v>155200</v>
      </c>
      <c r="Q361">
        <v>144535300</v>
      </c>
      <c r="R361">
        <v>144690500</v>
      </c>
      <c r="S361">
        <v>1213500</v>
      </c>
      <c r="T361">
        <v>38237000</v>
      </c>
      <c r="U361">
        <v>578218400</v>
      </c>
      <c r="V361">
        <v>902670600</v>
      </c>
      <c r="W361">
        <v>389200</v>
      </c>
      <c r="X361">
        <v>622494300</v>
      </c>
    </row>
    <row r="362" spans="1:24" x14ac:dyDescent="0.3">
      <c r="A362">
        <v>36</v>
      </c>
      <c r="B362">
        <v>131072</v>
      </c>
      <c r="C362">
        <v>3</v>
      </c>
      <c r="D362">
        <v>64</v>
      </c>
      <c r="E362">
        <v>0.95</v>
      </c>
      <c r="F362">
        <v>11</v>
      </c>
      <c r="G362">
        <v>4095</v>
      </c>
      <c r="H362">
        <v>8192</v>
      </c>
      <c r="I362">
        <v>499800400</v>
      </c>
      <c r="J362">
        <v>1431292200</v>
      </c>
      <c r="K362">
        <v>2.8637276000579401</v>
      </c>
      <c r="L362">
        <v>1383600</v>
      </c>
      <c r="M362">
        <v>292445900</v>
      </c>
      <c r="N362">
        <v>49448300</v>
      </c>
      <c r="O362">
        <v>341894200</v>
      </c>
      <c r="P362">
        <v>81000</v>
      </c>
      <c r="Q362">
        <v>89270100</v>
      </c>
      <c r="R362">
        <v>89351100</v>
      </c>
      <c r="S362">
        <v>1109700</v>
      </c>
      <c r="T362">
        <v>42631300</v>
      </c>
      <c r="U362">
        <v>196816100</v>
      </c>
      <c r="V362">
        <v>506100400</v>
      </c>
      <c r="W362">
        <v>329700</v>
      </c>
      <c r="X362">
        <v>499800400</v>
      </c>
    </row>
    <row r="363" spans="1:24" x14ac:dyDescent="0.3">
      <c r="A363">
        <v>37</v>
      </c>
      <c r="B363">
        <v>131072</v>
      </c>
      <c r="C363">
        <v>4</v>
      </c>
      <c r="D363">
        <v>125</v>
      </c>
      <c r="E363">
        <v>0.2</v>
      </c>
      <c r="F363">
        <v>11</v>
      </c>
      <c r="G363">
        <v>4095</v>
      </c>
      <c r="H363">
        <v>916640</v>
      </c>
      <c r="I363">
        <v>17773196500</v>
      </c>
      <c r="J363">
        <v>107848600200</v>
      </c>
      <c r="K363">
        <v>6.0680474781224598</v>
      </c>
      <c r="L363">
        <v>141761300</v>
      </c>
      <c r="M363">
        <v>510802000</v>
      </c>
      <c r="N363">
        <v>8972233600</v>
      </c>
      <c r="O363">
        <v>9483035600</v>
      </c>
      <c r="P363">
        <v>5688600</v>
      </c>
      <c r="Q363">
        <v>8032691700</v>
      </c>
      <c r="R363">
        <v>8038380300</v>
      </c>
      <c r="S363">
        <v>1360400</v>
      </c>
      <c r="T363">
        <v>39979800</v>
      </c>
      <c r="U363">
        <v>51664946400</v>
      </c>
      <c r="V363">
        <v>54250432600</v>
      </c>
      <c r="W363">
        <v>346200</v>
      </c>
      <c r="X363">
        <v>17773196500</v>
      </c>
    </row>
    <row r="364" spans="1:24" x14ac:dyDescent="0.3">
      <c r="A364">
        <v>38</v>
      </c>
      <c r="B364">
        <v>131072</v>
      </c>
      <c r="C364">
        <v>4</v>
      </c>
      <c r="D364">
        <v>125</v>
      </c>
      <c r="E364">
        <v>0.35</v>
      </c>
      <c r="F364">
        <v>11</v>
      </c>
      <c r="G364">
        <v>4095</v>
      </c>
      <c r="H364">
        <v>207932</v>
      </c>
      <c r="I364">
        <v>6429753000</v>
      </c>
      <c r="J364">
        <v>34621596300</v>
      </c>
      <c r="K364">
        <v>5.38459195866466</v>
      </c>
      <c r="L364">
        <v>44790100</v>
      </c>
      <c r="M364">
        <v>446388300</v>
      </c>
      <c r="N364">
        <v>3529601900</v>
      </c>
      <c r="O364">
        <v>3975990200</v>
      </c>
      <c r="P364">
        <v>543100</v>
      </c>
      <c r="Q364">
        <v>1823867300</v>
      </c>
      <c r="R364">
        <v>1824410400</v>
      </c>
      <c r="S364">
        <v>1334700</v>
      </c>
      <c r="T364">
        <v>38835500</v>
      </c>
      <c r="U364">
        <v>20317736600</v>
      </c>
      <c r="V364">
        <v>12351674800</v>
      </c>
      <c r="W364">
        <v>370400</v>
      </c>
      <c r="X364">
        <v>6429753000</v>
      </c>
    </row>
    <row r="365" spans="1:24" x14ac:dyDescent="0.3">
      <c r="A365">
        <v>39</v>
      </c>
      <c r="B365">
        <v>131072</v>
      </c>
      <c r="C365">
        <v>4</v>
      </c>
      <c r="D365">
        <v>125</v>
      </c>
      <c r="E365">
        <v>0.5</v>
      </c>
      <c r="F365">
        <v>11</v>
      </c>
      <c r="G365">
        <v>4095</v>
      </c>
      <c r="H365">
        <v>82164</v>
      </c>
      <c r="I365">
        <v>3270808600</v>
      </c>
      <c r="J365">
        <v>15003008200</v>
      </c>
      <c r="K365">
        <v>4.5869416510645102</v>
      </c>
      <c r="L365">
        <v>13830900</v>
      </c>
      <c r="M365">
        <v>465709400</v>
      </c>
      <c r="N365">
        <v>1482343300</v>
      </c>
      <c r="O365">
        <v>1948052700</v>
      </c>
      <c r="P365">
        <v>244000</v>
      </c>
      <c r="Q365">
        <v>722181100</v>
      </c>
      <c r="R365">
        <v>722425100</v>
      </c>
      <c r="S365">
        <v>1354000</v>
      </c>
      <c r="T365">
        <v>42982100</v>
      </c>
      <c r="U365">
        <v>8536253000</v>
      </c>
      <c r="V365">
        <v>4891210900</v>
      </c>
      <c r="W365">
        <v>347800</v>
      </c>
      <c r="X365">
        <v>3270808600</v>
      </c>
    </row>
    <row r="366" spans="1:24" x14ac:dyDescent="0.3">
      <c r="A366">
        <v>40</v>
      </c>
      <c r="B366">
        <v>131072</v>
      </c>
      <c r="C366">
        <v>4</v>
      </c>
      <c r="D366">
        <v>125</v>
      </c>
      <c r="E366">
        <v>0.65</v>
      </c>
      <c r="F366">
        <v>11</v>
      </c>
      <c r="G366">
        <v>4095</v>
      </c>
      <c r="H366">
        <v>29952</v>
      </c>
      <c r="I366">
        <v>2115705700</v>
      </c>
      <c r="J366">
        <v>7232190700</v>
      </c>
      <c r="K366">
        <v>3.41833493193311</v>
      </c>
      <c r="L366">
        <v>5339600</v>
      </c>
      <c r="M366">
        <v>471069800</v>
      </c>
      <c r="N366">
        <v>614328500</v>
      </c>
      <c r="O366">
        <v>1085398300</v>
      </c>
      <c r="P366">
        <v>170200</v>
      </c>
      <c r="Q366">
        <v>263666200</v>
      </c>
      <c r="R366">
        <v>263836400</v>
      </c>
      <c r="S366">
        <v>1230800</v>
      </c>
      <c r="T366">
        <v>41368600</v>
      </c>
      <c r="U366">
        <v>3516852200</v>
      </c>
      <c r="V366">
        <v>1791652300</v>
      </c>
      <c r="W366">
        <v>443600</v>
      </c>
      <c r="X366">
        <v>2115705700</v>
      </c>
    </row>
    <row r="367" spans="1:24" x14ac:dyDescent="0.3">
      <c r="A367">
        <v>41</v>
      </c>
      <c r="B367">
        <v>131072</v>
      </c>
      <c r="C367">
        <v>4</v>
      </c>
      <c r="D367">
        <v>125</v>
      </c>
      <c r="E367">
        <v>0.8</v>
      </c>
      <c r="F367">
        <v>11</v>
      </c>
      <c r="G367">
        <v>4095</v>
      </c>
      <c r="H367">
        <v>14484</v>
      </c>
      <c r="I367">
        <v>1182757900</v>
      </c>
      <c r="J367">
        <v>4567313700</v>
      </c>
      <c r="K367">
        <v>3.8615795337321299</v>
      </c>
      <c r="L367">
        <v>3097400</v>
      </c>
      <c r="M367">
        <v>564804300</v>
      </c>
      <c r="N367">
        <v>361419700</v>
      </c>
      <c r="O367">
        <v>926224000</v>
      </c>
      <c r="P367">
        <v>166300</v>
      </c>
      <c r="Q367">
        <v>129704600</v>
      </c>
      <c r="R367">
        <v>129870900</v>
      </c>
      <c r="S367">
        <v>1534100</v>
      </c>
      <c r="T367">
        <v>46371600</v>
      </c>
      <c r="U367">
        <v>2115003000</v>
      </c>
      <c r="V367">
        <v>895072600</v>
      </c>
      <c r="W367">
        <v>344100</v>
      </c>
      <c r="X367">
        <v>1182757900</v>
      </c>
    </row>
    <row r="368" spans="1:24" x14ac:dyDescent="0.3">
      <c r="A368">
        <v>42</v>
      </c>
      <c r="B368">
        <v>131072</v>
      </c>
      <c r="C368">
        <v>4</v>
      </c>
      <c r="D368">
        <v>125</v>
      </c>
      <c r="E368">
        <v>0.95</v>
      </c>
      <c r="F368">
        <v>11</v>
      </c>
      <c r="G368">
        <v>4095</v>
      </c>
      <c r="H368">
        <v>8192</v>
      </c>
      <c r="I368">
        <v>822813300</v>
      </c>
      <c r="J368">
        <v>3099030200</v>
      </c>
      <c r="K368">
        <v>3.7663832123277499</v>
      </c>
      <c r="L368">
        <v>1330700</v>
      </c>
      <c r="M368">
        <v>503466800</v>
      </c>
      <c r="N368">
        <v>134298000</v>
      </c>
      <c r="O368">
        <v>637764800</v>
      </c>
      <c r="P368">
        <v>103200</v>
      </c>
      <c r="Q368">
        <v>73218600</v>
      </c>
      <c r="R368">
        <v>73321800</v>
      </c>
      <c r="S368">
        <v>1305300</v>
      </c>
      <c r="T368">
        <v>39766900</v>
      </c>
      <c r="U368">
        <v>738774400</v>
      </c>
      <c r="V368">
        <v>500183800</v>
      </c>
      <c r="W368">
        <v>349300</v>
      </c>
      <c r="X368">
        <v>822813300</v>
      </c>
    </row>
    <row r="369" spans="1:24" x14ac:dyDescent="0.3">
      <c r="A369">
        <v>43</v>
      </c>
      <c r="B369">
        <v>131072</v>
      </c>
      <c r="C369">
        <v>5</v>
      </c>
      <c r="D369">
        <v>216</v>
      </c>
      <c r="E369">
        <v>0.2</v>
      </c>
      <c r="F369">
        <v>10</v>
      </c>
      <c r="G369">
        <v>2047</v>
      </c>
      <c r="H369">
        <v>329904</v>
      </c>
      <c r="I369">
        <v>27312226300</v>
      </c>
      <c r="J369">
        <v>154592542200</v>
      </c>
      <c r="K369">
        <v>5.6601955659689303</v>
      </c>
      <c r="L369">
        <v>61711100</v>
      </c>
      <c r="M369">
        <v>886535700</v>
      </c>
      <c r="N369">
        <v>15067727000</v>
      </c>
      <c r="O369">
        <v>15954262700</v>
      </c>
      <c r="P369">
        <v>901700</v>
      </c>
      <c r="Q369">
        <v>11147720800</v>
      </c>
      <c r="R369">
        <v>11148622500</v>
      </c>
      <c r="S369">
        <v>1394000</v>
      </c>
      <c r="T369">
        <v>39977100</v>
      </c>
      <c r="U369">
        <v>71822352600</v>
      </c>
      <c r="V369">
        <v>80643027300</v>
      </c>
      <c r="W369">
        <v>351100</v>
      </c>
      <c r="X369">
        <v>27312226300</v>
      </c>
    </row>
    <row r="370" spans="1:24" x14ac:dyDescent="0.3">
      <c r="A370">
        <v>44</v>
      </c>
      <c r="B370">
        <v>131072</v>
      </c>
      <c r="C370">
        <v>5</v>
      </c>
      <c r="D370">
        <v>216</v>
      </c>
      <c r="E370">
        <v>0.35</v>
      </c>
      <c r="F370">
        <v>10</v>
      </c>
      <c r="G370">
        <v>2047</v>
      </c>
      <c r="H370">
        <v>90060</v>
      </c>
      <c r="I370">
        <v>10624361900</v>
      </c>
      <c r="J370">
        <v>53816641300</v>
      </c>
      <c r="K370">
        <v>5.0653998618025202</v>
      </c>
      <c r="L370">
        <v>15561900</v>
      </c>
      <c r="M370">
        <v>854034300</v>
      </c>
      <c r="N370">
        <v>6110106400</v>
      </c>
      <c r="O370">
        <v>6964140700</v>
      </c>
      <c r="P370">
        <v>218100</v>
      </c>
      <c r="Q370">
        <v>3022149900</v>
      </c>
      <c r="R370">
        <v>3022368000</v>
      </c>
      <c r="S370">
        <v>1287900</v>
      </c>
      <c r="T370">
        <v>92115000</v>
      </c>
      <c r="U370">
        <v>29292655000</v>
      </c>
      <c r="V370">
        <v>22006494800</v>
      </c>
      <c r="W370">
        <v>392000</v>
      </c>
      <c r="X370">
        <v>10624361900</v>
      </c>
    </row>
    <row r="371" spans="1:24" x14ac:dyDescent="0.3">
      <c r="A371">
        <v>45</v>
      </c>
      <c r="B371">
        <v>131072</v>
      </c>
      <c r="C371">
        <v>5</v>
      </c>
      <c r="D371">
        <v>216</v>
      </c>
      <c r="E371">
        <v>0.5</v>
      </c>
      <c r="F371">
        <v>10</v>
      </c>
      <c r="G371">
        <v>2047</v>
      </c>
      <c r="H371">
        <v>34480</v>
      </c>
      <c r="I371">
        <v>5283992600</v>
      </c>
      <c r="J371">
        <v>23500672900</v>
      </c>
      <c r="K371">
        <v>4.4475219174228204</v>
      </c>
      <c r="L371">
        <v>6092600</v>
      </c>
      <c r="M371">
        <v>841602200</v>
      </c>
      <c r="N371">
        <v>2649766100</v>
      </c>
      <c r="O371">
        <v>3491368300</v>
      </c>
      <c r="P371">
        <v>115400</v>
      </c>
      <c r="Q371">
        <v>1152709600</v>
      </c>
      <c r="R371">
        <v>1152825000</v>
      </c>
      <c r="S371">
        <v>1383000</v>
      </c>
      <c r="T371">
        <v>39300600</v>
      </c>
      <c r="U371">
        <v>12933842500</v>
      </c>
      <c r="V371">
        <v>8438558200</v>
      </c>
      <c r="W371">
        <v>379400</v>
      </c>
      <c r="X371">
        <v>5283992600</v>
      </c>
    </row>
    <row r="372" spans="1:24" x14ac:dyDescent="0.3">
      <c r="A372">
        <v>46</v>
      </c>
      <c r="B372">
        <v>131072</v>
      </c>
      <c r="C372">
        <v>5</v>
      </c>
      <c r="D372">
        <v>216</v>
      </c>
      <c r="E372">
        <v>0.65</v>
      </c>
      <c r="F372">
        <v>10</v>
      </c>
      <c r="G372">
        <v>2047</v>
      </c>
      <c r="H372">
        <v>12124</v>
      </c>
      <c r="I372">
        <v>3105118300</v>
      </c>
      <c r="J372">
        <v>11239041500</v>
      </c>
      <c r="K372">
        <v>3.6195211950539798</v>
      </c>
      <c r="L372">
        <v>2584300</v>
      </c>
      <c r="M372">
        <v>842015500</v>
      </c>
      <c r="N372">
        <v>1230305000</v>
      </c>
      <c r="O372">
        <v>2072320500</v>
      </c>
      <c r="P372">
        <v>76100</v>
      </c>
      <c r="Q372">
        <v>411744100</v>
      </c>
      <c r="R372">
        <v>411820200</v>
      </c>
      <c r="S372">
        <v>1247400</v>
      </c>
      <c r="T372">
        <v>38536900</v>
      </c>
      <c r="U372">
        <v>5827822000</v>
      </c>
      <c r="V372">
        <v>2956322800</v>
      </c>
      <c r="W372">
        <v>353400</v>
      </c>
      <c r="X372">
        <v>3105118300</v>
      </c>
    </row>
    <row r="373" spans="1:24" x14ac:dyDescent="0.3">
      <c r="A373">
        <v>47</v>
      </c>
      <c r="B373">
        <v>131072</v>
      </c>
      <c r="C373">
        <v>5</v>
      </c>
      <c r="D373">
        <v>216</v>
      </c>
      <c r="E373">
        <v>0.8</v>
      </c>
      <c r="F373">
        <v>10</v>
      </c>
      <c r="G373">
        <v>2047</v>
      </c>
      <c r="H373">
        <v>7356</v>
      </c>
      <c r="I373">
        <v>2609241400</v>
      </c>
      <c r="J373">
        <v>7313383500</v>
      </c>
      <c r="K373">
        <v>2.80287730372513</v>
      </c>
      <c r="L373">
        <v>1677000</v>
      </c>
      <c r="M373">
        <v>858329600</v>
      </c>
      <c r="N373">
        <v>709562600</v>
      </c>
      <c r="O373">
        <v>1567892200</v>
      </c>
      <c r="P373">
        <v>81400</v>
      </c>
      <c r="Q373">
        <v>251596900</v>
      </c>
      <c r="R373">
        <v>251678300</v>
      </c>
      <c r="S373">
        <v>1439000</v>
      </c>
      <c r="T373">
        <v>40055900</v>
      </c>
      <c r="U373">
        <v>3403524100</v>
      </c>
      <c r="V373">
        <v>1794497400</v>
      </c>
      <c r="W373">
        <v>357000</v>
      </c>
      <c r="X373">
        <v>2609241400</v>
      </c>
    </row>
    <row r="374" spans="1:24" x14ac:dyDescent="0.3">
      <c r="A374">
        <v>48</v>
      </c>
      <c r="B374">
        <v>131072</v>
      </c>
      <c r="C374">
        <v>5</v>
      </c>
      <c r="D374">
        <v>216</v>
      </c>
      <c r="E374">
        <v>0.95</v>
      </c>
      <c r="F374">
        <v>10</v>
      </c>
      <c r="G374">
        <v>2047</v>
      </c>
      <c r="H374">
        <v>2048</v>
      </c>
      <c r="I374">
        <v>1558299900</v>
      </c>
      <c r="J374">
        <v>5145234800</v>
      </c>
      <c r="K374">
        <v>3.3018257910431701</v>
      </c>
      <c r="L374">
        <v>779200</v>
      </c>
      <c r="M374">
        <v>880482900</v>
      </c>
      <c r="N374">
        <v>455277900</v>
      </c>
      <c r="O374">
        <v>1335760800</v>
      </c>
      <c r="P374">
        <v>96300</v>
      </c>
      <c r="Q374">
        <v>73342200</v>
      </c>
      <c r="R374">
        <v>73438500</v>
      </c>
      <c r="S374">
        <v>1276400</v>
      </c>
      <c r="T374">
        <v>40436300</v>
      </c>
      <c r="U374">
        <v>2177287500</v>
      </c>
      <c r="V374">
        <v>509283800</v>
      </c>
      <c r="W374">
        <v>380000</v>
      </c>
      <c r="X374">
        <v>1558299900</v>
      </c>
    </row>
    <row r="375" spans="1:24" x14ac:dyDescent="0.3">
      <c r="A375">
        <v>49</v>
      </c>
      <c r="B375">
        <v>131072</v>
      </c>
      <c r="C375">
        <v>6</v>
      </c>
      <c r="D375">
        <v>343</v>
      </c>
      <c r="E375">
        <v>0.2</v>
      </c>
      <c r="F375">
        <v>9</v>
      </c>
      <c r="G375">
        <v>1023</v>
      </c>
      <c r="H375">
        <v>163952</v>
      </c>
      <c r="I375">
        <v>31468940500</v>
      </c>
      <c r="J375">
        <v>204371634200</v>
      </c>
      <c r="K375">
        <v>6.4943919608605798</v>
      </c>
      <c r="L375">
        <v>20918100</v>
      </c>
      <c r="M375">
        <v>2010894300</v>
      </c>
      <c r="N375">
        <v>7040470000</v>
      </c>
      <c r="O375">
        <v>9051364300</v>
      </c>
      <c r="P375">
        <v>501400</v>
      </c>
      <c r="Q375">
        <v>22205341000</v>
      </c>
      <c r="R375">
        <v>22205842400</v>
      </c>
      <c r="S375">
        <v>1263500</v>
      </c>
      <c r="T375">
        <v>31055600</v>
      </c>
      <c r="U375">
        <v>32977558600</v>
      </c>
      <c r="V375">
        <v>168714174400</v>
      </c>
      <c r="W375">
        <v>428800</v>
      </c>
      <c r="X375">
        <v>31468940500</v>
      </c>
    </row>
    <row r="376" spans="1:24" x14ac:dyDescent="0.3">
      <c r="A376">
        <v>50</v>
      </c>
      <c r="B376">
        <v>131072</v>
      </c>
      <c r="C376">
        <v>6</v>
      </c>
      <c r="D376">
        <v>343</v>
      </c>
      <c r="E376">
        <v>0.35</v>
      </c>
      <c r="F376">
        <v>9</v>
      </c>
      <c r="G376">
        <v>1023</v>
      </c>
      <c r="H376">
        <v>49460</v>
      </c>
      <c r="I376">
        <v>13802794100</v>
      </c>
      <c r="J376">
        <v>75852759700</v>
      </c>
      <c r="K376">
        <v>5.4954641176600596</v>
      </c>
      <c r="L376">
        <v>6591600</v>
      </c>
      <c r="M376">
        <v>1885680000</v>
      </c>
      <c r="N376">
        <v>4616765900</v>
      </c>
      <c r="O376">
        <v>6502445900</v>
      </c>
      <c r="P376">
        <v>192200</v>
      </c>
      <c r="Q376">
        <v>6629471100</v>
      </c>
      <c r="R376">
        <v>6629663300</v>
      </c>
      <c r="S376">
        <v>1320600</v>
      </c>
      <c r="T376">
        <v>32642100</v>
      </c>
      <c r="U376">
        <v>21846801500</v>
      </c>
      <c r="V376">
        <v>51074876100</v>
      </c>
      <c r="W376">
        <v>371700</v>
      </c>
      <c r="X376">
        <v>13802794100</v>
      </c>
    </row>
    <row r="377" spans="1:24" x14ac:dyDescent="0.3">
      <c r="A377">
        <v>51</v>
      </c>
      <c r="B377">
        <v>131072</v>
      </c>
      <c r="C377">
        <v>6</v>
      </c>
      <c r="D377">
        <v>343</v>
      </c>
      <c r="E377">
        <v>0.5</v>
      </c>
      <c r="F377">
        <v>9</v>
      </c>
      <c r="G377">
        <v>1023</v>
      </c>
      <c r="H377">
        <v>19140</v>
      </c>
      <c r="I377">
        <v>7802987600</v>
      </c>
      <c r="J377">
        <v>35097543300</v>
      </c>
      <c r="K377">
        <v>4.4979622036051898</v>
      </c>
      <c r="L377">
        <v>3117400</v>
      </c>
      <c r="M377">
        <v>1887544900</v>
      </c>
      <c r="N377">
        <v>2686476900</v>
      </c>
      <c r="O377">
        <v>4574021800</v>
      </c>
      <c r="P377">
        <v>100500</v>
      </c>
      <c r="Q377">
        <v>2553543700</v>
      </c>
      <c r="R377">
        <v>2553644200</v>
      </c>
      <c r="S377">
        <v>1344500</v>
      </c>
      <c r="T377">
        <v>36186200</v>
      </c>
      <c r="U377">
        <v>12740059300</v>
      </c>
      <c r="V377">
        <v>19717956300</v>
      </c>
      <c r="W377">
        <v>381700</v>
      </c>
      <c r="X377">
        <v>7802987600</v>
      </c>
    </row>
    <row r="378" spans="1:24" x14ac:dyDescent="0.3">
      <c r="A378">
        <v>52</v>
      </c>
      <c r="B378">
        <v>131072</v>
      </c>
      <c r="C378">
        <v>6</v>
      </c>
      <c r="D378">
        <v>343</v>
      </c>
      <c r="E378">
        <v>0.65</v>
      </c>
      <c r="F378">
        <v>9</v>
      </c>
      <c r="G378">
        <v>1023</v>
      </c>
      <c r="H378">
        <v>8456</v>
      </c>
      <c r="I378">
        <v>4885129800</v>
      </c>
      <c r="J378">
        <v>17154064700</v>
      </c>
      <c r="K378">
        <v>3.5114859588787102</v>
      </c>
      <c r="L378">
        <v>1435600</v>
      </c>
      <c r="M378">
        <v>1899973000</v>
      </c>
      <c r="N378">
        <v>1170944300</v>
      </c>
      <c r="O378">
        <v>3070917300</v>
      </c>
      <c r="P378">
        <v>86500</v>
      </c>
      <c r="Q378">
        <v>1141833800</v>
      </c>
      <c r="R378">
        <v>1141920300</v>
      </c>
      <c r="S378">
        <v>1230600</v>
      </c>
      <c r="T378">
        <v>36301200</v>
      </c>
      <c r="U378">
        <v>5493292000</v>
      </c>
      <c r="V378">
        <v>8688360200</v>
      </c>
      <c r="W378">
        <v>383700</v>
      </c>
      <c r="X378">
        <v>4885129800</v>
      </c>
    </row>
    <row r="379" spans="1:24" x14ac:dyDescent="0.3">
      <c r="A379">
        <v>53</v>
      </c>
      <c r="B379">
        <v>131072</v>
      </c>
      <c r="C379">
        <v>6</v>
      </c>
      <c r="D379">
        <v>343</v>
      </c>
      <c r="E379">
        <v>0.8</v>
      </c>
      <c r="F379">
        <v>9</v>
      </c>
      <c r="G379">
        <v>1023</v>
      </c>
      <c r="H379">
        <v>4536</v>
      </c>
      <c r="I379">
        <v>3933700400</v>
      </c>
      <c r="J379">
        <v>10803195000</v>
      </c>
      <c r="K379">
        <v>2.7463187079524398</v>
      </c>
      <c r="L379">
        <v>918500</v>
      </c>
      <c r="M379">
        <v>1899761000</v>
      </c>
      <c r="N379">
        <v>743644900</v>
      </c>
      <c r="O379">
        <v>2643405900</v>
      </c>
      <c r="P379">
        <v>65900</v>
      </c>
      <c r="Q379">
        <v>615949000</v>
      </c>
      <c r="R379">
        <v>616014900</v>
      </c>
      <c r="S379">
        <v>1312200</v>
      </c>
      <c r="T379">
        <v>35439200</v>
      </c>
      <c r="U379">
        <v>3491546700</v>
      </c>
      <c r="V379">
        <v>4643929400</v>
      </c>
      <c r="W379">
        <v>400400</v>
      </c>
      <c r="X379">
        <v>3933700400</v>
      </c>
    </row>
    <row r="380" spans="1:24" x14ac:dyDescent="0.3">
      <c r="A380">
        <v>54</v>
      </c>
      <c r="B380">
        <v>131072</v>
      </c>
      <c r="C380">
        <v>6</v>
      </c>
      <c r="D380">
        <v>343</v>
      </c>
      <c r="E380">
        <v>0.95</v>
      </c>
      <c r="F380">
        <v>9</v>
      </c>
      <c r="G380">
        <v>1023</v>
      </c>
      <c r="H380">
        <v>3072</v>
      </c>
      <c r="I380">
        <v>3390560700</v>
      </c>
      <c r="J380">
        <v>7297544100</v>
      </c>
      <c r="K380">
        <v>2.1523118875293901</v>
      </c>
      <c r="L380">
        <v>532200</v>
      </c>
      <c r="M380">
        <v>1901700000</v>
      </c>
      <c r="N380">
        <v>236718900</v>
      </c>
      <c r="O380">
        <v>2138418900</v>
      </c>
      <c r="P380">
        <v>87200</v>
      </c>
      <c r="Q380">
        <v>419550200</v>
      </c>
      <c r="R380">
        <v>419637400</v>
      </c>
      <c r="S380">
        <v>1251600</v>
      </c>
      <c r="T380">
        <v>33720200</v>
      </c>
      <c r="U380">
        <v>1121326400</v>
      </c>
      <c r="V380">
        <v>3167740700</v>
      </c>
      <c r="W380">
        <v>353900</v>
      </c>
      <c r="X380">
        <v>3390560700</v>
      </c>
    </row>
    <row r="381" spans="1:24" x14ac:dyDescent="0.3">
      <c r="A381">
        <v>55</v>
      </c>
      <c r="B381">
        <v>131072</v>
      </c>
      <c r="C381">
        <v>7</v>
      </c>
      <c r="D381">
        <v>512</v>
      </c>
      <c r="E381">
        <v>0.2</v>
      </c>
      <c r="F381">
        <v>8</v>
      </c>
      <c r="G381">
        <v>511</v>
      </c>
      <c r="H381">
        <v>56360</v>
      </c>
      <c r="I381">
        <v>34817069700</v>
      </c>
      <c r="J381">
        <v>251133811200</v>
      </c>
      <c r="K381">
        <v>7.2129508130318003</v>
      </c>
      <c r="L381">
        <v>12277800</v>
      </c>
      <c r="M381">
        <v>2362160300</v>
      </c>
      <c r="N381">
        <v>1588982000</v>
      </c>
      <c r="O381">
        <v>3951142300</v>
      </c>
      <c r="P381">
        <v>225000</v>
      </c>
      <c r="Q381">
        <v>30660378900</v>
      </c>
      <c r="R381">
        <v>30660603900</v>
      </c>
      <c r="S381">
        <v>1566700</v>
      </c>
      <c r="T381">
        <v>34222100</v>
      </c>
      <c r="U381">
        <v>8337593100</v>
      </c>
      <c r="V381">
        <v>239752901800</v>
      </c>
      <c r="W381">
        <v>431400</v>
      </c>
      <c r="X381">
        <v>34817069700</v>
      </c>
    </row>
    <row r="382" spans="1:24" x14ac:dyDescent="0.3">
      <c r="A382">
        <v>56</v>
      </c>
      <c r="B382">
        <v>131072</v>
      </c>
      <c r="C382">
        <v>7</v>
      </c>
      <c r="D382">
        <v>512</v>
      </c>
      <c r="E382">
        <v>0.35</v>
      </c>
      <c r="F382">
        <v>8</v>
      </c>
      <c r="G382">
        <v>511</v>
      </c>
      <c r="H382">
        <v>19564</v>
      </c>
      <c r="I382">
        <v>16995855600</v>
      </c>
      <c r="J382">
        <v>105485264000</v>
      </c>
      <c r="K382">
        <v>6.2065286080684201</v>
      </c>
      <c r="L382">
        <v>2614000</v>
      </c>
      <c r="M382">
        <v>2268562800</v>
      </c>
      <c r="N382">
        <v>3531659800</v>
      </c>
      <c r="O382">
        <v>5800222600</v>
      </c>
      <c r="P382">
        <v>133500</v>
      </c>
      <c r="Q382">
        <v>10517530200</v>
      </c>
      <c r="R382">
        <v>10517663700</v>
      </c>
      <c r="S382">
        <v>1276000</v>
      </c>
      <c r="T382">
        <v>31115500</v>
      </c>
      <c r="U382">
        <v>18761236600</v>
      </c>
      <c r="V382">
        <v>83287836900</v>
      </c>
      <c r="W382">
        <v>476900</v>
      </c>
      <c r="X382">
        <v>16995855600</v>
      </c>
    </row>
    <row r="383" spans="1:24" x14ac:dyDescent="0.3">
      <c r="A383">
        <v>57</v>
      </c>
      <c r="B383">
        <v>131072</v>
      </c>
      <c r="C383">
        <v>7</v>
      </c>
      <c r="D383">
        <v>512</v>
      </c>
      <c r="E383">
        <v>0.5</v>
      </c>
      <c r="F383">
        <v>8</v>
      </c>
      <c r="G383">
        <v>511</v>
      </c>
      <c r="H383">
        <v>9048</v>
      </c>
      <c r="I383">
        <v>9660991000</v>
      </c>
      <c r="J383">
        <v>51698382400</v>
      </c>
      <c r="K383">
        <v>5.3512504462533901</v>
      </c>
      <c r="L383">
        <v>1366000</v>
      </c>
      <c r="M383">
        <v>2259218900</v>
      </c>
      <c r="N383">
        <v>1872276300</v>
      </c>
      <c r="O383">
        <v>4131495200</v>
      </c>
      <c r="P383">
        <v>85100</v>
      </c>
      <c r="Q383">
        <v>4847808900</v>
      </c>
      <c r="R383">
        <v>4847894000</v>
      </c>
      <c r="S383">
        <v>1448900</v>
      </c>
      <c r="T383">
        <v>31428200</v>
      </c>
      <c r="U383">
        <v>10016871200</v>
      </c>
      <c r="V383">
        <v>38517533900</v>
      </c>
      <c r="W383">
        <v>386900</v>
      </c>
      <c r="X383">
        <v>9660991000</v>
      </c>
    </row>
    <row r="384" spans="1:24" x14ac:dyDescent="0.3">
      <c r="A384">
        <v>58</v>
      </c>
      <c r="B384">
        <v>131072</v>
      </c>
      <c r="C384">
        <v>7</v>
      </c>
      <c r="D384">
        <v>512</v>
      </c>
      <c r="E384">
        <v>0.65</v>
      </c>
      <c r="F384">
        <v>8</v>
      </c>
      <c r="G384">
        <v>511</v>
      </c>
      <c r="H384">
        <v>3604</v>
      </c>
      <c r="I384">
        <v>5988536900</v>
      </c>
      <c r="J384">
        <v>24504073600</v>
      </c>
      <c r="K384">
        <v>4.0918297756501998</v>
      </c>
      <c r="L384">
        <v>776800</v>
      </c>
      <c r="M384">
        <v>2276088600</v>
      </c>
      <c r="N384">
        <v>1081464500</v>
      </c>
      <c r="O384">
        <v>3357553100</v>
      </c>
      <c r="P384">
        <v>89300</v>
      </c>
      <c r="Q384">
        <v>1948686400</v>
      </c>
      <c r="R384">
        <v>1948775700</v>
      </c>
      <c r="S384">
        <v>3106600</v>
      </c>
      <c r="T384">
        <v>33115800</v>
      </c>
      <c r="U384">
        <v>5708449600</v>
      </c>
      <c r="V384">
        <v>15354649600</v>
      </c>
      <c r="W384">
        <v>381300</v>
      </c>
      <c r="X384">
        <v>5988536900</v>
      </c>
    </row>
    <row r="385" spans="1:24" x14ac:dyDescent="0.3">
      <c r="A385">
        <v>59</v>
      </c>
      <c r="B385">
        <v>131072</v>
      </c>
      <c r="C385">
        <v>7</v>
      </c>
      <c r="D385">
        <v>512</v>
      </c>
      <c r="E385">
        <v>0.8</v>
      </c>
      <c r="F385">
        <v>8</v>
      </c>
      <c r="G385">
        <v>511</v>
      </c>
      <c r="H385">
        <v>1980</v>
      </c>
      <c r="I385">
        <v>4809905200</v>
      </c>
      <c r="J385">
        <v>15599479400</v>
      </c>
      <c r="K385">
        <v>3.24319893040719</v>
      </c>
      <c r="L385">
        <v>472900</v>
      </c>
      <c r="M385">
        <v>2282801300</v>
      </c>
      <c r="N385">
        <v>775544100</v>
      </c>
      <c r="O385">
        <v>3058345400</v>
      </c>
      <c r="P385">
        <v>85800</v>
      </c>
      <c r="Q385">
        <v>1073123800</v>
      </c>
      <c r="R385">
        <v>1073209600</v>
      </c>
      <c r="S385">
        <v>1333400</v>
      </c>
      <c r="T385">
        <v>31505900</v>
      </c>
      <c r="U385">
        <v>4122409800</v>
      </c>
      <c r="V385">
        <v>8413417000</v>
      </c>
      <c r="W385">
        <v>408200</v>
      </c>
      <c r="X385">
        <v>4809905200</v>
      </c>
    </row>
    <row r="386" spans="1:24" x14ac:dyDescent="0.3">
      <c r="A386">
        <v>60</v>
      </c>
      <c r="B386">
        <v>131072</v>
      </c>
      <c r="C386">
        <v>7</v>
      </c>
      <c r="D386">
        <v>512</v>
      </c>
      <c r="E386">
        <v>0.95</v>
      </c>
      <c r="F386">
        <v>8</v>
      </c>
      <c r="G386">
        <v>511</v>
      </c>
      <c r="H386">
        <v>1024</v>
      </c>
      <c r="I386">
        <v>3793436600</v>
      </c>
      <c r="J386">
        <v>9296306700</v>
      </c>
      <c r="K386">
        <v>2.4506292526412499</v>
      </c>
      <c r="L386">
        <v>174900</v>
      </c>
      <c r="M386">
        <v>2281931500</v>
      </c>
      <c r="N386">
        <v>283061700</v>
      </c>
      <c r="O386">
        <v>2564993200</v>
      </c>
      <c r="P386">
        <v>60400</v>
      </c>
      <c r="Q386">
        <v>562982300</v>
      </c>
      <c r="R386">
        <v>563042700</v>
      </c>
      <c r="S386">
        <v>1346800</v>
      </c>
      <c r="T386">
        <v>31726200</v>
      </c>
      <c r="U386">
        <v>1485065600</v>
      </c>
      <c r="V386">
        <v>4389210600</v>
      </c>
      <c r="W386">
        <v>371600</v>
      </c>
      <c r="X386">
        <v>3793436600</v>
      </c>
    </row>
    <row r="387" spans="1:24" x14ac:dyDescent="0.3">
      <c r="A387">
        <v>61</v>
      </c>
      <c r="B387">
        <v>262144</v>
      </c>
      <c r="C387">
        <v>3</v>
      </c>
      <c r="D387">
        <v>64</v>
      </c>
      <c r="E387">
        <v>0.2</v>
      </c>
      <c r="F387">
        <v>12</v>
      </c>
      <c r="G387">
        <v>8191</v>
      </c>
      <c r="H387" s="1">
        <v>2182908</v>
      </c>
      <c r="I387">
        <v>27113271800</v>
      </c>
      <c r="J387">
        <v>173516496100</v>
      </c>
      <c r="K387">
        <v>6.3996885871958797</v>
      </c>
      <c r="L387">
        <v>389107200</v>
      </c>
      <c r="M387">
        <v>54595000</v>
      </c>
      <c r="N387">
        <v>8036379100</v>
      </c>
      <c r="O387">
        <v>8090974100</v>
      </c>
      <c r="P387">
        <v>9016300</v>
      </c>
      <c r="Q387">
        <v>18490403900</v>
      </c>
      <c r="R387">
        <v>18499420200</v>
      </c>
      <c r="S387">
        <v>2090800</v>
      </c>
      <c r="T387">
        <v>126201800</v>
      </c>
      <c r="U387">
        <v>41374867600</v>
      </c>
      <c r="V387">
        <v>130159522800</v>
      </c>
      <c r="W387">
        <v>846100</v>
      </c>
      <c r="X387">
        <v>27113271800</v>
      </c>
    </row>
    <row r="388" spans="1:24" x14ac:dyDescent="0.3">
      <c r="A388">
        <v>62</v>
      </c>
      <c r="B388">
        <v>262144</v>
      </c>
      <c r="C388">
        <v>3</v>
      </c>
      <c r="D388">
        <v>64</v>
      </c>
      <c r="E388">
        <v>0.35</v>
      </c>
      <c r="F388">
        <v>12</v>
      </c>
      <c r="G388">
        <v>8191</v>
      </c>
      <c r="H388">
        <v>487892</v>
      </c>
      <c r="I388">
        <v>7347957300</v>
      </c>
      <c r="J388">
        <v>42912422900</v>
      </c>
      <c r="K388">
        <v>5.8400479409427097</v>
      </c>
      <c r="L388">
        <v>153609700</v>
      </c>
      <c r="M388">
        <v>139099800</v>
      </c>
      <c r="N388">
        <v>2334785200</v>
      </c>
      <c r="O388">
        <v>2473885000</v>
      </c>
      <c r="P388">
        <v>1257500</v>
      </c>
      <c r="Q388">
        <v>4081455700</v>
      </c>
      <c r="R388">
        <v>4082713200</v>
      </c>
      <c r="S388">
        <v>2194900</v>
      </c>
      <c r="T388">
        <v>74691100</v>
      </c>
      <c r="U388">
        <v>12271121200</v>
      </c>
      <c r="V388">
        <v>29116161300</v>
      </c>
      <c r="W388">
        <v>942800</v>
      </c>
      <c r="X388">
        <v>7347957300</v>
      </c>
    </row>
    <row r="389" spans="1:24" x14ac:dyDescent="0.3">
      <c r="A389">
        <v>63</v>
      </c>
      <c r="B389">
        <v>262144</v>
      </c>
      <c r="C389">
        <v>3</v>
      </c>
      <c r="D389">
        <v>64</v>
      </c>
      <c r="E389">
        <v>0.5</v>
      </c>
      <c r="F389">
        <v>12</v>
      </c>
      <c r="G389">
        <v>8191</v>
      </c>
      <c r="H389">
        <v>173652</v>
      </c>
      <c r="I389">
        <v>3435120500</v>
      </c>
      <c r="J389">
        <v>17520138800</v>
      </c>
      <c r="K389">
        <v>5.1002981700350798</v>
      </c>
      <c r="L389">
        <v>38930400</v>
      </c>
      <c r="M389">
        <v>257190800</v>
      </c>
      <c r="N389">
        <v>1057128200</v>
      </c>
      <c r="O389">
        <v>1314319000</v>
      </c>
      <c r="P389">
        <v>559400</v>
      </c>
      <c r="Q389">
        <v>1460222100</v>
      </c>
      <c r="R389">
        <v>1460781500</v>
      </c>
      <c r="S389">
        <v>2377700</v>
      </c>
      <c r="T389">
        <v>80299200</v>
      </c>
      <c r="U389">
        <v>5292358200</v>
      </c>
      <c r="V389">
        <v>10540102900</v>
      </c>
      <c r="W389">
        <v>830400</v>
      </c>
      <c r="X389">
        <v>3435120500</v>
      </c>
    </row>
    <row r="390" spans="1:24" x14ac:dyDescent="0.3">
      <c r="A390">
        <v>64</v>
      </c>
      <c r="B390">
        <v>262144</v>
      </c>
      <c r="C390">
        <v>3</v>
      </c>
      <c r="D390">
        <v>64</v>
      </c>
      <c r="E390">
        <v>0.65</v>
      </c>
      <c r="F390">
        <v>12</v>
      </c>
      <c r="G390">
        <v>8191</v>
      </c>
      <c r="H390">
        <v>68692</v>
      </c>
      <c r="I390">
        <v>1904579900</v>
      </c>
      <c r="J390">
        <v>7789353800</v>
      </c>
      <c r="K390">
        <v>4.0898015357612403</v>
      </c>
      <c r="L390">
        <v>11934000</v>
      </c>
      <c r="M390">
        <v>287111300</v>
      </c>
      <c r="N390">
        <v>402215300</v>
      </c>
      <c r="O390">
        <v>689326600</v>
      </c>
      <c r="P390">
        <v>201300</v>
      </c>
      <c r="Q390">
        <v>587352900</v>
      </c>
      <c r="R390">
        <v>587554200</v>
      </c>
      <c r="S390">
        <v>2107800</v>
      </c>
      <c r="T390">
        <v>83693800</v>
      </c>
      <c r="U390">
        <v>1952979900</v>
      </c>
      <c r="V390">
        <v>4111456000</v>
      </c>
      <c r="W390">
        <v>836600</v>
      </c>
      <c r="X390">
        <v>1904579900</v>
      </c>
    </row>
    <row r="391" spans="1:24" x14ac:dyDescent="0.3">
      <c r="A391">
        <v>65</v>
      </c>
      <c r="B391">
        <v>262144</v>
      </c>
      <c r="C391">
        <v>3</v>
      </c>
      <c r="D391">
        <v>64</v>
      </c>
      <c r="E391">
        <v>0.8</v>
      </c>
      <c r="F391">
        <v>12</v>
      </c>
      <c r="G391">
        <v>8191</v>
      </c>
      <c r="H391">
        <v>32592</v>
      </c>
      <c r="I391">
        <v>1030278200</v>
      </c>
      <c r="J391">
        <v>4812347900</v>
      </c>
      <c r="K391">
        <v>4.67092082507423</v>
      </c>
      <c r="L391">
        <v>13249900</v>
      </c>
      <c r="M391">
        <v>351202100</v>
      </c>
      <c r="N391">
        <v>248040700</v>
      </c>
      <c r="O391">
        <v>599242800</v>
      </c>
      <c r="P391">
        <v>163500</v>
      </c>
      <c r="Q391">
        <v>283214900</v>
      </c>
      <c r="R391">
        <v>283378400</v>
      </c>
      <c r="S391">
        <v>2208800</v>
      </c>
      <c r="T391">
        <v>79094700</v>
      </c>
      <c r="U391">
        <v>1136856100</v>
      </c>
      <c r="V391">
        <v>1954966300</v>
      </c>
      <c r="W391">
        <v>822500</v>
      </c>
      <c r="X391">
        <v>1030278200</v>
      </c>
    </row>
    <row r="392" spans="1:24" x14ac:dyDescent="0.3">
      <c r="A392">
        <v>66</v>
      </c>
      <c r="B392">
        <v>262144</v>
      </c>
      <c r="C392">
        <v>3</v>
      </c>
      <c r="D392">
        <v>64</v>
      </c>
      <c r="E392">
        <v>0.95</v>
      </c>
      <c r="F392">
        <v>12</v>
      </c>
      <c r="G392">
        <v>8191</v>
      </c>
      <c r="H392">
        <v>24472</v>
      </c>
      <c r="I392">
        <v>878960400</v>
      </c>
      <c r="J392">
        <v>3544426700</v>
      </c>
      <c r="K392">
        <v>4.032521487885</v>
      </c>
      <c r="L392">
        <v>3413300</v>
      </c>
      <c r="M392">
        <v>435560000</v>
      </c>
      <c r="N392">
        <v>77729700</v>
      </c>
      <c r="O392">
        <v>513289700</v>
      </c>
      <c r="P392">
        <v>122600</v>
      </c>
      <c r="Q392">
        <v>229595100</v>
      </c>
      <c r="R392">
        <v>229717700</v>
      </c>
      <c r="S392">
        <v>2096600</v>
      </c>
      <c r="T392">
        <v>83691400</v>
      </c>
      <c r="U392">
        <v>364937400</v>
      </c>
      <c r="V392">
        <v>1476655500</v>
      </c>
      <c r="W392">
        <v>874200</v>
      </c>
      <c r="X392">
        <v>878960400</v>
      </c>
    </row>
    <row r="393" spans="1:24" x14ac:dyDescent="0.3">
      <c r="A393">
        <v>67</v>
      </c>
      <c r="B393">
        <v>262144</v>
      </c>
      <c r="C393">
        <v>4</v>
      </c>
      <c r="D393">
        <v>125</v>
      </c>
      <c r="E393">
        <v>0.2</v>
      </c>
      <c r="F393">
        <v>12</v>
      </c>
      <c r="G393">
        <v>8191</v>
      </c>
      <c r="H393" s="1">
        <v>2185460</v>
      </c>
      <c r="I393">
        <v>46486702800</v>
      </c>
      <c r="J393">
        <v>286051364000</v>
      </c>
      <c r="K393">
        <v>6.1534018712981204</v>
      </c>
      <c r="L393">
        <v>367230100</v>
      </c>
      <c r="M393">
        <v>478767000</v>
      </c>
      <c r="N393">
        <v>26365055800</v>
      </c>
      <c r="O393">
        <v>26843822800</v>
      </c>
      <c r="P393">
        <v>8584300</v>
      </c>
      <c r="Q393">
        <v>19038124000</v>
      </c>
      <c r="R393">
        <v>19046708300</v>
      </c>
      <c r="S393">
        <v>2648300</v>
      </c>
      <c r="T393">
        <v>428080600</v>
      </c>
      <c r="U393">
        <v>152206328500</v>
      </c>
      <c r="V393">
        <v>130222051300</v>
      </c>
      <c r="W393">
        <v>879400</v>
      </c>
      <c r="X393">
        <v>46486702800</v>
      </c>
    </row>
    <row r="394" spans="1:24" x14ac:dyDescent="0.3">
      <c r="A394">
        <v>68</v>
      </c>
      <c r="B394">
        <v>262144</v>
      </c>
      <c r="C394">
        <v>4</v>
      </c>
      <c r="D394">
        <v>125</v>
      </c>
      <c r="E394">
        <v>0.35</v>
      </c>
      <c r="F394">
        <v>12</v>
      </c>
      <c r="G394">
        <v>8191</v>
      </c>
      <c r="H394">
        <v>489456</v>
      </c>
      <c r="I394">
        <v>13427115400</v>
      </c>
      <c r="J394">
        <v>76917211000</v>
      </c>
      <c r="K394">
        <v>5.72849854258346</v>
      </c>
      <c r="L394">
        <v>100219800</v>
      </c>
      <c r="M394">
        <v>687479400</v>
      </c>
      <c r="N394">
        <v>7632448500</v>
      </c>
      <c r="O394">
        <v>8319927900</v>
      </c>
      <c r="P394">
        <v>1327200</v>
      </c>
      <c r="Q394">
        <v>4274146600</v>
      </c>
      <c r="R394">
        <v>4275473800</v>
      </c>
      <c r="S394">
        <v>2209500</v>
      </c>
      <c r="T394">
        <v>92228800</v>
      </c>
      <c r="U394">
        <v>44398938500</v>
      </c>
      <c r="V394">
        <v>29082393500</v>
      </c>
      <c r="W394">
        <v>869400</v>
      </c>
      <c r="X394">
        <v>13427115400</v>
      </c>
    </row>
    <row r="395" spans="1:24" x14ac:dyDescent="0.3">
      <c r="A395">
        <v>69</v>
      </c>
      <c r="B395">
        <v>262144</v>
      </c>
      <c r="C395">
        <v>4</v>
      </c>
      <c r="D395">
        <v>125</v>
      </c>
      <c r="E395">
        <v>0.5</v>
      </c>
      <c r="F395">
        <v>12</v>
      </c>
      <c r="G395">
        <v>8191</v>
      </c>
      <c r="H395">
        <v>173924</v>
      </c>
      <c r="I395">
        <v>6408844700</v>
      </c>
      <c r="J395">
        <v>33619912300</v>
      </c>
      <c r="K395">
        <v>5.2458615981129899</v>
      </c>
      <c r="L395">
        <v>39496300</v>
      </c>
      <c r="M395">
        <v>747984300</v>
      </c>
      <c r="N395">
        <v>3382104700</v>
      </c>
      <c r="O395">
        <v>4130089000</v>
      </c>
      <c r="P395">
        <v>593300</v>
      </c>
      <c r="Q395">
        <v>1506522500</v>
      </c>
      <c r="R395">
        <v>1507115800</v>
      </c>
      <c r="S395">
        <v>2449300</v>
      </c>
      <c r="T395">
        <v>87102300</v>
      </c>
      <c r="U395">
        <v>19764610900</v>
      </c>
      <c r="V395">
        <v>10414316000</v>
      </c>
      <c r="W395">
        <v>827200</v>
      </c>
      <c r="X395">
        <v>6408844700</v>
      </c>
    </row>
    <row r="396" spans="1:24" x14ac:dyDescent="0.3">
      <c r="A396">
        <v>70</v>
      </c>
      <c r="B396">
        <v>262144</v>
      </c>
      <c r="C396">
        <v>4</v>
      </c>
      <c r="D396">
        <v>125</v>
      </c>
      <c r="E396">
        <v>0.65</v>
      </c>
      <c r="F396">
        <v>12</v>
      </c>
      <c r="G396">
        <v>8191</v>
      </c>
      <c r="H396">
        <v>68744</v>
      </c>
      <c r="I396">
        <v>3357675400</v>
      </c>
      <c r="J396">
        <v>14811604800</v>
      </c>
      <c r="K396">
        <v>4.4112676287886501</v>
      </c>
      <c r="L396">
        <v>12183600</v>
      </c>
      <c r="M396">
        <v>773927400</v>
      </c>
      <c r="N396">
        <v>1251533500</v>
      </c>
      <c r="O396">
        <v>2025460900</v>
      </c>
      <c r="P396">
        <v>223700</v>
      </c>
      <c r="Q396">
        <v>597462300</v>
      </c>
      <c r="R396">
        <v>597686000</v>
      </c>
      <c r="S396">
        <v>2136500</v>
      </c>
      <c r="T396">
        <v>88936500</v>
      </c>
      <c r="U396">
        <v>7281301300</v>
      </c>
      <c r="V396">
        <v>4129247200</v>
      </c>
      <c r="W396">
        <v>864300</v>
      </c>
      <c r="X396">
        <v>3357675400</v>
      </c>
    </row>
    <row r="397" spans="1:24" x14ac:dyDescent="0.3">
      <c r="A397">
        <v>71</v>
      </c>
      <c r="B397">
        <v>262144</v>
      </c>
      <c r="C397">
        <v>4</v>
      </c>
      <c r="D397">
        <v>125</v>
      </c>
      <c r="E397">
        <v>0.8</v>
      </c>
      <c r="F397">
        <v>12</v>
      </c>
      <c r="G397">
        <v>8191</v>
      </c>
      <c r="H397">
        <v>32404</v>
      </c>
      <c r="I397">
        <v>2684344100</v>
      </c>
      <c r="J397">
        <v>9459357700</v>
      </c>
      <c r="K397">
        <v>3.5238990783633102</v>
      </c>
      <c r="L397">
        <v>6169800</v>
      </c>
      <c r="M397">
        <v>780430700</v>
      </c>
      <c r="N397">
        <v>724504800</v>
      </c>
      <c r="O397">
        <v>1504935500</v>
      </c>
      <c r="P397">
        <v>175400</v>
      </c>
      <c r="Q397">
        <v>289377100</v>
      </c>
      <c r="R397">
        <v>289552500</v>
      </c>
      <c r="S397">
        <v>2314100</v>
      </c>
      <c r="T397">
        <v>91322900</v>
      </c>
      <c r="U397">
        <v>4159114900</v>
      </c>
      <c r="V397">
        <v>1942422800</v>
      </c>
      <c r="W397">
        <v>876400</v>
      </c>
      <c r="X397">
        <v>2684344100</v>
      </c>
    </row>
    <row r="398" spans="1:24" x14ac:dyDescent="0.3">
      <c r="A398">
        <v>72</v>
      </c>
      <c r="B398">
        <v>262144</v>
      </c>
      <c r="C398">
        <v>4</v>
      </c>
      <c r="D398">
        <v>125</v>
      </c>
      <c r="E398">
        <v>0.95</v>
      </c>
      <c r="F398">
        <v>12</v>
      </c>
      <c r="G398">
        <v>8191</v>
      </c>
      <c r="H398">
        <v>24504</v>
      </c>
      <c r="I398">
        <v>1558369500</v>
      </c>
      <c r="J398">
        <v>6161001500</v>
      </c>
      <c r="K398">
        <v>3.9534920954240902</v>
      </c>
      <c r="L398">
        <v>3335400</v>
      </c>
      <c r="M398">
        <v>897704100</v>
      </c>
      <c r="N398">
        <v>216823400</v>
      </c>
      <c r="O398">
        <v>1114527500</v>
      </c>
      <c r="P398">
        <v>119400</v>
      </c>
      <c r="Q398">
        <v>215443600</v>
      </c>
      <c r="R398">
        <v>215563000</v>
      </c>
      <c r="S398">
        <v>2109000</v>
      </c>
      <c r="T398">
        <v>89189800</v>
      </c>
      <c r="U398">
        <v>1259630000</v>
      </c>
      <c r="V398">
        <v>1472678000</v>
      </c>
      <c r="W398">
        <v>854900</v>
      </c>
      <c r="X398">
        <v>1558369500</v>
      </c>
    </row>
    <row r="399" spans="1:24" x14ac:dyDescent="0.3">
      <c r="A399">
        <v>73</v>
      </c>
      <c r="B399">
        <v>262144</v>
      </c>
      <c r="C399">
        <v>5</v>
      </c>
      <c r="D399">
        <v>216</v>
      </c>
      <c r="E399">
        <v>0.2</v>
      </c>
      <c r="F399">
        <v>11</v>
      </c>
      <c r="G399">
        <v>4095</v>
      </c>
      <c r="H399">
        <v>939240</v>
      </c>
      <c r="I399">
        <v>64708936700</v>
      </c>
      <c r="J399">
        <v>384279554000</v>
      </c>
      <c r="K399">
        <v>5.9385855122542903</v>
      </c>
      <c r="L399">
        <v>140791800</v>
      </c>
      <c r="M399">
        <v>1571319200</v>
      </c>
      <c r="N399">
        <v>31253816100</v>
      </c>
      <c r="O399">
        <v>32825135300</v>
      </c>
      <c r="P399">
        <v>2550700</v>
      </c>
      <c r="Q399">
        <v>31436280200</v>
      </c>
      <c r="R399">
        <v>31438830900</v>
      </c>
      <c r="S399">
        <v>5632700</v>
      </c>
      <c r="T399">
        <v>75790600</v>
      </c>
      <c r="U399">
        <v>149064048300</v>
      </c>
      <c r="V399">
        <v>230607506000</v>
      </c>
      <c r="W399">
        <v>884000</v>
      </c>
      <c r="X399">
        <v>64708936700</v>
      </c>
    </row>
    <row r="400" spans="1:24" x14ac:dyDescent="0.3">
      <c r="A400">
        <v>74</v>
      </c>
      <c r="B400">
        <v>262144</v>
      </c>
      <c r="C400">
        <v>5</v>
      </c>
      <c r="D400">
        <v>216</v>
      </c>
      <c r="E400">
        <v>0.35</v>
      </c>
      <c r="F400">
        <v>11</v>
      </c>
      <c r="G400">
        <v>4095</v>
      </c>
      <c r="H400">
        <v>213808</v>
      </c>
      <c r="I400">
        <v>22117796400</v>
      </c>
      <c r="J400">
        <v>117071968600</v>
      </c>
      <c r="K400">
        <v>5.2931117767229203</v>
      </c>
      <c r="L400">
        <v>43508100</v>
      </c>
      <c r="M400">
        <v>1624877500</v>
      </c>
      <c r="N400">
        <v>12463793100</v>
      </c>
      <c r="O400">
        <v>14088670600</v>
      </c>
      <c r="P400">
        <v>669200</v>
      </c>
      <c r="Q400">
        <v>7183535900</v>
      </c>
      <c r="R400">
        <v>7184205100</v>
      </c>
      <c r="S400">
        <v>2202300</v>
      </c>
      <c r="T400">
        <v>77216500</v>
      </c>
      <c r="U400">
        <v>59111048300</v>
      </c>
      <c r="V400">
        <v>53297462800</v>
      </c>
      <c r="W400">
        <v>843100</v>
      </c>
      <c r="X400">
        <v>22117796400</v>
      </c>
    </row>
    <row r="401" spans="1:24" x14ac:dyDescent="0.3">
      <c r="A401">
        <v>75</v>
      </c>
      <c r="B401">
        <v>262144</v>
      </c>
      <c r="C401">
        <v>5</v>
      </c>
      <c r="D401">
        <v>216</v>
      </c>
      <c r="E401">
        <v>0.5</v>
      </c>
      <c r="F401">
        <v>11</v>
      </c>
      <c r="G401">
        <v>4095</v>
      </c>
      <c r="H401">
        <v>85520</v>
      </c>
      <c r="I401">
        <v>10389985700</v>
      </c>
      <c r="J401">
        <v>50393865900</v>
      </c>
      <c r="K401">
        <v>4.85023438482692</v>
      </c>
      <c r="L401">
        <v>14313700</v>
      </c>
      <c r="M401">
        <v>1543785300</v>
      </c>
      <c r="N401">
        <v>5149450300</v>
      </c>
      <c r="O401">
        <v>6693235600</v>
      </c>
      <c r="P401">
        <v>259300</v>
      </c>
      <c r="Q401">
        <v>2876772100</v>
      </c>
      <c r="R401">
        <v>2877031400</v>
      </c>
      <c r="S401">
        <v>2464300</v>
      </c>
      <c r="T401">
        <v>82077200</v>
      </c>
      <c r="U401">
        <v>24786635600</v>
      </c>
      <c r="V401">
        <v>21039424600</v>
      </c>
      <c r="W401">
        <v>869000</v>
      </c>
      <c r="X401">
        <v>10389985700</v>
      </c>
    </row>
    <row r="402" spans="1:24" x14ac:dyDescent="0.3">
      <c r="A402">
        <v>76</v>
      </c>
      <c r="B402">
        <v>262144</v>
      </c>
      <c r="C402">
        <v>5</v>
      </c>
      <c r="D402">
        <v>216</v>
      </c>
      <c r="E402">
        <v>0.65</v>
      </c>
      <c r="F402">
        <v>11</v>
      </c>
      <c r="G402">
        <v>4095</v>
      </c>
      <c r="H402">
        <v>30932</v>
      </c>
      <c r="I402">
        <v>5510441300</v>
      </c>
      <c r="J402">
        <v>22845897400</v>
      </c>
      <c r="K402">
        <v>4.1459288206191403</v>
      </c>
      <c r="L402">
        <v>5506000</v>
      </c>
      <c r="M402">
        <v>1506388100</v>
      </c>
      <c r="N402">
        <v>2152913200</v>
      </c>
      <c r="O402">
        <v>3659301300</v>
      </c>
      <c r="P402">
        <v>179300</v>
      </c>
      <c r="Q402">
        <v>1036923300</v>
      </c>
      <c r="R402">
        <v>1037102600</v>
      </c>
      <c r="S402">
        <v>2232000</v>
      </c>
      <c r="T402">
        <v>79997500</v>
      </c>
      <c r="U402">
        <v>10386806800</v>
      </c>
      <c r="V402">
        <v>7784482900</v>
      </c>
      <c r="W402">
        <v>914400</v>
      </c>
      <c r="X402">
        <v>5510441300</v>
      </c>
    </row>
    <row r="403" spans="1:24" x14ac:dyDescent="0.3">
      <c r="A403">
        <v>77</v>
      </c>
      <c r="B403">
        <v>262144</v>
      </c>
      <c r="C403">
        <v>5</v>
      </c>
      <c r="D403">
        <v>216</v>
      </c>
      <c r="E403">
        <v>0.8</v>
      </c>
      <c r="F403">
        <v>11</v>
      </c>
      <c r="G403">
        <v>4095</v>
      </c>
      <c r="H403">
        <v>15324</v>
      </c>
      <c r="I403">
        <v>4127192100</v>
      </c>
      <c r="J403">
        <v>14565242000</v>
      </c>
      <c r="K403">
        <v>3.5290923337442899</v>
      </c>
      <c r="L403">
        <v>2980400</v>
      </c>
      <c r="M403">
        <v>1525768500</v>
      </c>
      <c r="N403">
        <v>1276813500</v>
      </c>
      <c r="O403">
        <v>2802582000</v>
      </c>
      <c r="P403">
        <v>161100</v>
      </c>
      <c r="Q403">
        <v>518778000</v>
      </c>
      <c r="R403">
        <v>518939100</v>
      </c>
      <c r="S403">
        <v>2127000</v>
      </c>
      <c r="T403">
        <v>86695600</v>
      </c>
      <c r="U403">
        <v>6163359100</v>
      </c>
      <c r="V403">
        <v>3785677200</v>
      </c>
      <c r="W403">
        <v>868400</v>
      </c>
      <c r="X403">
        <v>4127192100</v>
      </c>
    </row>
    <row r="404" spans="1:24" x14ac:dyDescent="0.3">
      <c r="A404">
        <v>78</v>
      </c>
      <c r="B404">
        <v>262144</v>
      </c>
      <c r="C404">
        <v>5</v>
      </c>
      <c r="D404">
        <v>216</v>
      </c>
      <c r="E404">
        <v>0.95</v>
      </c>
      <c r="F404">
        <v>11</v>
      </c>
      <c r="G404">
        <v>4095</v>
      </c>
      <c r="H404">
        <v>8192</v>
      </c>
      <c r="I404">
        <v>3246637600</v>
      </c>
      <c r="J404">
        <v>8764083500</v>
      </c>
      <c r="K404">
        <v>2.6994338696748899</v>
      </c>
      <c r="L404">
        <v>1374400</v>
      </c>
      <c r="M404">
        <v>1545825000</v>
      </c>
      <c r="N404">
        <v>451241900</v>
      </c>
      <c r="O404">
        <v>1997066900</v>
      </c>
      <c r="P404">
        <v>108200</v>
      </c>
      <c r="Q404">
        <v>283927000</v>
      </c>
      <c r="R404">
        <v>284035200</v>
      </c>
      <c r="S404">
        <v>2157100</v>
      </c>
      <c r="T404">
        <v>80338500</v>
      </c>
      <c r="U404">
        <v>2162899000</v>
      </c>
      <c r="V404">
        <v>2027862300</v>
      </c>
      <c r="W404">
        <v>856000</v>
      </c>
      <c r="X404">
        <v>3246637600</v>
      </c>
    </row>
    <row r="405" spans="1:24" x14ac:dyDescent="0.3">
      <c r="A405">
        <v>79</v>
      </c>
      <c r="B405">
        <v>262144</v>
      </c>
      <c r="C405">
        <v>6</v>
      </c>
      <c r="D405">
        <v>343</v>
      </c>
      <c r="E405">
        <v>0.2</v>
      </c>
      <c r="F405">
        <v>10</v>
      </c>
      <c r="G405">
        <v>2047</v>
      </c>
      <c r="H405">
        <v>335176</v>
      </c>
      <c r="I405">
        <v>87156613400</v>
      </c>
      <c r="J405">
        <v>531431357100</v>
      </c>
      <c r="K405">
        <v>6.0974300901416099</v>
      </c>
      <c r="L405">
        <v>55084700</v>
      </c>
      <c r="M405">
        <v>3638498000</v>
      </c>
      <c r="N405">
        <v>37805033800</v>
      </c>
      <c r="O405">
        <v>41443531800</v>
      </c>
      <c r="P405">
        <v>979900</v>
      </c>
      <c r="Q405">
        <v>45269722000</v>
      </c>
      <c r="R405">
        <v>45270701900</v>
      </c>
      <c r="S405">
        <v>2393900</v>
      </c>
      <c r="T405">
        <v>71525100</v>
      </c>
      <c r="U405">
        <v>177332740900</v>
      </c>
      <c r="V405">
        <v>348523961000</v>
      </c>
      <c r="W405">
        <v>900500</v>
      </c>
      <c r="X405">
        <v>87156613400</v>
      </c>
    </row>
    <row r="406" spans="1:24" x14ac:dyDescent="0.3">
      <c r="A406">
        <v>80</v>
      </c>
      <c r="B406">
        <v>262144</v>
      </c>
      <c r="C406">
        <v>6</v>
      </c>
      <c r="D406">
        <v>343</v>
      </c>
      <c r="E406">
        <v>0.35</v>
      </c>
      <c r="F406">
        <v>10</v>
      </c>
      <c r="G406">
        <v>2047</v>
      </c>
      <c r="H406">
        <v>91880</v>
      </c>
      <c r="I406">
        <v>32219178100</v>
      </c>
      <c r="J406">
        <v>174133041800</v>
      </c>
      <c r="K406">
        <v>5.40463947464879</v>
      </c>
      <c r="L406">
        <v>16267400</v>
      </c>
      <c r="M406">
        <v>3542692600</v>
      </c>
      <c r="N406">
        <v>15452120600</v>
      </c>
      <c r="O406">
        <v>18994813200</v>
      </c>
      <c r="P406">
        <v>250900</v>
      </c>
      <c r="Q406">
        <v>12330065000</v>
      </c>
      <c r="R406">
        <v>12330315900</v>
      </c>
      <c r="S406">
        <v>2196600</v>
      </c>
      <c r="T406">
        <v>78354100</v>
      </c>
      <c r="U406">
        <v>73366933300</v>
      </c>
      <c r="V406">
        <v>94829982800</v>
      </c>
      <c r="W406">
        <v>872400</v>
      </c>
      <c r="X406">
        <v>32219178100</v>
      </c>
    </row>
    <row r="407" spans="1:24" x14ac:dyDescent="0.3">
      <c r="A407">
        <v>81</v>
      </c>
      <c r="B407">
        <v>262144</v>
      </c>
      <c r="C407">
        <v>6</v>
      </c>
      <c r="D407">
        <v>343</v>
      </c>
      <c r="E407">
        <v>0.5</v>
      </c>
      <c r="F407">
        <v>10</v>
      </c>
      <c r="G407">
        <v>2047</v>
      </c>
      <c r="H407">
        <v>34928</v>
      </c>
      <c r="I407">
        <v>15842980500</v>
      </c>
      <c r="J407">
        <v>73677029500</v>
      </c>
      <c r="K407">
        <v>4.6504525774048604</v>
      </c>
      <c r="L407">
        <v>6421600</v>
      </c>
      <c r="M407">
        <v>3551789900</v>
      </c>
      <c r="N407">
        <v>6692742800</v>
      </c>
      <c r="O407">
        <v>10244532700</v>
      </c>
      <c r="P407">
        <v>134800</v>
      </c>
      <c r="Q407">
        <v>4698297200</v>
      </c>
      <c r="R407">
        <v>4698432000</v>
      </c>
      <c r="S407">
        <v>2240400</v>
      </c>
      <c r="T407">
        <v>75322000</v>
      </c>
      <c r="U407">
        <v>31871763200</v>
      </c>
      <c r="V407">
        <v>36151102300</v>
      </c>
      <c r="W407">
        <v>879000</v>
      </c>
      <c r="X407">
        <v>15842980500</v>
      </c>
    </row>
    <row r="408" spans="1:24" x14ac:dyDescent="0.3">
      <c r="A408">
        <v>82</v>
      </c>
      <c r="B408">
        <v>262144</v>
      </c>
      <c r="C408">
        <v>6</v>
      </c>
      <c r="D408">
        <v>343</v>
      </c>
      <c r="E408">
        <v>0.65</v>
      </c>
      <c r="F408">
        <v>10</v>
      </c>
      <c r="G408">
        <v>2047</v>
      </c>
      <c r="H408">
        <v>12368</v>
      </c>
      <c r="I408">
        <v>9283150000</v>
      </c>
      <c r="J408">
        <v>33588896000</v>
      </c>
      <c r="K408">
        <v>3.6182649208512099</v>
      </c>
      <c r="L408">
        <v>2655200</v>
      </c>
      <c r="M408">
        <v>3554693700</v>
      </c>
      <c r="N408">
        <v>3185774000</v>
      </c>
      <c r="O408">
        <v>6740467700</v>
      </c>
      <c r="P408">
        <v>73100</v>
      </c>
      <c r="Q408">
        <v>1656755500</v>
      </c>
      <c r="R408">
        <v>1656828600</v>
      </c>
      <c r="S408">
        <v>2225300</v>
      </c>
      <c r="T408">
        <v>78032400</v>
      </c>
      <c r="U408">
        <v>15072757500</v>
      </c>
      <c r="V408">
        <v>12811736200</v>
      </c>
      <c r="W408">
        <v>866900</v>
      </c>
      <c r="X408">
        <v>9283150000</v>
      </c>
    </row>
    <row r="409" spans="1:24" x14ac:dyDescent="0.3">
      <c r="A409">
        <v>83</v>
      </c>
      <c r="B409">
        <v>262144</v>
      </c>
      <c r="C409">
        <v>6</v>
      </c>
      <c r="D409">
        <v>343</v>
      </c>
      <c r="E409">
        <v>0.8</v>
      </c>
      <c r="F409">
        <v>10</v>
      </c>
      <c r="G409">
        <v>2047</v>
      </c>
      <c r="H409">
        <v>7604</v>
      </c>
      <c r="I409">
        <v>7229525500</v>
      </c>
      <c r="J409">
        <v>21666149200</v>
      </c>
      <c r="K409">
        <v>2.9968978185359401</v>
      </c>
      <c r="L409">
        <v>1636000</v>
      </c>
      <c r="M409">
        <v>3559678200</v>
      </c>
      <c r="N409">
        <v>1764568800</v>
      </c>
      <c r="O409">
        <v>5324247000</v>
      </c>
      <c r="P409">
        <v>84100</v>
      </c>
      <c r="Q409">
        <v>1020629700</v>
      </c>
      <c r="R409">
        <v>1020713800</v>
      </c>
      <c r="S409">
        <v>2298900</v>
      </c>
      <c r="T409">
        <v>78952300</v>
      </c>
      <c r="U409">
        <v>8350134000</v>
      </c>
      <c r="V409">
        <v>7811029600</v>
      </c>
      <c r="W409">
        <v>881000</v>
      </c>
      <c r="X409">
        <v>7229525500</v>
      </c>
    </row>
    <row r="410" spans="1:24" x14ac:dyDescent="0.3">
      <c r="A410">
        <v>84</v>
      </c>
      <c r="B410">
        <v>262144</v>
      </c>
      <c r="C410">
        <v>6</v>
      </c>
      <c r="D410">
        <v>343</v>
      </c>
      <c r="E410">
        <v>0.95</v>
      </c>
      <c r="F410">
        <v>10</v>
      </c>
      <c r="G410">
        <v>2047</v>
      </c>
      <c r="H410">
        <v>2048</v>
      </c>
      <c r="I410">
        <v>5907304200</v>
      </c>
      <c r="J410">
        <v>13175534700</v>
      </c>
      <c r="K410">
        <v>2.2303802638096699</v>
      </c>
      <c r="L410">
        <v>803600</v>
      </c>
      <c r="M410">
        <v>3584603400</v>
      </c>
      <c r="N410">
        <v>1146456700</v>
      </c>
      <c r="O410">
        <v>4731060100</v>
      </c>
      <c r="P410">
        <v>87900</v>
      </c>
      <c r="Q410">
        <v>284949900</v>
      </c>
      <c r="R410">
        <v>285037800</v>
      </c>
      <c r="S410">
        <v>2125100</v>
      </c>
      <c r="T410">
        <v>70992100</v>
      </c>
      <c r="U410">
        <v>5344912600</v>
      </c>
      <c r="V410">
        <v>2116596100</v>
      </c>
      <c r="W410">
        <v>841500</v>
      </c>
      <c r="X410">
        <v>5907304200</v>
      </c>
    </row>
    <row r="411" spans="1:24" x14ac:dyDescent="0.3">
      <c r="A411">
        <v>85</v>
      </c>
      <c r="B411">
        <v>262144</v>
      </c>
      <c r="C411">
        <v>7</v>
      </c>
      <c r="D411">
        <v>512</v>
      </c>
      <c r="E411">
        <v>0.2</v>
      </c>
      <c r="F411">
        <v>9</v>
      </c>
      <c r="G411">
        <v>1023</v>
      </c>
      <c r="H411">
        <v>165248</v>
      </c>
      <c r="I411">
        <v>108514145500</v>
      </c>
      <c r="J411">
        <v>788931235300</v>
      </c>
      <c r="K411">
        <v>7.2703077710730302</v>
      </c>
      <c r="L411">
        <v>19826300</v>
      </c>
      <c r="M411">
        <v>4295373400</v>
      </c>
      <c r="N411">
        <v>13526206100</v>
      </c>
      <c r="O411">
        <v>17821579500</v>
      </c>
      <c r="P411">
        <v>517200</v>
      </c>
      <c r="Q411">
        <v>89611354000</v>
      </c>
      <c r="R411">
        <v>89611871200</v>
      </c>
      <c r="S411">
        <v>2609000</v>
      </c>
      <c r="T411">
        <v>69511600</v>
      </c>
      <c r="U411">
        <v>71756728200</v>
      </c>
      <c r="V411">
        <v>710621669800</v>
      </c>
      <c r="W411">
        <v>970400</v>
      </c>
      <c r="X411">
        <v>108514145500</v>
      </c>
    </row>
    <row r="412" spans="1:24" x14ac:dyDescent="0.3">
      <c r="A412">
        <v>86</v>
      </c>
      <c r="B412">
        <v>262144</v>
      </c>
      <c r="C412">
        <v>7</v>
      </c>
      <c r="D412">
        <v>512</v>
      </c>
      <c r="E412">
        <v>0.35</v>
      </c>
      <c r="F412">
        <v>9</v>
      </c>
      <c r="G412">
        <v>1023</v>
      </c>
      <c r="H412">
        <v>49728</v>
      </c>
      <c r="I412">
        <v>40651444500</v>
      </c>
      <c r="J412">
        <v>268088429100</v>
      </c>
      <c r="K412">
        <v>6.5948069594427299</v>
      </c>
      <c r="L412">
        <v>14091500</v>
      </c>
      <c r="M412">
        <v>4262430000</v>
      </c>
      <c r="N412">
        <v>8920710600</v>
      </c>
      <c r="O412">
        <v>13183140600</v>
      </c>
      <c r="P412">
        <v>187900</v>
      </c>
      <c r="Q412">
        <v>26559075200</v>
      </c>
      <c r="R412">
        <v>26559263100</v>
      </c>
      <c r="S412">
        <v>2296000</v>
      </c>
      <c r="T412">
        <v>65227400</v>
      </c>
      <c r="U412">
        <v>47757868200</v>
      </c>
      <c r="V412">
        <v>213843328100</v>
      </c>
      <c r="W412">
        <v>888000</v>
      </c>
      <c r="X412">
        <v>40651444500</v>
      </c>
    </row>
    <row r="413" spans="1:24" x14ac:dyDescent="0.3">
      <c r="A413">
        <v>87</v>
      </c>
      <c r="B413">
        <v>262144</v>
      </c>
      <c r="C413">
        <v>7</v>
      </c>
      <c r="D413">
        <v>512</v>
      </c>
      <c r="E413">
        <v>0.5</v>
      </c>
      <c r="F413">
        <v>9</v>
      </c>
      <c r="G413">
        <v>1023</v>
      </c>
      <c r="H413">
        <v>19256</v>
      </c>
      <c r="I413">
        <v>20757117600</v>
      </c>
      <c r="J413">
        <v>116579723300</v>
      </c>
      <c r="K413">
        <v>5.6163734072595899</v>
      </c>
      <c r="L413">
        <v>3401600</v>
      </c>
      <c r="M413">
        <v>4267671200</v>
      </c>
      <c r="N413">
        <v>5215442600</v>
      </c>
      <c r="O413">
        <v>9483113800</v>
      </c>
      <c r="P413">
        <v>143700</v>
      </c>
      <c r="Q413">
        <v>10370221300</v>
      </c>
      <c r="R413">
        <v>10370365000</v>
      </c>
      <c r="S413">
        <v>2361000</v>
      </c>
      <c r="T413">
        <v>67416300</v>
      </c>
      <c r="U413">
        <v>27809165800</v>
      </c>
      <c r="V413">
        <v>82304430900</v>
      </c>
      <c r="W413">
        <v>919400</v>
      </c>
      <c r="X413">
        <v>20757117600</v>
      </c>
    </row>
    <row r="414" spans="1:24" x14ac:dyDescent="0.3">
      <c r="A414">
        <v>88</v>
      </c>
      <c r="B414">
        <v>262144</v>
      </c>
      <c r="C414">
        <v>7</v>
      </c>
      <c r="D414">
        <v>512</v>
      </c>
      <c r="E414">
        <v>0.65</v>
      </c>
      <c r="F414">
        <v>9</v>
      </c>
      <c r="G414">
        <v>1023</v>
      </c>
      <c r="H414">
        <v>8672</v>
      </c>
      <c r="I414">
        <v>12049288100</v>
      </c>
      <c r="J414">
        <v>55424245000</v>
      </c>
      <c r="K414">
        <v>4.5997941571336396</v>
      </c>
      <c r="L414">
        <v>1586300</v>
      </c>
      <c r="M414">
        <v>4274583400</v>
      </c>
      <c r="N414">
        <v>2225153500</v>
      </c>
      <c r="O414">
        <v>6499736900</v>
      </c>
      <c r="P414">
        <v>189300</v>
      </c>
      <c r="Q414">
        <v>4653326900</v>
      </c>
      <c r="R414">
        <v>4653516200</v>
      </c>
      <c r="S414">
        <v>2272000</v>
      </c>
      <c r="T414">
        <v>66176400</v>
      </c>
      <c r="U414">
        <v>11891975800</v>
      </c>
      <c r="V414">
        <v>37018732500</v>
      </c>
      <c r="W414">
        <v>891800</v>
      </c>
      <c r="X414">
        <v>12049288100</v>
      </c>
    </row>
    <row r="415" spans="1:24" x14ac:dyDescent="0.3">
      <c r="A415">
        <v>89</v>
      </c>
      <c r="B415">
        <v>262144</v>
      </c>
      <c r="C415">
        <v>7</v>
      </c>
      <c r="D415">
        <v>512</v>
      </c>
      <c r="E415">
        <v>0.8</v>
      </c>
      <c r="F415">
        <v>9</v>
      </c>
      <c r="G415">
        <v>1023</v>
      </c>
      <c r="H415">
        <v>4780</v>
      </c>
      <c r="I415">
        <v>9039649500</v>
      </c>
      <c r="J415">
        <v>33916143200</v>
      </c>
      <c r="K415">
        <v>3.7519312225545902</v>
      </c>
      <c r="L415">
        <v>1046100</v>
      </c>
      <c r="M415">
        <v>4274762800</v>
      </c>
      <c r="N415">
        <v>1317357900</v>
      </c>
      <c r="O415">
        <v>5592120700</v>
      </c>
      <c r="P415">
        <v>76300</v>
      </c>
      <c r="Q415">
        <v>2564553900</v>
      </c>
      <c r="R415">
        <v>2564630200</v>
      </c>
      <c r="S415">
        <v>2383200</v>
      </c>
      <c r="T415">
        <v>62512300</v>
      </c>
      <c r="U415">
        <v>7007281800</v>
      </c>
      <c r="V415">
        <v>20355466000</v>
      </c>
      <c r="W415">
        <v>895900</v>
      </c>
      <c r="X415">
        <v>9039649500</v>
      </c>
    </row>
    <row r="416" spans="1:24" x14ac:dyDescent="0.3">
      <c r="A416">
        <v>90</v>
      </c>
      <c r="B416">
        <v>262144</v>
      </c>
      <c r="C416">
        <v>7</v>
      </c>
      <c r="D416">
        <v>512</v>
      </c>
      <c r="E416">
        <v>0.95</v>
      </c>
      <c r="F416">
        <v>9</v>
      </c>
      <c r="G416">
        <v>1023</v>
      </c>
      <c r="H416">
        <v>3072</v>
      </c>
      <c r="I416">
        <v>7290000600</v>
      </c>
      <c r="J416">
        <v>22206013700</v>
      </c>
      <c r="K416">
        <v>3.04609216355894</v>
      </c>
      <c r="L416">
        <v>428800</v>
      </c>
      <c r="M416">
        <v>4275822000</v>
      </c>
      <c r="N416">
        <v>471722400</v>
      </c>
      <c r="O416">
        <v>4747544400</v>
      </c>
      <c r="P416">
        <v>107300</v>
      </c>
      <c r="Q416">
        <v>1654723500</v>
      </c>
      <c r="R416">
        <v>1654830800</v>
      </c>
      <c r="S416">
        <v>2199000</v>
      </c>
      <c r="T416">
        <v>73108300</v>
      </c>
      <c r="U416">
        <v>2514192400</v>
      </c>
      <c r="V416">
        <v>13165717800</v>
      </c>
      <c r="W416">
        <v>862100</v>
      </c>
      <c r="X416">
        <v>7290000600</v>
      </c>
    </row>
    <row r="417" spans="1:24" x14ac:dyDescent="0.3">
      <c r="A417">
        <v>91</v>
      </c>
      <c r="B417">
        <v>524288</v>
      </c>
      <c r="C417">
        <v>3</v>
      </c>
      <c r="D417">
        <v>64</v>
      </c>
      <c r="E417">
        <v>0.2</v>
      </c>
      <c r="F417">
        <v>13</v>
      </c>
      <c r="G417">
        <v>16383</v>
      </c>
      <c r="H417" s="1">
        <v>3671400</v>
      </c>
      <c r="I417">
        <v>57936138700</v>
      </c>
      <c r="J417">
        <v>352900538800</v>
      </c>
      <c r="K417">
        <v>6.0911988047280703</v>
      </c>
      <c r="L417">
        <v>780816000</v>
      </c>
      <c r="M417">
        <v>20968300</v>
      </c>
      <c r="N417">
        <v>25199241100</v>
      </c>
      <c r="O417">
        <v>25220209400</v>
      </c>
      <c r="P417">
        <v>10626000</v>
      </c>
      <c r="Q417">
        <v>31097161600</v>
      </c>
      <c r="R417">
        <v>31107787600</v>
      </c>
      <c r="S417">
        <v>4496700</v>
      </c>
      <c r="T417">
        <v>191830900</v>
      </c>
      <c r="U417">
        <v>129512322400</v>
      </c>
      <c r="V417">
        <v>219728067800</v>
      </c>
      <c r="W417">
        <v>1928000</v>
      </c>
      <c r="X417">
        <v>57936138700</v>
      </c>
    </row>
    <row r="418" spans="1:24" x14ac:dyDescent="0.3">
      <c r="A418">
        <v>92</v>
      </c>
      <c r="B418">
        <v>524288</v>
      </c>
      <c r="C418">
        <v>3</v>
      </c>
      <c r="D418">
        <v>64</v>
      </c>
      <c r="E418">
        <v>0.35</v>
      </c>
      <c r="F418">
        <v>13</v>
      </c>
      <c r="G418">
        <v>16383</v>
      </c>
      <c r="H418">
        <v>828236</v>
      </c>
      <c r="I418">
        <v>14736726000</v>
      </c>
      <c r="J418">
        <v>85434558300</v>
      </c>
      <c r="K418">
        <v>5.7973907026567497</v>
      </c>
      <c r="L418">
        <v>179621900</v>
      </c>
      <c r="M418">
        <v>490593500</v>
      </c>
      <c r="N418">
        <v>6267251000</v>
      </c>
      <c r="O418">
        <v>6757844500</v>
      </c>
      <c r="P418">
        <v>2636300</v>
      </c>
      <c r="Q418">
        <v>6973212600</v>
      </c>
      <c r="R418">
        <v>6975848900</v>
      </c>
      <c r="S418">
        <v>4495600</v>
      </c>
      <c r="T418">
        <v>192012100</v>
      </c>
      <c r="U418">
        <v>32405083100</v>
      </c>
      <c r="V418">
        <v>49834797200</v>
      </c>
      <c r="W418">
        <v>1883100</v>
      </c>
      <c r="X418">
        <v>14736726000</v>
      </c>
    </row>
    <row r="419" spans="1:24" x14ac:dyDescent="0.3">
      <c r="A419">
        <v>93</v>
      </c>
      <c r="B419">
        <v>524288</v>
      </c>
      <c r="C419">
        <v>3</v>
      </c>
      <c r="D419">
        <v>64</v>
      </c>
      <c r="E419">
        <v>0.5</v>
      </c>
      <c r="F419">
        <v>13</v>
      </c>
      <c r="G419">
        <v>16383</v>
      </c>
      <c r="H419">
        <v>301936</v>
      </c>
      <c r="I419">
        <v>6406489500</v>
      </c>
      <c r="J419">
        <v>33576351300</v>
      </c>
      <c r="K419">
        <v>5.2409906080389197</v>
      </c>
      <c r="L419">
        <v>69741600</v>
      </c>
      <c r="M419">
        <v>609313700</v>
      </c>
      <c r="N419">
        <v>2364102600</v>
      </c>
      <c r="O419">
        <v>2973416300</v>
      </c>
      <c r="P419">
        <v>916600</v>
      </c>
      <c r="Q419">
        <v>2537875400</v>
      </c>
      <c r="R419">
        <v>2538792000</v>
      </c>
      <c r="S419">
        <v>4138400</v>
      </c>
      <c r="T419">
        <v>259676500</v>
      </c>
      <c r="U419">
        <v>12197849800</v>
      </c>
      <c r="V419">
        <v>18187355500</v>
      </c>
      <c r="W419">
        <v>1817400</v>
      </c>
      <c r="X419">
        <v>6406489500</v>
      </c>
    </row>
    <row r="420" spans="1:24" x14ac:dyDescent="0.3">
      <c r="A420">
        <v>94</v>
      </c>
      <c r="B420">
        <v>524288</v>
      </c>
      <c r="C420">
        <v>3</v>
      </c>
      <c r="D420">
        <v>64</v>
      </c>
      <c r="E420">
        <v>0.65</v>
      </c>
      <c r="F420">
        <v>13</v>
      </c>
      <c r="G420">
        <v>16383</v>
      </c>
      <c r="H420">
        <v>101444</v>
      </c>
      <c r="I420">
        <v>3308634200</v>
      </c>
      <c r="J420">
        <v>14735043700</v>
      </c>
      <c r="K420">
        <v>4.4535124795602901</v>
      </c>
      <c r="L420">
        <v>27971300</v>
      </c>
      <c r="M420">
        <v>645956200</v>
      </c>
      <c r="N420">
        <v>961898000</v>
      </c>
      <c r="O420">
        <v>1607854200</v>
      </c>
      <c r="P420">
        <v>381600</v>
      </c>
      <c r="Q420">
        <v>861873700</v>
      </c>
      <c r="R420">
        <v>862255300</v>
      </c>
      <c r="S420">
        <v>4424800</v>
      </c>
      <c r="T420">
        <v>492677900</v>
      </c>
      <c r="U420">
        <v>4940712700</v>
      </c>
      <c r="V420">
        <v>6202365100</v>
      </c>
      <c r="W420">
        <v>1877800</v>
      </c>
      <c r="X420">
        <v>3308634200</v>
      </c>
    </row>
    <row r="421" spans="1:24" x14ac:dyDescent="0.3">
      <c r="A421">
        <v>95</v>
      </c>
      <c r="B421">
        <v>524288</v>
      </c>
      <c r="C421">
        <v>3</v>
      </c>
      <c r="D421">
        <v>64</v>
      </c>
      <c r="E421">
        <v>0.8</v>
      </c>
      <c r="F421">
        <v>13</v>
      </c>
      <c r="G421">
        <v>16383</v>
      </c>
      <c r="H421">
        <v>54912</v>
      </c>
      <c r="I421">
        <v>2656908000</v>
      </c>
      <c r="J421">
        <v>9109417900</v>
      </c>
      <c r="K421">
        <v>3.4285785958715902</v>
      </c>
      <c r="L421">
        <v>16271900</v>
      </c>
      <c r="M421">
        <v>650411700</v>
      </c>
      <c r="N421">
        <v>517050600</v>
      </c>
      <c r="O421">
        <v>1167462300</v>
      </c>
      <c r="P421">
        <v>129500</v>
      </c>
      <c r="Q421">
        <v>475434800</v>
      </c>
      <c r="R421">
        <v>475564300</v>
      </c>
      <c r="S421">
        <v>4453300</v>
      </c>
      <c r="T421">
        <v>196856000</v>
      </c>
      <c r="U421">
        <v>2637210800</v>
      </c>
      <c r="V421">
        <v>3317971200</v>
      </c>
      <c r="W421">
        <v>1878400</v>
      </c>
      <c r="X421">
        <v>2656908000</v>
      </c>
    </row>
    <row r="422" spans="1:24" x14ac:dyDescent="0.3">
      <c r="A422">
        <v>96</v>
      </c>
      <c r="B422">
        <v>524288</v>
      </c>
      <c r="C422">
        <v>3</v>
      </c>
      <c r="D422">
        <v>64</v>
      </c>
      <c r="E422">
        <v>0.95</v>
      </c>
      <c r="F422">
        <v>13</v>
      </c>
      <c r="G422">
        <v>16383</v>
      </c>
      <c r="H422">
        <v>16396</v>
      </c>
      <c r="I422">
        <v>1447581100</v>
      </c>
      <c r="J422">
        <v>5723452000</v>
      </c>
      <c r="K422">
        <v>3.9538040390275802</v>
      </c>
      <c r="L422">
        <v>5187300</v>
      </c>
      <c r="M422">
        <v>685723100</v>
      </c>
      <c r="N422">
        <v>310316700</v>
      </c>
      <c r="O422">
        <v>996039800</v>
      </c>
      <c r="P422">
        <v>83300</v>
      </c>
      <c r="Q422">
        <v>153192300</v>
      </c>
      <c r="R422">
        <v>153275600</v>
      </c>
      <c r="S422">
        <v>4175200</v>
      </c>
      <c r="T422">
        <v>190321900</v>
      </c>
      <c r="U422">
        <v>1599050500</v>
      </c>
      <c r="V422">
        <v>1034153800</v>
      </c>
      <c r="W422">
        <v>1889700</v>
      </c>
      <c r="X422">
        <v>1447581100</v>
      </c>
    </row>
    <row r="423" spans="1:24" x14ac:dyDescent="0.3">
      <c r="A423">
        <v>97</v>
      </c>
      <c r="B423">
        <v>524288</v>
      </c>
      <c r="C423">
        <v>4</v>
      </c>
      <c r="D423">
        <v>125</v>
      </c>
      <c r="E423">
        <v>0.2</v>
      </c>
      <c r="F423">
        <v>13</v>
      </c>
      <c r="G423">
        <v>16383</v>
      </c>
      <c r="H423" s="1">
        <v>3670468</v>
      </c>
      <c r="I423">
        <v>116887818700</v>
      </c>
      <c r="J423">
        <v>703856646900</v>
      </c>
      <c r="K423">
        <v>6.0216424151646804</v>
      </c>
      <c r="L423">
        <v>793259900</v>
      </c>
      <c r="M423">
        <v>789322300</v>
      </c>
      <c r="N423">
        <v>82932886400</v>
      </c>
      <c r="O423">
        <v>83722208700</v>
      </c>
      <c r="P423">
        <v>12272300</v>
      </c>
      <c r="Q423">
        <v>31864912400</v>
      </c>
      <c r="R423">
        <v>31877184700</v>
      </c>
      <c r="S423">
        <v>4930300</v>
      </c>
      <c r="T423">
        <v>511298100</v>
      </c>
      <c r="U423">
        <v>477280133600</v>
      </c>
      <c r="V423">
        <v>219298099500</v>
      </c>
      <c r="W423">
        <v>1898700</v>
      </c>
      <c r="X423">
        <v>116887818700</v>
      </c>
    </row>
    <row r="424" spans="1:24" x14ac:dyDescent="0.3">
      <c r="A424">
        <v>98</v>
      </c>
      <c r="B424">
        <v>524288</v>
      </c>
      <c r="C424">
        <v>4</v>
      </c>
      <c r="D424">
        <v>125</v>
      </c>
      <c r="E424">
        <v>0.35</v>
      </c>
      <c r="F424">
        <v>13</v>
      </c>
      <c r="G424">
        <v>16383</v>
      </c>
      <c r="H424">
        <v>828836</v>
      </c>
      <c r="I424">
        <v>30190848900</v>
      </c>
      <c r="J424">
        <v>176782481000</v>
      </c>
      <c r="K424">
        <v>5.8554988495205897</v>
      </c>
      <c r="L424">
        <v>234332400</v>
      </c>
      <c r="M424">
        <v>1304360300</v>
      </c>
      <c r="N424">
        <v>20725116300</v>
      </c>
      <c r="O424">
        <v>22029476600</v>
      </c>
      <c r="P424">
        <v>2217000</v>
      </c>
      <c r="Q424">
        <v>7137666100</v>
      </c>
      <c r="R424">
        <v>7139883100</v>
      </c>
      <c r="S424">
        <v>4408700</v>
      </c>
      <c r="T424">
        <v>207821000</v>
      </c>
      <c r="U424">
        <v>120308843000</v>
      </c>
      <c r="V424">
        <v>49585849900</v>
      </c>
      <c r="W424">
        <v>1886000</v>
      </c>
      <c r="X424">
        <v>30190848900</v>
      </c>
    </row>
    <row r="425" spans="1:24" x14ac:dyDescent="0.3">
      <c r="A425">
        <v>99</v>
      </c>
      <c r="B425">
        <v>524288</v>
      </c>
      <c r="C425">
        <v>4</v>
      </c>
      <c r="D425">
        <v>125</v>
      </c>
      <c r="E425">
        <v>0.5</v>
      </c>
      <c r="F425">
        <v>13</v>
      </c>
      <c r="G425">
        <v>16383</v>
      </c>
      <c r="H425">
        <v>301852</v>
      </c>
      <c r="I425">
        <v>12729148800</v>
      </c>
      <c r="J425">
        <v>70132199800</v>
      </c>
      <c r="K425">
        <v>5.5095749843068802</v>
      </c>
      <c r="L425">
        <v>66948500</v>
      </c>
      <c r="M425">
        <v>1482952500</v>
      </c>
      <c r="N425">
        <v>7768890900</v>
      </c>
      <c r="O425">
        <v>9251843400</v>
      </c>
      <c r="P425">
        <v>898600</v>
      </c>
      <c r="Q425">
        <v>2627703900</v>
      </c>
      <c r="R425">
        <v>2628602500</v>
      </c>
      <c r="S425">
        <v>4550800</v>
      </c>
      <c r="T425">
        <v>255977000</v>
      </c>
      <c r="U425">
        <v>45506335300</v>
      </c>
      <c r="V425">
        <v>18130373400</v>
      </c>
      <c r="W425">
        <v>1816300</v>
      </c>
      <c r="X425">
        <v>12729148800</v>
      </c>
    </row>
    <row r="426" spans="1:24" x14ac:dyDescent="0.3">
      <c r="A426">
        <v>100</v>
      </c>
      <c r="B426">
        <v>524288</v>
      </c>
      <c r="C426">
        <v>4</v>
      </c>
      <c r="D426">
        <v>125</v>
      </c>
      <c r="E426">
        <v>0.65</v>
      </c>
      <c r="F426">
        <v>13</v>
      </c>
      <c r="G426">
        <v>16383</v>
      </c>
      <c r="H426">
        <v>101012</v>
      </c>
      <c r="I426">
        <v>6334829500</v>
      </c>
      <c r="J426">
        <v>31038341500</v>
      </c>
      <c r="K426">
        <v>4.8996332892621597</v>
      </c>
      <c r="L426">
        <v>28957500</v>
      </c>
      <c r="M426">
        <v>1514067200</v>
      </c>
      <c r="N426">
        <v>3128782500</v>
      </c>
      <c r="O426">
        <v>4642849700</v>
      </c>
      <c r="P426">
        <v>440100</v>
      </c>
      <c r="Q426">
        <v>878038900</v>
      </c>
      <c r="R426">
        <v>878479000</v>
      </c>
      <c r="S426">
        <v>4230800</v>
      </c>
      <c r="T426">
        <v>253446200</v>
      </c>
      <c r="U426">
        <v>18184457100</v>
      </c>
      <c r="V426">
        <v>6308439800</v>
      </c>
      <c r="W426">
        <v>1813500</v>
      </c>
      <c r="X426">
        <v>6334829500</v>
      </c>
    </row>
    <row r="427" spans="1:24" x14ac:dyDescent="0.3">
      <c r="A427">
        <v>101</v>
      </c>
      <c r="B427">
        <v>524288</v>
      </c>
      <c r="C427">
        <v>4</v>
      </c>
      <c r="D427">
        <v>125</v>
      </c>
      <c r="E427">
        <v>0.8</v>
      </c>
      <c r="F427">
        <v>13</v>
      </c>
      <c r="G427">
        <v>16383</v>
      </c>
      <c r="H427">
        <v>54748</v>
      </c>
      <c r="I427">
        <v>4530694100</v>
      </c>
      <c r="J427">
        <v>20186237700</v>
      </c>
      <c r="K427">
        <v>4.4554404368196003</v>
      </c>
      <c r="L427">
        <v>11976100</v>
      </c>
      <c r="M427">
        <v>1532197400</v>
      </c>
      <c r="N427">
        <v>1714885700</v>
      </c>
      <c r="O427">
        <v>3247083100</v>
      </c>
      <c r="P427">
        <v>144100</v>
      </c>
      <c r="Q427">
        <v>486941100</v>
      </c>
      <c r="R427">
        <v>487085200</v>
      </c>
      <c r="S427">
        <v>4088800</v>
      </c>
      <c r="T427">
        <v>546802500</v>
      </c>
      <c r="U427">
        <v>9965426700</v>
      </c>
      <c r="V427">
        <v>3307981400</v>
      </c>
      <c r="W427">
        <v>1927200</v>
      </c>
      <c r="X427">
        <v>4530694100</v>
      </c>
    </row>
    <row r="428" spans="1:24" x14ac:dyDescent="0.3">
      <c r="A428">
        <v>102</v>
      </c>
      <c r="B428">
        <v>524288</v>
      </c>
      <c r="C428">
        <v>4</v>
      </c>
      <c r="D428">
        <v>125</v>
      </c>
      <c r="E428">
        <v>0.95</v>
      </c>
      <c r="F428">
        <v>13</v>
      </c>
      <c r="G428">
        <v>16383</v>
      </c>
      <c r="H428">
        <v>16400</v>
      </c>
      <c r="I428">
        <v>3499846800</v>
      </c>
      <c r="J428">
        <v>13412786900</v>
      </c>
      <c r="K428">
        <v>3.8323925778693999</v>
      </c>
      <c r="L428">
        <v>5124800</v>
      </c>
      <c r="M428">
        <v>1533588400</v>
      </c>
      <c r="N428">
        <v>1013837900</v>
      </c>
      <c r="O428">
        <v>2547426300</v>
      </c>
      <c r="P428">
        <v>80000</v>
      </c>
      <c r="Q428">
        <v>153560900</v>
      </c>
      <c r="R428">
        <v>153640900</v>
      </c>
      <c r="S428">
        <v>4115400</v>
      </c>
      <c r="T428">
        <v>248179700</v>
      </c>
      <c r="U428">
        <v>5854496700</v>
      </c>
      <c r="V428">
        <v>1018968900</v>
      </c>
      <c r="W428">
        <v>1792400</v>
      </c>
      <c r="X428">
        <v>3499846800</v>
      </c>
    </row>
    <row r="429" spans="1:24" x14ac:dyDescent="0.3">
      <c r="A429">
        <v>103</v>
      </c>
      <c r="B429">
        <v>524288</v>
      </c>
      <c r="C429">
        <v>5</v>
      </c>
      <c r="D429">
        <v>216</v>
      </c>
      <c r="E429">
        <v>0.2</v>
      </c>
      <c r="F429">
        <v>12</v>
      </c>
      <c r="G429">
        <v>8191</v>
      </c>
      <c r="H429" s="1">
        <v>2241580</v>
      </c>
      <c r="I429">
        <v>172112842300</v>
      </c>
      <c r="J429">
        <v>1007969670600</v>
      </c>
      <c r="K429">
        <v>5.8564466028808297</v>
      </c>
      <c r="L429">
        <v>717471600</v>
      </c>
      <c r="M429">
        <v>2285219900</v>
      </c>
      <c r="N429">
        <v>92315739600</v>
      </c>
      <c r="O429">
        <v>94600959500</v>
      </c>
      <c r="P429">
        <v>5913900</v>
      </c>
      <c r="Q429">
        <v>75681613500</v>
      </c>
      <c r="R429">
        <v>75687527400</v>
      </c>
      <c r="S429">
        <v>4443200</v>
      </c>
      <c r="T429">
        <v>254594100</v>
      </c>
      <c r="U429">
        <v>439744692400</v>
      </c>
      <c r="V429">
        <v>559204022400</v>
      </c>
      <c r="W429">
        <v>1916600</v>
      </c>
      <c r="X429">
        <v>172112842300</v>
      </c>
    </row>
    <row r="430" spans="1:24" x14ac:dyDescent="0.3">
      <c r="A430">
        <v>104</v>
      </c>
      <c r="B430">
        <v>524288</v>
      </c>
      <c r="C430">
        <v>5</v>
      </c>
      <c r="D430">
        <v>216</v>
      </c>
      <c r="E430">
        <v>0.35</v>
      </c>
      <c r="F430">
        <v>12</v>
      </c>
      <c r="G430">
        <v>8191</v>
      </c>
      <c r="H430">
        <v>504764</v>
      </c>
      <c r="I430">
        <v>47275733700</v>
      </c>
      <c r="J430">
        <v>259720752100</v>
      </c>
      <c r="K430">
        <v>5.4937434445358999</v>
      </c>
      <c r="L430">
        <v>85951600</v>
      </c>
      <c r="M430">
        <v>2892526700</v>
      </c>
      <c r="N430">
        <v>26454417000</v>
      </c>
      <c r="O430">
        <v>29346943700</v>
      </c>
      <c r="P430">
        <v>1300500</v>
      </c>
      <c r="Q430">
        <v>16890624700</v>
      </c>
      <c r="R430">
        <v>16891925200</v>
      </c>
      <c r="S430">
        <v>4158300</v>
      </c>
      <c r="T430">
        <v>195245000</v>
      </c>
      <c r="U430">
        <v>126647869100</v>
      </c>
      <c r="V430">
        <v>124242836600</v>
      </c>
      <c r="W430">
        <v>1895700</v>
      </c>
      <c r="X430">
        <v>47275733700</v>
      </c>
    </row>
    <row r="431" spans="1:24" x14ac:dyDescent="0.3">
      <c r="A431">
        <v>105</v>
      </c>
      <c r="B431">
        <v>524288</v>
      </c>
      <c r="C431">
        <v>5</v>
      </c>
      <c r="D431">
        <v>216</v>
      </c>
      <c r="E431">
        <v>0.5</v>
      </c>
      <c r="F431">
        <v>12</v>
      </c>
      <c r="G431">
        <v>8191</v>
      </c>
      <c r="H431">
        <v>178420</v>
      </c>
      <c r="I431">
        <v>21960280400</v>
      </c>
      <c r="J431">
        <v>110183928600</v>
      </c>
      <c r="K431">
        <v>5.0174190216624002</v>
      </c>
      <c r="L431">
        <v>38826300</v>
      </c>
      <c r="M431">
        <v>2976349200</v>
      </c>
      <c r="N431">
        <v>11998816800</v>
      </c>
      <c r="O431">
        <v>14975166000</v>
      </c>
      <c r="P431">
        <v>587900</v>
      </c>
      <c r="Q431">
        <v>6001349400</v>
      </c>
      <c r="R431">
        <v>6001937300</v>
      </c>
      <c r="S431">
        <v>4422600</v>
      </c>
      <c r="T431">
        <v>239693100</v>
      </c>
      <c r="U431">
        <v>57320041300</v>
      </c>
      <c r="V431">
        <v>43851262100</v>
      </c>
      <c r="W431">
        <v>1828400</v>
      </c>
      <c r="X431">
        <v>21960280400</v>
      </c>
    </row>
    <row r="432" spans="1:24" x14ac:dyDescent="0.3">
      <c r="A432">
        <v>106</v>
      </c>
      <c r="B432">
        <v>524288</v>
      </c>
      <c r="C432">
        <v>5</v>
      </c>
      <c r="D432">
        <v>216</v>
      </c>
      <c r="E432">
        <v>0.65</v>
      </c>
      <c r="F432">
        <v>12</v>
      </c>
      <c r="G432">
        <v>8191</v>
      </c>
      <c r="H432">
        <v>70904</v>
      </c>
      <c r="I432">
        <v>10670012300</v>
      </c>
      <c r="J432">
        <v>47370742600</v>
      </c>
      <c r="K432">
        <v>4.4396146197507198</v>
      </c>
      <c r="L432">
        <v>18829800</v>
      </c>
      <c r="M432">
        <v>3003381400</v>
      </c>
      <c r="N432">
        <v>4305774900</v>
      </c>
      <c r="O432">
        <v>7309156300</v>
      </c>
      <c r="P432">
        <v>251500</v>
      </c>
      <c r="Q432">
        <v>2395687400</v>
      </c>
      <c r="R432">
        <v>2395938900</v>
      </c>
      <c r="S432">
        <v>4144100</v>
      </c>
      <c r="T432">
        <v>531896800</v>
      </c>
      <c r="U432">
        <v>20697786600</v>
      </c>
      <c r="V432">
        <v>17506856700</v>
      </c>
      <c r="W432">
        <v>1898500</v>
      </c>
      <c r="X432">
        <v>10670012300</v>
      </c>
    </row>
    <row r="433" spans="1:24" x14ac:dyDescent="0.3">
      <c r="A433">
        <v>107</v>
      </c>
      <c r="B433">
        <v>524288</v>
      </c>
      <c r="C433">
        <v>5</v>
      </c>
      <c r="D433">
        <v>216</v>
      </c>
      <c r="E433">
        <v>0.8</v>
      </c>
      <c r="F433">
        <v>12</v>
      </c>
      <c r="G433">
        <v>8191</v>
      </c>
      <c r="H433">
        <v>34220</v>
      </c>
      <c r="I433">
        <v>7618659800</v>
      </c>
      <c r="J433">
        <v>29587914800</v>
      </c>
      <c r="K433">
        <v>3.88361149817977</v>
      </c>
      <c r="L433">
        <v>6251700</v>
      </c>
      <c r="M433">
        <v>3008336300</v>
      </c>
      <c r="N433">
        <v>2507508500</v>
      </c>
      <c r="O433">
        <v>5515844800</v>
      </c>
      <c r="P433">
        <v>185600</v>
      </c>
      <c r="Q433">
        <v>1155236700</v>
      </c>
      <c r="R433">
        <v>1155422300</v>
      </c>
      <c r="S433">
        <v>4404500</v>
      </c>
      <c r="T433">
        <v>192311700</v>
      </c>
      <c r="U433">
        <v>12221087300</v>
      </c>
      <c r="V433">
        <v>8431077100</v>
      </c>
      <c r="W433">
        <v>1803200</v>
      </c>
      <c r="X433">
        <v>7618659800</v>
      </c>
    </row>
    <row r="434" spans="1:24" x14ac:dyDescent="0.3">
      <c r="A434">
        <v>108</v>
      </c>
      <c r="B434">
        <v>524288</v>
      </c>
      <c r="C434">
        <v>5</v>
      </c>
      <c r="D434">
        <v>216</v>
      </c>
      <c r="E434">
        <v>0.95</v>
      </c>
      <c r="F434">
        <v>12</v>
      </c>
      <c r="G434">
        <v>8191</v>
      </c>
      <c r="H434">
        <v>24564</v>
      </c>
      <c r="I434">
        <v>5577901000</v>
      </c>
      <c r="J434">
        <v>18462362700</v>
      </c>
      <c r="K434">
        <v>3.3099122232538698</v>
      </c>
      <c r="L434">
        <v>3154200</v>
      </c>
      <c r="M434">
        <v>3037717700</v>
      </c>
      <c r="N434">
        <v>760473500</v>
      </c>
      <c r="O434">
        <v>3798191200</v>
      </c>
      <c r="P434">
        <v>159400</v>
      </c>
      <c r="Q434">
        <v>833587500</v>
      </c>
      <c r="R434">
        <v>833746900</v>
      </c>
      <c r="S434">
        <v>4207600</v>
      </c>
      <c r="T434">
        <v>180359700</v>
      </c>
      <c r="U434">
        <v>3652310600</v>
      </c>
      <c r="V434">
        <v>6041360900</v>
      </c>
      <c r="W434">
        <v>1845000</v>
      </c>
      <c r="X434">
        <v>5577901000</v>
      </c>
    </row>
    <row r="435" spans="1:24" x14ac:dyDescent="0.3">
      <c r="A435">
        <v>109</v>
      </c>
      <c r="B435">
        <v>524288</v>
      </c>
      <c r="C435">
        <v>6</v>
      </c>
      <c r="D435">
        <v>343</v>
      </c>
      <c r="E435">
        <v>0.2</v>
      </c>
      <c r="F435">
        <v>11</v>
      </c>
      <c r="G435">
        <v>4095</v>
      </c>
      <c r="H435">
        <v>951868</v>
      </c>
      <c r="I435">
        <v>213743378600</v>
      </c>
      <c r="J435">
        <v>1364132273300</v>
      </c>
      <c r="K435">
        <v>6.3821030725486896</v>
      </c>
      <c r="L435">
        <v>147914300</v>
      </c>
      <c r="M435">
        <v>7107443200</v>
      </c>
      <c r="N435">
        <v>77406197000</v>
      </c>
      <c r="O435">
        <v>84513640200</v>
      </c>
      <c r="P435">
        <v>2653300</v>
      </c>
      <c r="Q435">
        <v>127964123300</v>
      </c>
      <c r="R435">
        <v>127966776600</v>
      </c>
      <c r="S435">
        <v>4101900</v>
      </c>
      <c r="T435">
        <v>170625300</v>
      </c>
      <c r="U435">
        <v>365487922800</v>
      </c>
      <c r="V435">
        <v>987711147100</v>
      </c>
      <c r="W435">
        <v>1832800</v>
      </c>
      <c r="X435">
        <v>213743378600</v>
      </c>
    </row>
    <row r="436" spans="1:24" x14ac:dyDescent="0.3">
      <c r="A436">
        <v>110</v>
      </c>
      <c r="B436">
        <v>524288</v>
      </c>
      <c r="C436">
        <v>6</v>
      </c>
      <c r="D436">
        <v>343</v>
      </c>
      <c r="E436">
        <v>0.35</v>
      </c>
      <c r="F436">
        <v>11</v>
      </c>
      <c r="G436">
        <v>4095</v>
      </c>
      <c r="H436">
        <v>215992</v>
      </c>
      <c r="I436">
        <v>68601001600</v>
      </c>
      <c r="J436">
        <v>384519335500</v>
      </c>
      <c r="K436">
        <v>5.6051562882720303</v>
      </c>
      <c r="L436">
        <v>36636300</v>
      </c>
      <c r="M436">
        <v>7018280500</v>
      </c>
      <c r="N436">
        <v>31475403200</v>
      </c>
      <c r="O436">
        <v>38493683700</v>
      </c>
      <c r="P436">
        <v>666900</v>
      </c>
      <c r="Q436">
        <v>28965140000</v>
      </c>
      <c r="R436">
        <v>28965806900</v>
      </c>
      <c r="S436">
        <v>4114200</v>
      </c>
      <c r="T436">
        <v>196296100</v>
      </c>
      <c r="U436">
        <v>149295415400</v>
      </c>
      <c r="V436">
        <v>224169613400</v>
      </c>
      <c r="W436">
        <v>1835400</v>
      </c>
      <c r="X436">
        <v>68601001600</v>
      </c>
    </row>
    <row r="437" spans="1:24" x14ac:dyDescent="0.3">
      <c r="A437">
        <v>111</v>
      </c>
      <c r="B437">
        <v>524288</v>
      </c>
      <c r="C437">
        <v>6</v>
      </c>
      <c r="D437">
        <v>343</v>
      </c>
      <c r="E437">
        <v>0.5</v>
      </c>
      <c r="F437">
        <v>11</v>
      </c>
      <c r="G437">
        <v>4095</v>
      </c>
      <c r="H437">
        <v>88872</v>
      </c>
      <c r="I437">
        <v>32580725800</v>
      </c>
      <c r="J437">
        <v>163057121200</v>
      </c>
      <c r="K437">
        <v>5.0047111350723803</v>
      </c>
      <c r="L437">
        <v>18911200</v>
      </c>
      <c r="M437">
        <v>7012177300</v>
      </c>
      <c r="N437">
        <v>12612352500</v>
      </c>
      <c r="O437">
        <v>19624529800</v>
      </c>
      <c r="P437">
        <v>253600</v>
      </c>
      <c r="Q437">
        <v>11822425900</v>
      </c>
      <c r="R437">
        <v>11822679500</v>
      </c>
      <c r="S437">
        <v>4460700</v>
      </c>
      <c r="T437">
        <v>185688600</v>
      </c>
      <c r="U437">
        <v>60088755300</v>
      </c>
      <c r="V437">
        <v>92105662200</v>
      </c>
      <c r="W437">
        <v>1903000</v>
      </c>
      <c r="X437">
        <v>32580725800</v>
      </c>
    </row>
    <row r="438" spans="1:24" x14ac:dyDescent="0.3">
      <c r="A438">
        <v>112</v>
      </c>
      <c r="B438">
        <v>524288</v>
      </c>
      <c r="C438">
        <v>6</v>
      </c>
      <c r="D438">
        <v>343</v>
      </c>
      <c r="E438">
        <v>0.65</v>
      </c>
      <c r="F438">
        <v>11</v>
      </c>
      <c r="G438">
        <v>4095</v>
      </c>
      <c r="H438">
        <v>31284</v>
      </c>
      <c r="I438">
        <v>17871659200</v>
      </c>
      <c r="J438">
        <v>69431479800</v>
      </c>
      <c r="K438">
        <v>3.8850046894358798</v>
      </c>
      <c r="L438">
        <v>5735800</v>
      </c>
      <c r="M438">
        <v>7036789500</v>
      </c>
      <c r="N438">
        <v>5514087000</v>
      </c>
      <c r="O438">
        <v>12550876500</v>
      </c>
      <c r="P438">
        <v>192300</v>
      </c>
      <c r="Q438">
        <v>4218543600</v>
      </c>
      <c r="R438">
        <v>4218735900</v>
      </c>
      <c r="S438">
        <v>4178600</v>
      </c>
      <c r="T438">
        <v>174886200</v>
      </c>
      <c r="U438">
        <v>26184034700</v>
      </c>
      <c r="V438">
        <v>32366344900</v>
      </c>
      <c r="W438">
        <v>1844100</v>
      </c>
      <c r="X438">
        <v>17871659200</v>
      </c>
    </row>
    <row r="439" spans="1:24" x14ac:dyDescent="0.3">
      <c r="A439">
        <v>113</v>
      </c>
      <c r="B439">
        <v>524288</v>
      </c>
      <c r="C439">
        <v>6</v>
      </c>
      <c r="D439">
        <v>343</v>
      </c>
      <c r="E439">
        <v>0.8</v>
      </c>
      <c r="F439">
        <v>11</v>
      </c>
      <c r="G439">
        <v>4095</v>
      </c>
      <c r="H439">
        <v>15320</v>
      </c>
      <c r="I439">
        <v>13420441000</v>
      </c>
      <c r="J439">
        <v>42283354400</v>
      </c>
      <c r="K439">
        <v>3.15066802946341</v>
      </c>
      <c r="L439">
        <v>3179400</v>
      </c>
      <c r="M439">
        <v>7032659100</v>
      </c>
      <c r="N439">
        <v>3216110100</v>
      </c>
      <c r="O439">
        <v>10248769200</v>
      </c>
      <c r="P439">
        <v>170200</v>
      </c>
      <c r="Q439">
        <v>2068336100</v>
      </c>
      <c r="R439">
        <v>2068506300</v>
      </c>
      <c r="S439">
        <v>4178100</v>
      </c>
      <c r="T439">
        <v>185364300</v>
      </c>
      <c r="U439">
        <v>15487085200</v>
      </c>
      <c r="V439">
        <v>15863180400</v>
      </c>
      <c r="W439">
        <v>1935100</v>
      </c>
      <c r="X439">
        <v>13420441000</v>
      </c>
    </row>
    <row r="440" spans="1:24" x14ac:dyDescent="0.3">
      <c r="A440">
        <v>114</v>
      </c>
      <c r="B440">
        <v>524288</v>
      </c>
      <c r="C440">
        <v>6</v>
      </c>
      <c r="D440">
        <v>343</v>
      </c>
      <c r="E440">
        <v>0.95</v>
      </c>
      <c r="F440">
        <v>11</v>
      </c>
      <c r="G440">
        <v>4095</v>
      </c>
      <c r="H440">
        <v>8192</v>
      </c>
      <c r="I440">
        <v>10398273200</v>
      </c>
      <c r="J440">
        <v>24955436500</v>
      </c>
      <c r="K440">
        <v>2.3999596875373501</v>
      </c>
      <c r="L440">
        <v>1514200</v>
      </c>
      <c r="M440">
        <v>7032978500</v>
      </c>
      <c r="N440">
        <v>1139117900</v>
      </c>
      <c r="O440">
        <v>8172096400</v>
      </c>
      <c r="P440">
        <v>120500</v>
      </c>
      <c r="Q440">
        <v>1110973400</v>
      </c>
      <c r="R440">
        <v>1111093900</v>
      </c>
      <c r="S440">
        <v>4477600</v>
      </c>
      <c r="T440">
        <v>182875500</v>
      </c>
      <c r="U440">
        <v>5365966900</v>
      </c>
      <c r="V440">
        <v>8481959900</v>
      </c>
      <c r="W440">
        <v>1896900</v>
      </c>
      <c r="X440">
        <v>10398273200</v>
      </c>
    </row>
    <row r="441" spans="1:24" x14ac:dyDescent="0.3">
      <c r="A441">
        <v>115</v>
      </c>
      <c r="B441">
        <v>524288</v>
      </c>
      <c r="C441">
        <v>7</v>
      </c>
      <c r="D441">
        <v>512</v>
      </c>
      <c r="E441">
        <v>0.2</v>
      </c>
      <c r="F441">
        <v>10</v>
      </c>
      <c r="G441">
        <v>2047</v>
      </c>
      <c r="H441">
        <v>337884</v>
      </c>
      <c r="I441">
        <v>266645107000</v>
      </c>
      <c r="J441">
        <v>1869039229500</v>
      </c>
      <c r="K441">
        <v>7.0094638170127697</v>
      </c>
      <c r="L441">
        <v>55940500</v>
      </c>
      <c r="M441">
        <v>8448927200</v>
      </c>
      <c r="N441">
        <v>73946637500</v>
      </c>
      <c r="O441">
        <v>82395564700</v>
      </c>
      <c r="P441">
        <v>943300</v>
      </c>
      <c r="Q441">
        <v>183083937800</v>
      </c>
      <c r="R441">
        <v>183084881100</v>
      </c>
      <c r="S441">
        <v>4540700</v>
      </c>
      <c r="T441">
        <v>163700800</v>
      </c>
      <c r="U441">
        <v>390131416500</v>
      </c>
      <c r="V441">
        <v>1466088452500</v>
      </c>
      <c r="W441">
        <v>1889100</v>
      </c>
      <c r="X441">
        <v>266645107000</v>
      </c>
    </row>
    <row r="442" spans="1:24" x14ac:dyDescent="0.3">
      <c r="A442">
        <v>116</v>
      </c>
      <c r="B442">
        <v>524288</v>
      </c>
      <c r="C442">
        <v>7</v>
      </c>
      <c r="D442">
        <v>512</v>
      </c>
      <c r="E442">
        <v>0.35</v>
      </c>
      <c r="F442">
        <v>10</v>
      </c>
      <c r="G442">
        <v>2047</v>
      </c>
      <c r="H442">
        <v>93424</v>
      </c>
      <c r="I442">
        <v>89724724000</v>
      </c>
      <c r="J442">
        <v>577267584900</v>
      </c>
      <c r="K442">
        <v>6.4337627263138701</v>
      </c>
      <c r="L442">
        <v>23276300</v>
      </c>
      <c r="M442">
        <v>8416470200</v>
      </c>
      <c r="N442">
        <v>29928449900</v>
      </c>
      <c r="O442">
        <v>38344920100</v>
      </c>
      <c r="P442">
        <v>204400</v>
      </c>
      <c r="Q442">
        <v>50249762300</v>
      </c>
      <c r="R442">
        <v>50249966700</v>
      </c>
      <c r="S442">
        <v>3912100</v>
      </c>
      <c r="T442">
        <v>168306900</v>
      </c>
      <c r="U442">
        <v>160075391300</v>
      </c>
      <c r="V442">
        <v>404449092000</v>
      </c>
      <c r="W442">
        <v>1911200</v>
      </c>
      <c r="X442">
        <v>89724724000</v>
      </c>
    </row>
    <row r="443" spans="1:24" x14ac:dyDescent="0.3">
      <c r="A443">
        <v>117</v>
      </c>
      <c r="B443">
        <v>524288</v>
      </c>
      <c r="C443">
        <v>7</v>
      </c>
      <c r="D443">
        <v>512</v>
      </c>
      <c r="E443">
        <v>0.5</v>
      </c>
      <c r="F443">
        <v>10</v>
      </c>
      <c r="G443">
        <v>2047</v>
      </c>
      <c r="H443">
        <v>35012</v>
      </c>
      <c r="I443">
        <v>41406315000</v>
      </c>
      <c r="J443">
        <v>234958799900</v>
      </c>
      <c r="K443">
        <v>5.6744677689864398</v>
      </c>
      <c r="L443">
        <v>6751200</v>
      </c>
      <c r="M443">
        <v>8401338500</v>
      </c>
      <c r="N443">
        <v>13170186300</v>
      </c>
      <c r="O443">
        <v>21571524800</v>
      </c>
      <c r="P443">
        <v>134900</v>
      </c>
      <c r="Q443">
        <v>18711224900</v>
      </c>
      <c r="R443">
        <v>18711359800</v>
      </c>
      <c r="S443">
        <v>4458800</v>
      </c>
      <c r="T443">
        <v>160084100</v>
      </c>
      <c r="U443">
        <v>70567702400</v>
      </c>
      <c r="V443">
        <v>151790872100</v>
      </c>
      <c r="W443">
        <v>1909400</v>
      </c>
      <c r="X443">
        <v>41406315000</v>
      </c>
    </row>
    <row r="444" spans="1:24" x14ac:dyDescent="0.3">
      <c r="A444">
        <v>118</v>
      </c>
      <c r="B444">
        <v>524288</v>
      </c>
      <c r="C444">
        <v>7</v>
      </c>
      <c r="D444">
        <v>512</v>
      </c>
      <c r="E444">
        <v>0.65</v>
      </c>
      <c r="F444">
        <v>10</v>
      </c>
      <c r="G444">
        <v>2047</v>
      </c>
      <c r="H444">
        <v>12416</v>
      </c>
      <c r="I444">
        <v>22525947900</v>
      </c>
      <c r="J444">
        <v>101246290200</v>
      </c>
      <c r="K444">
        <v>4.4946517078644197</v>
      </c>
      <c r="L444">
        <v>2783000</v>
      </c>
      <c r="M444">
        <v>8419748300</v>
      </c>
      <c r="N444">
        <v>6295690700</v>
      </c>
      <c r="O444">
        <v>14715439000</v>
      </c>
      <c r="P444">
        <v>87900</v>
      </c>
      <c r="Q444">
        <v>6701496700</v>
      </c>
      <c r="R444">
        <v>6701584600</v>
      </c>
      <c r="S444">
        <v>4102700</v>
      </c>
      <c r="T444">
        <v>165798400</v>
      </c>
      <c r="U444">
        <v>33552299200</v>
      </c>
      <c r="V444">
        <v>54303051900</v>
      </c>
      <c r="W444">
        <v>1947600</v>
      </c>
      <c r="X444">
        <v>22525947900</v>
      </c>
    </row>
    <row r="445" spans="1:24" x14ac:dyDescent="0.3">
      <c r="A445">
        <v>119</v>
      </c>
      <c r="B445">
        <v>524288</v>
      </c>
      <c r="C445">
        <v>7</v>
      </c>
      <c r="D445">
        <v>512</v>
      </c>
      <c r="E445">
        <v>0.8</v>
      </c>
      <c r="F445">
        <v>10</v>
      </c>
      <c r="G445">
        <v>2047</v>
      </c>
      <c r="H445">
        <v>7852</v>
      </c>
      <c r="I445">
        <v>17566519500</v>
      </c>
      <c r="J445">
        <v>66866081800</v>
      </c>
      <c r="K445">
        <v>3.8064502077375</v>
      </c>
      <c r="L445">
        <v>1698700</v>
      </c>
      <c r="M445">
        <v>8418349300</v>
      </c>
      <c r="N445">
        <v>3807033100</v>
      </c>
      <c r="O445">
        <v>12225382400</v>
      </c>
      <c r="P445">
        <v>92300</v>
      </c>
      <c r="Q445">
        <v>4233770700</v>
      </c>
      <c r="R445">
        <v>4233863000</v>
      </c>
      <c r="S445">
        <v>4539000</v>
      </c>
      <c r="T445">
        <v>173011000</v>
      </c>
      <c r="U445">
        <v>20230464800</v>
      </c>
      <c r="V445">
        <v>33981235600</v>
      </c>
      <c r="W445">
        <v>1932500</v>
      </c>
      <c r="X445">
        <v>17566519500</v>
      </c>
    </row>
    <row r="446" spans="1:24" x14ac:dyDescent="0.3">
      <c r="A446">
        <v>120</v>
      </c>
      <c r="B446">
        <v>524288</v>
      </c>
      <c r="C446">
        <v>7</v>
      </c>
      <c r="D446">
        <v>512</v>
      </c>
      <c r="E446">
        <v>0.95</v>
      </c>
      <c r="F446">
        <v>10</v>
      </c>
      <c r="G446">
        <v>2047</v>
      </c>
      <c r="H446">
        <v>2048</v>
      </c>
      <c r="I446">
        <v>12890353400</v>
      </c>
      <c r="J446">
        <v>33629068800</v>
      </c>
      <c r="K446">
        <v>2.6088554562049402</v>
      </c>
      <c r="L446">
        <v>795400</v>
      </c>
      <c r="M446">
        <v>8422221600</v>
      </c>
      <c r="N446">
        <v>2252856300</v>
      </c>
      <c r="O446">
        <v>10675077900</v>
      </c>
      <c r="P446">
        <v>99100</v>
      </c>
      <c r="Q446">
        <v>1115598500</v>
      </c>
      <c r="R446">
        <v>1115697600</v>
      </c>
      <c r="S446">
        <v>4153900</v>
      </c>
      <c r="T446">
        <v>169643400</v>
      </c>
      <c r="U446">
        <v>11899870800</v>
      </c>
      <c r="V446">
        <v>9004977600</v>
      </c>
      <c r="W446">
        <v>1913700</v>
      </c>
      <c r="X446">
        <v>12890353400</v>
      </c>
    </row>
    <row r="447" spans="1:24" x14ac:dyDescent="0.3">
      <c r="A447">
        <v>121</v>
      </c>
      <c r="B447">
        <v>1048576</v>
      </c>
      <c r="C447">
        <v>3</v>
      </c>
      <c r="D447">
        <v>64</v>
      </c>
      <c r="E447">
        <v>0.2</v>
      </c>
      <c r="F447">
        <v>14</v>
      </c>
      <c r="G447">
        <v>32767</v>
      </c>
      <c r="H447" s="1">
        <v>9796224</v>
      </c>
      <c r="I447">
        <v>130574326000</v>
      </c>
      <c r="J447">
        <v>819368816900</v>
      </c>
      <c r="K447">
        <v>6.27511427399594</v>
      </c>
      <c r="L447">
        <v>2146796700</v>
      </c>
      <c r="M447">
        <v>31277700</v>
      </c>
      <c r="N447">
        <v>44086162800</v>
      </c>
      <c r="O447">
        <v>44117440500</v>
      </c>
      <c r="P447">
        <v>28121800</v>
      </c>
      <c r="Q447">
        <v>83281004600</v>
      </c>
      <c r="R447">
        <v>83309126400</v>
      </c>
      <c r="S447">
        <v>7949900</v>
      </c>
      <c r="T447">
        <v>503598900</v>
      </c>
      <c r="U447">
        <v>224773598100</v>
      </c>
      <c r="V447">
        <v>587299706800</v>
      </c>
      <c r="W447">
        <v>4044900</v>
      </c>
      <c r="X447">
        <v>130574326000</v>
      </c>
    </row>
    <row r="448" spans="1:24" x14ac:dyDescent="0.3">
      <c r="A448">
        <v>122</v>
      </c>
      <c r="B448">
        <v>1048576</v>
      </c>
      <c r="C448">
        <v>3</v>
      </c>
      <c r="D448">
        <v>64</v>
      </c>
      <c r="E448">
        <v>0.35</v>
      </c>
      <c r="F448">
        <v>14</v>
      </c>
      <c r="G448">
        <v>32767</v>
      </c>
      <c r="H448" s="1">
        <v>1925584</v>
      </c>
      <c r="I448">
        <v>29812993600</v>
      </c>
      <c r="J448">
        <v>182302033300</v>
      </c>
      <c r="K448">
        <v>6.1148516564938298</v>
      </c>
      <c r="L448">
        <v>396083700</v>
      </c>
      <c r="M448">
        <v>664616000</v>
      </c>
      <c r="N448">
        <v>11661467300</v>
      </c>
      <c r="O448">
        <v>12326083300</v>
      </c>
      <c r="P448">
        <v>4984800</v>
      </c>
      <c r="Q448">
        <v>16083734100</v>
      </c>
      <c r="R448">
        <v>16088718900</v>
      </c>
      <c r="S448">
        <v>8607700</v>
      </c>
      <c r="T448">
        <v>808906100</v>
      </c>
      <c r="U448">
        <v>60018266100</v>
      </c>
      <c r="V448">
        <v>115893627800</v>
      </c>
      <c r="W448">
        <v>3874400</v>
      </c>
      <c r="X448">
        <v>29812993600</v>
      </c>
    </row>
    <row r="449" spans="1:24" x14ac:dyDescent="0.3">
      <c r="A449">
        <v>123</v>
      </c>
      <c r="B449">
        <v>1048576</v>
      </c>
      <c r="C449">
        <v>3</v>
      </c>
      <c r="D449">
        <v>64</v>
      </c>
      <c r="E449">
        <v>0.5</v>
      </c>
      <c r="F449">
        <v>14</v>
      </c>
      <c r="G449">
        <v>32767</v>
      </c>
      <c r="H449">
        <v>721012</v>
      </c>
      <c r="I449">
        <v>12544461800</v>
      </c>
      <c r="J449">
        <v>72221754700</v>
      </c>
      <c r="K449">
        <v>5.7572621170562996</v>
      </c>
      <c r="L449">
        <v>502092200</v>
      </c>
      <c r="M449">
        <v>567775700</v>
      </c>
      <c r="N449">
        <v>4408548700</v>
      </c>
      <c r="O449">
        <v>4976324400</v>
      </c>
      <c r="P449">
        <v>1988000</v>
      </c>
      <c r="Q449">
        <v>6067009300</v>
      </c>
      <c r="R449">
        <v>6068997300</v>
      </c>
      <c r="S449">
        <v>8666100</v>
      </c>
      <c r="T449">
        <v>528875500</v>
      </c>
      <c r="U449">
        <v>22826986800</v>
      </c>
      <c r="V449">
        <v>43224869600</v>
      </c>
      <c r="W449">
        <v>3852900</v>
      </c>
      <c r="X449">
        <v>12544461800</v>
      </c>
    </row>
    <row r="450" spans="1:24" x14ac:dyDescent="0.3">
      <c r="A450">
        <v>124</v>
      </c>
      <c r="B450">
        <v>1048576</v>
      </c>
      <c r="C450">
        <v>3</v>
      </c>
      <c r="D450">
        <v>64</v>
      </c>
      <c r="E450">
        <v>0.65</v>
      </c>
      <c r="F450">
        <v>14</v>
      </c>
      <c r="G450">
        <v>32767</v>
      </c>
      <c r="H450">
        <v>249128</v>
      </c>
      <c r="I450">
        <v>5771063200</v>
      </c>
      <c r="J450">
        <v>29359125100</v>
      </c>
      <c r="K450">
        <v>5.08729918258389</v>
      </c>
      <c r="L450">
        <v>48326800</v>
      </c>
      <c r="M450">
        <v>1038515900</v>
      </c>
      <c r="N450">
        <v>1598421600</v>
      </c>
      <c r="O450">
        <v>2636937500</v>
      </c>
      <c r="P450">
        <v>748800</v>
      </c>
      <c r="Q450">
        <v>2111317500</v>
      </c>
      <c r="R450">
        <v>2112066300</v>
      </c>
      <c r="S450">
        <v>8087600</v>
      </c>
      <c r="T450">
        <v>451674500</v>
      </c>
      <c r="U450">
        <v>8235894700</v>
      </c>
      <c r="V450">
        <v>15015160000</v>
      </c>
      <c r="W450">
        <v>3790100</v>
      </c>
      <c r="X450">
        <v>5771063200</v>
      </c>
    </row>
    <row r="451" spans="1:24" x14ac:dyDescent="0.3">
      <c r="A451">
        <v>125</v>
      </c>
      <c r="B451">
        <v>1048576</v>
      </c>
      <c r="C451">
        <v>3</v>
      </c>
      <c r="D451">
        <v>64</v>
      </c>
      <c r="E451">
        <v>0.8</v>
      </c>
      <c r="F451">
        <v>14</v>
      </c>
      <c r="G451">
        <v>32767</v>
      </c>
      <c r="H451">
        <v>115748</v>
      </c>
      <c r="I451">
        <v>3962858400</v>
      </c>
      <c r="J451">
        <v>18366812100</v>
      </c>
      <c r="K451">
        <v>4.6347384251730999</v>
      </c>
      <c r="L451">
        <v>24188500</v>
      </c>
      <c r="M451">
        <v>1048255600</v>
      </c>
      <c r="N451">
        <v>896970100</v>
      </c>
      <c r="O451">
        <v>1945225700</v>
      </c>
      <c r="P451">
        <v>423400</v>
      </c>
      <c r="Q451">
        <v>1001221900</v>
      </c>
      <c r="R451">
        <v>1001645300</v>
      </c>
      <c r="S451">
        <v>7966400</v>
      </c>
      <c r="T451">
        <v>776376700</v>
      </c>
      <c r="U451">
        <v>4594253900</v>
      </c>
      <c r="V451">
        <v>7008114300</v>
      </c>
      <c r="W451">
        <v>3784300</v>
      </c>
      <c r="X451">
        <v>3962858400</v>
      </c>
    </row>
    <row r="452" spans="1:24" x14ac:dyDescent="0.3">
      <c r="A452">
        <v>126</v>
      </c>
      <c r="B452">
        <v>1048576</v>
      </c>
      <c r="C452">
        <v>3</v>
      </c>
      <c r="D452">
        <v>64</v>
      </c>
      <c r="E452">
        <v>0.95</v>
      </c>
      <c r="F452">
        <v>14</v>
      </c>
      <c r="G452">
        <v>32767</v>
      </c>
      <c r="H452">
        <v>65536</v>
      </c>
      <c r="I452">
        <v>2954115800</v>
      </c>
      <c r="J452">
        <v>12390354300</v>
      </c>
      <c r="K452">
        <v>4.1942683154126801</v>
      </c>
      <c r="L452">
        <v>10496800</v>
      </c>
      <c r="M452">
        <v>1075512200</v>
      </c>
      <c r="N452">
        <v>307342800</v>
      </c>
      <c r="O452">
        <v>1382855000</v>
      </c>
      <c r="P452">
        <v>125300</v>
      </c>
      <c r="Q452">
        <v>579050100</v>
      </c>
      <c r="R452">
        <v>579175400</v>
      </c>
      <c r="S452">
        <v>7988000</v>
      </c>
      <c r="T452">
        <v>802454500</v>
      </c>
      <c r="U452">
        <v>1592984000</v>
      </c>
      <c r="V452">
        <v>4073231000</v>
      </c>
      <c r="W452">
        <v>4223200</v>
      </c>
      <c r="X452">
        <v>2954115800</v>
      </c>
    </row>
    <row r="453" spans="1:24" x14ac:dyDescent="0.3">
      <c r="A453">
        <v>127</v>
      </c>
      <c r="B453">
        <v>1048576</v>
      </c>
      <c r="C453">
        <v>4</v>
      </c>
      <c r="D453">
        <v>125</v>
      </c>
      <c r="E453">
        <v>0.2</v>
      </c>
      <c r="F453">
        <v>14</v>
      </c>
      <c r="G453">
        <v>32767</v>
      </c>
      <c r="H453" s="1">
        <v>9805088</v>
      </c>
      <c r="I453">
        <v>233525472000</v>
      </c>
      <c r="J453">
        <v>1431951914000</v>
      </c>
      <c r="K453">
        <v>6.13188746279463</v>
      </c>
      <c r="L453">
        <v>2227842200</v>
      </c>
      <c r="M453">
        <v>734715300</v>
      </c>
      <c r="N453">
        <v>143413347200</v>
      </c>
      <c r="O453">
        <v>144148062500</v>
      </c>
      <c r="P453">
        <v>29421600</v>
      </c>
      <c r="Q453">
        <v>85564286000</v>
      </c>
      <c r="R453">
        <v>85593707600</v>
      </c>
      <c r="S453">
        <v>8768000</v>
      </c>
      <c r="T453">
        <v>782745000</v>
      </c>
      <c r="U453">
        <v>829033534200</v>
      </c>
      <c r="V453">
        <v>588288560600</v>
      </c>
      <c r="W453">
        <v>3843100</v>
      </c>
      <c r="X453">
        <v>233525472000</v>
      </c>
    </row>
    <row r="454" spans="1:24" x14ac:dyDescent="0.3">
      <c r="A454">
        <v>128</v>
      </c>
      <c r="B454">
        <v>1048576</v>
      </c>
      <c r="C454">
        <v>4</v>
      </c>
      <c r="D454">
        <v>125</v>
      </c>
      <c r="E454">
        <v>0.35</v>
      </c>
      <c r="F454">
        <v>14</v>
      </c>
      <c r="G454">
        <v>32767</v>
      </c>
      <c r="H454" s="1">
        <v>1928056</v>
      </c>
      <c r="I454">
        <v>59394013300</v>
      </c>
      <c r="J454">
        <v>351896038700</v>
      </c>
      <c r="K454">
        <v>5.9247728710058301</v>
      </c>
      <c r="L454">
        <v>387537400</v>
      </c>
      <c r="M454">
        <v>2585111600</v>
      </c>
      <c r="N454">
        <v>38388202300</v>
      </c>
      <c r="O454">
        <v>40973313900</v>
      </c>
      <c r="P454">
        <v>4923900</v>
      </c>
      <c r="Q454">
        <v>16662571400</v>
      </c>
      <c r="R454">
        <v>16667495300</v>
      </c>
      <c r="S454">
        <v>8282000</v>
      </c>
      <c r="T454">
        <v>888294100</v>
      </c>
      <c r="U454">
        <v>222600604600</v>
      </c>
      <c r="V454">
        <v>115658693200</v>
      </c>
      <c r="W454">
        <v>3718700</v>
      </c>
      <c r="X454">
        <v>59394013300</v>
      </c>
    </row>
    <row r="455" spans="1:24" x14ac:dyDescent="0.3">
      <c r="A455">
        <v>129</v>
      </c>
      <c r="B455">
        <v>1048576</v>
      </c>
      <c r="C455">
        <v>4</v>
      </c>
      <c r="D455">
        <v>125</v>
      </c>
      <c r="E455">
        <v>0.5</v>
      </c>
      <c r="F455">
        <v>14</v>
      </c>
      <c r="G455">
        <v>32767</v>
      </c>
      <c r="H455">
        <v>722352</v>
      </c>
      <c r="I455">
        <v>25119524200</v>
      </c>
      <c r="J455">
        <v>140595809900</v>
      </c>
      <c r="K455">
        <v>5.59707296924039</v>
      </c>
      <c r="L455">
        <v>144099500</v>
      </c>
      <c r="M455">
        <v>2807484700</v>
      </c>
      <c r="N455">
        <v>14513486500</v>
      </c>
      <c r="O455">
        <v>17320971200</v>
      </c>
      <c r="P455">
        <v>2119400</v>
      </c>
      <c r="Q455">
        <v>6270907600</v>
      </c>
      <c r="R455">
        <v>6273027000</v>
      </c>
      <c r="S455">
        <v>8000000</v>
      </c>
      <c r="T455">
        <v>845724700</v>
      </c>
      <c r="U455">
        <v>83861915000</v>
      </c>
      <c r="V455">
        <v>43432244600</v>
      </c>
      <c r="W455">
        <v>3781500</v>
      </c>
      <c r="X455">
        <v>25119524200</v>
      </c>
    </row>
    <row r="456" spans="1:24" x14ac:dyDescent="0.3">
      <c r="A456">
        <v>130</v>
      </c>
      <c r="B456">
        <v>1048576</v>
      </c>
      <c r="C456">
        <v>4</v>
      </c>
      <c r="D456">
        <v>125</v>
      </c>
      <c r="E456">
        <v>0.65</v>
      </c>
      <c r="F456">
        <v>14</v>
      </c>
      <c r="G456">
        <v>32767</v>
      </c>
      <c r="H456">
        <v>250256</v>
      </c>
      <c r="I456">
        <v>11829666600</v>
      </c>
      <c r="J456">
        <v>59332923200</v>
      </c>
      <c r="K456">
        <v>5.0156040069632999</v>
      </c>
      <c r="L456">
        <v>49796000</v>
      </c>
      <c r="M456">
        <v>2890396700</v>
      </c>
      <c r="N456">
        <v>5296886900</v>
      </c>
      <c r="O456">
        <v>8187283600</v>
      </c>
      <c r="P456">
        <v>770200</v>
      </c>
      <c r="Q456">
        <v>2184903300</v>
      </c>
      <c r="R456">
        <v>2185673500</v>
      </c>
      <c r="S456">
        <v>7930500</v>
      </c>
      <c r="T456">
        <v>841927100</v>
      </c>
      <c r="U456">
        <v>30847767400</v>
      </c>
      <c r="V456">
        <v>15128774100</v>
      </c>
      <c r="W456">
        <v>3906400</v>
      </c>
      <c r="X456">
        <v>11829666600</v>
      </c>
    </row>
    <row r="457" spans="1:24" x14ac:dyDescent="0.3">
      <c r="A457">
        <v>131</v>
      </c>
      <c r="B457">
        <v>1048576</v>
      </c>
      <c r="C457">
        <v>4</v>
      </c>
      <c r="D457">
        <v>125</v>
      </c>
      <c r="E457">
        <v>0.8</v>
      </c>
      <c r="F457">
        <v>14</v>
      </c>
      <c r="G457">
        <v>32767</v>
      </c>
      <c r="H457">
        <v>116548</v>
      </c>
      <c r="I457">
        <v>8324657700</v>
      </c>
      <c r="J457">
        <v>38167339800</v>
      </c>
      <c r="K457">
        <v>4.58485395741857</v>
      </c>
      <c r="L457">
        <v>24660400</v>
      </c>
      <c r="M457">
        <v>2941303800</v>
      </c>
      <c r="N457">
        <v>2958459200</v>
      </c>
      <c r="O457">
        <v>5899763000</v>
      </c>
      <c r="P457">
        <v>509700</v>
      </c>
      <c r="Q457">
        <v>1040587600</v>
      </c>
      <c r="R457">
        <v>1041097300</v>
      </c>
      <c r="S457">
        <v>8799200</v>
      </c>
      <c r="T457">
        <v>858445300</v>
      </c>
      <c r="U457">
        <v>17183990200</v>
      </c>
      <c r="V457">
        <v>7114729800</v>
      </c>
      <c r="W457">
        <v>3754500</v>
      </c>
      <c r="X457">
        <v>8324657700</v>
      </c>
    </row>
    <row r="458" spans="1:24" x14ac:dyDescent="0.3">
      <c r="A458">
        <v>132</v>
      </c>
      <c r="B458">
        <v>1048576</v>
      </c>
      <c r="C458">
        <v>4</v>
      </c>
      <c r="D458">
        <v>125</v>
      </c>
      <c r="E458">
        <v>0.95</v>
      </c>
      <c r="F458">
        <v>14</v>
      </c>
      <c r="G458">
        <v>32767</v>
      </c>
      <c r="H458">
        <v>65536</v>
      </c>
      <c r="I458">
        <v>5927591900</v>
      </c>
      <c r="J458">
        <v>23267066500</v>
      </c>
      <c r="K458">
        <v>3.9252139642069399</v>
      </c>
      <c r="L458">
        <v>10409700</v>
      </c>
      <c r="M458">
        <v>2953753200</v>
      </c>
      <c r="N458">
        <v>1015262500</v>
      </c>
      <c r="O458">
        <v>3969015700</v>
      </c>
      <c r="P458">
        <v>156200</v>
      </c>
      <c r="Q458">
        <v>581946600</v>
      </c>
      <c r="R458">
        <v>582102800</v>
      </c>
      <c r="S458">
        <v>8129200</v>
      </c>
      <c r="T458">
        <v>895958300</v>
      </c>
      <c r="U458">
        <v>5909566500</v>
      </c>
      <c r="V458">
        <v>3994094600</v>
      </c>
      <c r="W458">
        <v>3811400</v>
      </c>
      <c r="X458">
        <v>5927591900</v>
      </c>
    </row>
    <row r="459" spans="1:24" x14ac:dyDescent="0.3">
      <c r="A459">
        <v>133</v>
      </c>
      <c r="B459">
        <v>1048576</v>
      </c>
      <c r="C459">
        <v>5</v>
      </c>
      <c r="D459">
        <v>216</v>
      </c>
      <c r="E459">
        <v>0.2</v>
      </c>
      <c r="F459">
        <v>13</v>
      </c>
      <c r="G459">
        <v>16383</v>
      </c>
      <c r="H459" s="1">
        <v>3775764</v>
      </c>
      <c r="I459">
        <v>430662975300</v>
      </c>
      <c r="J459">
        <v>2349051574400</v>
      </c>
      <c r="K459">
        <v>5.4545008722044104</v>
      </c>
      <c r="L459">
        <v>863598900</v>
      </c>
      <c r="M459">
        <v>5010787600</v>
      </c>
      <c r="N459">
        <v>295464285600</v>
      </c>
      <c r="O459">
        <v>300475073200</v>
      </c>
      <c r="P459">
        <v>10156000</v>
      </c>
      <c r="Q459">
        <v>127627304100</v>
      </c>
      <c r="R459">
        <v>127637460100</v>
      </c>
      <c r="S459">
        <v>22683700</v>
      </c>
      <c r="T459">
        <v>540795100</v>
      </c>
      <c r="U459">
        <v>1397275653300</v>
      </c>
      <c r="V459">
        <v>933743733200</v>
      </c>
      <c r="W459">
        <v>3797000</v>
      </c>
      <c r="X459">
        <v>430662975300</v>
      </c>
    </row>
    <row r="460" spans="1:24" x14ac:dyDescent="0.3">
      <c r="A460">
        <v>134</v>
      </c>
      <c r="B460">
        <v>1048576</v>
      </c>
      <c r="C460">
        <v>5</v>
      </c>
      <c r="D460">
        <v>216</v>
      </c>
      <c r="E460">
        <v>0.35</v>
      </c>
      <c r="F460">
        <v>13</v>
      </c>
      <c r="G460">
        <v>16383</v>
      </c>
      <c r="H460">
        <v>863580</v>
      </c>
      <c r="I460">
        <v>110110227800</v>
      </c>
      <c r="J460">
        <v>581782107700</v>
      </c>
      <c r="K460">
        <v>5.28363367621695</v>
      </c>
      <c r="L460">
        <v>180126200</v>
      </c>
      <c r="M460">
        <v>5670287000</v>
      </c>
      <c r="N460">
        <v>73546262800</v>
      </c>
      <c r="O460">
        <v>79216549800</v>
      </c>
      <c r="P460">
        <v>2464700</v>
      </c>
      <c r="Q460">
        <v>29028521300</v>
      </c>
      <c r="R460">
        <v>29030986000</v>
      </c>
      <c r="S460">
        <v>22876100</v>
      </c>
      <c r="T460">
        <v>817927400</v>
      </c>
      <c r="U460">
        <v>350106349200</v>
      </c>
      <c r="V460">
        <v>213847119200</v>
      </c>
      <c r="W460">
        <v>4418100</v>
      </c>
      <c r="X460">
        <v>110110227800</v>
      </c>
    </row>
    <row r="461" spans="1:24" x14ac:dyDescent="0.3">
      <c r="A461">
        <v>135</v>
      </c>
      <c r="B461">
        <v>1048576</v>
      </c>
      <c r="C461">
        <v>5</v>
      </c>
      <c r="D461">
        <v>216</v>
      </c>
      <c r="E461">
        <v>0.5</v>
      </c>
      <c r="F461">
        <v>13</v>
      </c>
      <c r="G461">
        <v>16383</v>
      </c>
      <c r="H461">
        <v>310336</v>
      </c>
      <c r="I461">
        <v>45487142800</v>
      </c>
      <c r="J461">
        <v>226761317100</v>
      </c>
      <c r="K461">
        <v>4.9851739006126303</v>
      </c>
      <c r="L461">
        <v>65736400</v>
      </c>
      <c r="M461">
        <v>5812415500</v>
      </c>
      <c r="N461">
        <v>27536248700</v>
      </c>
      <c r="O461">
        <v>33348664200</v>
      </c>
      <c r="P461">
        <v>970700</v>
      </c>
      <c r="Q461">
        <v>10408837700</v>
      </c>
      <c r="R461">
        <v>10409808400</v>
      </c>
      <c r="S461">
        <v>8651400</v>
      </c>
      <c r="T461">
        <v>844604100</v>
      </c>
      <c r="U461">
        <v>131927677100</v>
      </c>
      <c r="V461">
        <v>76896994600</v>
      </c>
      <c r="W461">
        <v>3801700</v>
      </c>
      <c r="X461">
        <v>45487142800</v>
      </c>
    </row>
    <row r="462" spans="1:24" x14ac:dyDescent="0.3">
      <c r="A462">
        <v>136</v>
      </c>
      <c r="B462">
        <v>1048576</v>
      </c>
      <c r="C462">
        <v>5</v>
      </c>
      <c r="D462">
        <v>216</v>
      </c>
      <c r="E462">
        <v>0.65</v>
      </c>
      <c r="F462">
        <v>13</v>
      </c>
      <c r="G462">
        <v>16383</v>
      </c>
      <c r="H462">
        <v>102840</v>
      </c>
      <c r="I462">
        <v>22122133500</v>
      </c>
      <c r="J462">
        <v>96576825200</v>
      </c>
      <c r="K462">
        <v>4.3656198530761001</v>
      </c>
      <c r="L462">
        <v>23665700</v>
      </c>
      <c r="M462">
        <v>5835748600</v>
      </c>
      <c r="N462">
        <v>11106103300</v>
      </c>
      <c r="O462">
        <v>16941851900</v>
      </c>
      <c r="P462">
        <v>405400</v>
      </c>
      <c r="Q462">
        <v>3481640600</v>
      </c>
      <c r="R462">
        <v>3482046000</v>
      </c>
      <c r="S462">
        <v>8115300</v>
      </c>
      <c r="T462">
        <v>842471000</v>
      </c>
      <c r="U462">
        <v>53067289900</v>
      </c>
      <c r="V462">
        <v>25448503500</v>
      </c>
      <c r="W462">
        <v>3817900</v>
      </c>
      <c r="X462">
        <v>22122133500</v>
      </c>
    </row>
    <row r="463" spans="1:24" x14ac:dyDescent="0.3">
      <c r="A463">
        <v>137</v>
      </c>
      <c r="B463">
        <v>1048576</v>
      </c>
      <c r="C463">
        <v>5</v>
      </c>
      <c r="D463">
        <v>216</v>
      </c>
      <c r="E463">
        <v>0.8</v>
      </c>
      <c r="F463">
        <v>13</v>
      </c>
      <c r="G463">
        <v>16383</v>
      </c>
      <c r="H463">
        <v>59456</v>
      </c>
      <c r="I463">
        <v>15282089600</v>
      </c>
      <c r="J463">
        <v>60613788000</v>
      </c>
      <c r="K463">
        <v>3.9663285314071102</v>
      </c>
      <c r="L463">
        <v>12492100</v>
      </c>
      <c r="M463">
        <v>5817888500</v>
      </c>
      <c r="N463">
        <v>5745031900</v>
      </c>
      <c r="O463">
        <v>11562920400</v>
      </c>
      <c r="P463">
        <v>173600</v>
      </c>
      <c r="Q463">
        <v>2027183000</v>
      </c>
      <c r="R463">
        <v>2027356600</v>
      </c>
      <c r="S463">
        <v>8020300</v>
      </c>
      <c r="T463">
        <v>833101900</v>
      </c>
      <c r="U463">
        <v>27860530800</v>
      </c>
      <c r="V463">
        <v>14829866200</v>
      </c>
      <c r="W463">
        <v>3786200</v>
      </c>
      <c r="X463">
        <v>15282089600</v>
      </c>
    </row>
    <row r="464" spans="1:24" x14ac:dyDescent="0.3">
      <c r="A464">
        <v>138</v>
      </c>
      <c r="B464">
        <v>1048576</v>
      </c>
      <c r="C464">
        <v>5</v>
      </c>
      <c r="D464">
        <v>216</v>
      </c>
      <c r="E464">
        <v>0.95</v>
      </c>
      <c r="F464">
        <v>13</v>
      </c>
      <c r="G464">
        <v>16383</v>
      </c>
      <c r="H464">
        <v>16384</v>
      </c>
      <c r="I464">
        <v>11607966000</v>
      </c>
      <c r="J464">
        <v>39560799100</v>
      </c>
      <c r="K464">
        <v>3.4080733093118898</v>
      </c>
      <c r="L464">
        <v>5454700</v>
      </c>
      <c r="M464">
        <v>5817982800</v>
      </c>
      <c r="N464">
        <v>3548021900</v>
      </c>
      <c r="O464">
        <v>9366004700</v>
      </c>
      <c r="P464">
        <v>112700</v>
      </c>
      <c r="Q464">
        <v>577494000</v>
      </c>
      <c r="R464">
        <v>577606700</v>
      </c>
      <c r="S464">
        <v>8012200</v>
      </c>
      <c r="T464">
        <v>854309600</v>
      </c>
      <c r="U464">
        <v>17347093400</v>
      </c>
      <c r="V464">
        <v>4123702700</v>
      </c>
      <c r="W464">
        <v>3793100</v>
      </c>
      <c r="X464">
        <v>11607966000</v>
      </c>
    </row>
    <row r="465" spans="1:24" x14ac:dyDescent="0.3">
      <c r="A465">
        <v>139</v>
      </c>
      <c r="B465">
        <v>1048576</v>
      </c>
      <c r="C465">
        <v>6</v>
      </c>
      <c r="D465">
        <v>343</v>
      </c>
      <c r="E465">
        <v>0.2</v>
      </c>
      <c r="F465">
        <v>12</v>
      </c>
      <c r="G465">
        <v>8191</v>
      </c>
      <c r="H465" s="1">
        <v>2283060</v>
      </c>
      <c r="I465">
        <v>554902130400</v>
      </c>
      <c r="J465">
        <v>3482209818000</v>
      </c>
      <c r="K465">
        <v>6.2753585312239704</v>
      </c>
      <c r="L465">
        <v>370864800</v>
      </c>
      <c r="M465">
        <v>13535764400</v>
      </c>
      <c r="N465">
        <v>230702156400</v>
      </c>
      <c r="O465">
        <v>244237920800</v>
      </c>
      <c r="P465">
        <v>6178600</v>
      </c>
      <c r="Q465">
        <v>308284810600</v>
      </c>
      <c r="R465">
        <v>308290989200</v>
      </c>
      <c r="S465">
        <v>8661000</v>
      </c>
      <c r="T465">
        <v>777395900</v>
      </c>
      <c r="U465">
        <v>1085289887400</v>
      </c>
      <c r="V465">
        <v>2374926945800</v>
      </c>
      <c r="W465">
        <v>3776600</v>
      </c>
      <c r="X465">
        <v>554902130400</v>
      </c>
    </row>
    <row r="466" spans="1:24" x14ac:dyDescent="0.3">
      <c r="A466">
        <v>140</v>
      </c>
      <c r="B466">
        <v>1048576</v>
      </c>
      <c r="C466">
        <v>6</v>
      </c>
      <c r="D466">
        <v>343</v>
      </c>
      <c r="E466">
        <v>0.35</v>
      </c>
      <c r="F466">
        <v>12</v>
      </c>
      <c r="G466">
        <v>8191</v>
      </c>
      <c r="H466">
        <v>511060</v>
      </c>
      <c r="I466">
        <v>151356167100</v>
      </c>
      <c r="J466">
        <v>870198795200</v>
      </c>
      <c r="K466">
        <v>5.7493448193958603</v>
      </c>
      <c r="L466">
        <v>85629400</v>
      </c>
      <c r="M466">
        <v>13829314400</v>
      </c>
      <c r="N466">
        <v>66339471800</v>
      </c>
      <c r="O466">
        <v>80168786200</v>
      </c>
      <c r="P466">
        <v>1468900</v>
      </c>
      <c r="Q466">
        <v>68762652000</v>
      </c>
      <c r="R466">
        <v>68764120900</v>
      </c>
      <c r="S466">
        <v>8329400</v>
      </c>
      <c r="T466">
        <v>458287600</v>
      </c>
      <c r="U466">
        <v>314131511500</v>
      </c>
      <c r="V466">
        <v>534507538700</v>
      </c>
      <c r="W466">
        <v>3970700</v>
      </c>
      <c r="X466">
        <v>151356167100</v>
      </c>
    </row>
    <row r="467" spans="1:24" x14ac:dyDescent="0.3">
      <c r="A467">
        <v>141</v>
      </c>
      <c r="B467">
        <v>1048576</v>
      </c>
      <c r="C467">
        <v>6</v>
      </c>
      <c r="D467">
        <v>343</v>
      </c>
      <c r="E467">
        <v>0.5</v>
      </c>
      <c r="F467">
        <v>12</v>
      </c>
      <c r="G467">
        <v>8191</v>
      </c>
      <c r="H467">
        <v>180952</v>
      </c>
      <c r="I467">
        <v>70841308700</v>
      </c>
      <c r="J467">
        <v>355553552600</v>
      </c>
      <c r="K467">
        <v>5.0190144581561</v>
      </c>
      <c r="L467">
        <v>35166900</v>
      </c>
      <c r="M467">
        <v>13860360800</v>
      </c>
      <c r="N467">
        <v>30631435700</v>
      </c>
      <c r="O467">
        <v>44491796500</v>
      </c>
      <c r="P467">
        <v>605900</v>
      </c>
      <c r="Q467">
        <v>24281289400</v>
      </c>
      <c r="R467">
        <v>24281895300</v>
      </c>
      <c r="S467">
        <v>22739200</v>
      </c>
      <c r="T467">
        <v>788392200</v>
      </c>
      <c r="U467">
        <v>145169965100</v>
      </c>
      <c r="V467">
        <v>188352049100</v>
      </c>
      <c r="W467">
        <v>3874800</v>
      </c>
      <c r="X467">
        <v>70841308700</v>
      </c>
    </row>
    <row r="468" spans="1:24" x14ac:dyDescent="0.3">
      <c r="A468">
        <v>142</v>
      </c>
      <c r="B468">
        <v>1048576</v>
      </c>
      <c r="C468">
        <v>6</v>
      </c>
      <c r="D468">
        <v>343</v>
      </c>
      <c r="E468">
        <v>0.65</v>
      </c>
      <c r="F468">
        <v>12</v>
      </c>
      <c r="G468">
        <v>8191</v>
      </c>
      <c r="H468">
        <v>73392</v>
      </c>
      <c r="I468">
        <v>36777471100</v>
      </c>
      <c r="J468">
        <v>151655214900</v>
      </c>
      <c r="K468">
        <v>4.1235900774047503</v>
      </c>
      <c r="L468">
        <v>12516100</v>
      </c>
      <c r="M468">
        <v>13869555800</v>
      </c>
      <c r="N468">
        <v>11118240300</v>
      </c>
      <c r="O468">
        <v>24987796100</v>
      </c>
      <c r="P468">
        <v>255300</v>
      </c>
      <c r="Q468">
        <v>9779528300</v>
      </c>
      <c r="R468">
        <v>9779783600</v>
      </c>
      <c r="S468">
        <v>8027600</v>
      </c>
      <c r="T468">
        <v>800739600</v>
      </c>
      <c r="U468">
        <v>52740160700</v>
      </c>
      <c r="V468">
        <v>76668554600</v>
      </c>
      <c r="W468">
        <v>3915300</v>
      </c>
      <c r="X468">
        <v>36777471100</v>
      </c>
    </row>
    <row r="469" spans="1:24" x14ac:dyDescent="0.3">
      <c r="A469">
        <v>143</v>
      </c>
      <c r="B469">
        <v>1048576</v>
      </c>
      <c r="C469">
        <v>6</v>
      </c>
      <c r="D469">
        <v>343</v>
      </c>
      <c r="E469">
        <v>0.8</v>
      </c>
      <c r="F469">
        <v>12</v>
      </c>
      <c r="G469">
        <v>8191</v>
      </c>
      <c r="H469">
        <v>36028</v>
      </c>
      <c r="I469">
        <v>26885585000</v>
      </c>
      <c r="J469">
        <v>88261128900</v>
      </c>
      <c r="K469">
        <v>3.2828420471416102</v>
      </c>
      <c r="L469">
        <v>6232900</v>
      </c>
      <c r="M469">
        <v>13910772400</v>
      </c>
      <c r="N469">
        <v>6109222000</v>
      </c>
      <c r="O469">
        <v>20019994400</v>
      </c>
      <c r="P469">
        <v>189400</v>
      </c>
      <c r="Q469">
        <v>4863511400</v>
      </c>
      <c r="R469">
        <v>4863700800</v>
      </c>
      <c r="S469">
        <v>8703200</v>
      </c>
      <c r="T469">
        <v>848860800</v>
      </c>
      <c r="U469">
        <v>29182624500</v>
      </c>
      <c r="V469">
        <v>37268439900</v>
      </c>
      <c r="W469">
        <v>3819000</v>
      </c>
      <c r="X469">
        <v>26885585000</v>
      </c>
    </row>
    <row r="470" spans="1:24" x14ac:dyDescent="0.3">
      <c r="A470">
        <v>144</v>
      </c>
      <c r="B470">
        <v>1048576</v>
      </c>
      <c r="C470">
        <v>6</v>
      </c>
      <c r="D470">
        <v>343</v>
      </c>
      <c r="E470">
        <v>0.95</v>
      </c>
      <c r="F470">
        <v>12</v>
      </c>
      <c r="G470">
        <v>8191</v>
      </c>
      <c r="H470">
        <v>24576</v>
      </c>
      <c r="I470">
        <v>21148411600</v>
      </c>
      <c r="J470">
        <v>56545390100</v>
      </c>
      <c r="K470">
        <v>2.6737417054999999</v>
      </c>
      <c r="L470">
        <v>3293800</v>
      </c>
      <c r="M470">
        <v>13917385500</v>
      </c>
      <c r="N470">
        <v>1909721700</v>
      </c>
      <c r="O470">
        <v>15827107200</v>
      </c>
      <c r="P470">
        <v>172800</v>
      </c>
      <c r="Q470">
        <v>3326629400</v>
      </c>
      <c r="R470">
        <v>3326802200</v>
      </c>
      <c r="S470">
        <v>7957700</v>
      </c>
      <c r="T470">
        <v>811023100</v>
      </c>
      <c r="U470">
        <v>8971061900</v>
      </c>
      <c r="V470">
        <v>25508988400</v>
      </c>
      <c r="W470">
        <v>3933200</v>
      </c>
      <c r="X470">
        <v>21148411600</v>
      </c>
    </row>
    <row r="471" spans="1:24" x14ac:dyDescent="0.3">
      <c r="A471">
        <v>145</v>
      </c>
      <c r="B471">
        <v>1048576</v>
      </c>
      <c r="C471">
        <v>7</v>
      </c>
      <c r="D471">
        <v>512</v>
      </c>
      <c r="E471">
        <v>0.2</v>
      </c>
      <c r="F471">
        <v>11</v>
      </c>
      <c r="G471">
        <v>4095</v>
      </c>
      <c r="H471">
        <v>959988</v>
      </c>
      <c r="I471">
        <v>690134863600</v>
      </c>
      <c r="J471">
        <v>5056862234700</v>
      </c>
      <c r="K471">
        <v>7.3273536831939197</v>
      </c>
      <c r="L471">
        <v>143886600</v>
      </c>
      <c r="M471">
        <v>16571034900</v>
      </c>
      <c r="N471">
        <v>151469436300</v>
      </c>
      <c r="O471">
        <v>168040471200</v>
      </c>
      <c r="P471">
        <v>2727000</v>
      </c>
      <c r="Q471">
        <v>519930483100</v>
      </c>
      <c r="R471">
        <v>519933210100</v>
      </c>
      <c r="S471">
        <v>22373600</v>
      </c>
      <c r="T471">
        <v>766508800</v>
      </c>
      <c r="U471">
        <v>802244344500</v>
      </c>
      <c r="V471">
        <v>4228525953900</v>
      </c>
      <c r="W471">
        <v>3912700</v>
      </c>
      <c r="X471">
        <v>690134863600</v>
      </c>
    </row>
    <row r="472" spans="1:24" x14ac:dyDescent="0.3">
      <c r="A472">
        <v>146</v>
      </c>
      <c r="B472">
        <v>1048576</v>
      </c>
      <c r="C472">
        <v>7</v>
      </c>
      <c r="D472">
        <v>512</v>
      </c>
      <c r="E472">
        <v>0.35</v>
      </c>
      <c r="F472">
        <v>11</v>
      </c>
      <c r="G472">
        <v>4095</v>
      </c>
      <c r="H472">
        <v>216376</v>
      </c>
      <c r="I472">
        <v>196722474800</v>
      </c>
      <c r="J472">
        <v>1316550429100</v>
      </c>
      <c r="K472">
        <v>6.6924251051563104</v>
      </c>
      <c r="L472">
        <v>36600700</v>
      </c>
      <c r="M472">
        <v>16543536700</v>
      </c>
      <c r="N472">
        <v>62139198500</v>
      </c>
      <c r="O472">
        <v>78682735200</v>
      </c>
      <c r="P472">
        <v>629600</v>
      </c>
      <c r="Q472">
        <v>116006884000</v>
      </c>
      <c r="R472">
        <v>116007513600</v>
      </c>
      <c r="S472">
        <v>8633900</v>
      </c>
      <c r="T472">
        <v>721615400</v>
      </c>
      <c r="U472">
        <v>341139651100</v>
      </c>
      <c r="V472">
        <v>949621906100</v>
      </c>
      <c r="W472">
        <v>3946200</v>
      </c>
      <c r="X472">
        <v>196722474800</v>
      </c>
    </row>
    <row r="473" spans="1:24" x14ac:dyDescent="0.3">
      <c r="A473">
        <v>147</v>
      </c>
      <c r="B473">
        <v>1048576</v>
      </c>
      <c r="C473">
        <v>7</v>
      </c>
      <c r="D473">
        <v>512</v>
      </c>
      <c r="E473">
        <v>0.5</v>
      </c>
      <c r="F473">
        <v>11</v>
      </c>
      <c r="G473">
        <v>4095</v>
      </c>
      <c r="H473">
        <v>90376</v>
      </c>
      <c r="I473">
        <v>91611061200</v>
      </c>
      <c r="J473">
        <v>552567012100</v>
      </c>
      <c r="K473">
        <v>6.0316626056068401</v>
      </c>
      <c r="L473">
        <v>14900300</v>
      </c>
      <c r="M473">
        <v>16586438100</v>
      </c>
      <c r="N473">
        <v>24390952300</v>
      </c>
      <c r="O473">
        <v>40977390400</v>
      </c>
      <c r="P473">
        <v>272500</v>
      </c>
      <c r="Q473">
        <v>48613375500</v>
      </c>
      <c r="R473">
        <v>48613648000</v>
      </c>
      <c r="S473">
        <v>8363400</v>
      </c>
      <c r="T473">
        <v>737962700</v>
      </c>
      <c r="U473">
        <v>130349834200</v>
      </c>
      <c r="V473">
        <v>396695425700</v>
      </c>
      <c r="W473">
        <v>4066600</v>
      </c>
      <c r="X473">
        <v>91611061200</v>
      </c>
    </row>
    <row r="474" spans="1:24" x14ac:dyDescent="0.3">
      <c r="A474">
        <v>148</v>
      </c>
      <c r="B474">
        <v>1048576</v>
      </c>
      <c r="C474">
        <v>7</v>
      </c>
      <c r="D474">
        <v>512</v>
      </c>
      <c r="E474">
        <v>0.65</v>
      </c>
      <c r="F474">
        <v>11</v>
      </c>
      <c r="G474">
        <v>4095</v>
      </c>
      <c r="H474">
        <v>31376</v>
      </c>
      <c r="I474">
        <v>45747785100</v>
      </c>
      <c r="J474">
        <v>219602866700</v>
      </c>
      <c r="K474">
        <v>4.8002950573447496</v>
      </c>
      <c r="L474">
        <v>5890200</v>
      </c>
      <c r="M474">
        <v>16570439500</v>
      </c>
      <c r="N474">
        <v>10400270000</v>
      </c>
      <c r="O474">
        <v>26970709500</v>
      </c>
      <c r="P474">
        <v>198300</v>
      </c>
      <c r="Q474">
        <v>16778518700</v>
      </c>
      <c r="R474">
        <v>16778717000</v>
      </c>
      <c r="S474">
        <v>8687500</v>
      </c>
      <c r="T474">
        <v>776503900</v>
      </c>
      <c r="U474">
        <v>55854489000</v>
      </c>
      <c r="V474">
        <v>138037226200</v>
      </c>
      <c r="W474">
        <v>3803800</v>
      </c>
      <c r="X474">
        <v>45747785100</v>
      </c>
    </row>
    <row r="475" spans="1:24" x14ac:dyDescent="0.3">
      <c r="A475">
        <v>149</v>
      </c>
      <c r="B475">
        <v>1048576</v>
      </c>
      <c r="C475">
        <v>7</v>
      </c>
      <c r="D475">
        <v>512</v>
      </c>
      <c r="E475">
        <v>0.8</v>
      </c>
      <c r="F475">
        <v>11</v>
      </c>
      <c r="G475">
        <v>4095</v>
      </c>
      <c r="H475">
        <v>15444</v>
      </c>
      <c r="I475">
        <v>33373538100</v>
      </c>
      <c r="J475">
        <v>127302840300</v>
      </c>
      <c r="K475">
        <v>3.8144843953479399</v>
      </c>
      <c r="L475">
        <v>3049100</v>
      </c>
      <c r="M475">
        <v>16653992900</v>
      </c>
      <c r="N475">
        <v>6387500100</v>
      </c>
      <c r="O475">
        <v>23041493000</v>
      </c>
      <c r="P475">
        <v>148400</v>
      </c>
      <c r="Q475">
        <v>8336418900</v>
      </c>
      <c r="R475">
        <v>8336567300</v>
      </c>
      <c r="S475">
        <v>8862200</v>
      </c>
      <c r="T475">
        <v>776723100</v>
      </c>
      <c r="U475">
        <v>34065445500</v>
      </c>
      <c r="V475">
        <v>67827875600</v>
      </c>
      <c r="W475">
        <v>3793400</v>
      </c>
      <c r="X475">
        <v>33373538100</v>
      </c>
    </row>
    <row r="476" spans="1:24" x14ac:dyDescent="0.3">
      <c r="A476">
        <v>150</v>
      </c>
      <c r="B476">
        <v>1048576</v>
      </c>
      <c r="C476">
        <v>7</v>
      </c>
      <c r="D476">
        <v>512</v>
      </c>
      <c r="E476">
        <v>0.95</v>
      </c>
      <c r="F476">
        <v>11</v>
      </c>
      <c r="G476">
        <v>4095</v>
      </c>
      <c r="H476">
        <v>8192</v>
      </c>
      <c r="I476">
        <v>25388032300</v>
      </c>
      <c r="J476">
        <v>73090284300</v>
      </c>
      <c r="K476">
        <v>2.87892670988921</v>
      </c>
      <c r="L476">
        <v>1621500</v>
      </c>
      <c r="M476">
        <v>16719368400</v>
      </c>
      <c r="N476">
        <v>2263387600</v>
      </c>
      <c r="O476">
        <v>18982756000</v>
      </c>
      <c r="P476">
        <v>150500</v>
      </c>
      <c r="Q476">
        <v>4435767500</v>
      </c>
      <c r="R476">
        <v>4435918000</v>
      </c>
      <c r="S476">
        <v>8739700</v>
      </c>
      <c r="T476">
        <v>700532400</v>
      </c>
      <c r="U476">
        <v>12079931000</v>
      </c>
      <c r="V476">
        <v>35712554500</v>
      </c>
      <c r="W476">
        <v>3764200</v>
      </c>
      <c r="X476">
        <v>25388032300</v>
      </c>
    </row>
    <row r="477" spans="1:24" x14ac:dyDescent="0.3">
      <c r="O477" s="1"/>
      <c r="P477" s="1"/>
      <c r="Q477" s="1"/>
      <c r="R477" s="1"/>
    </row>
  </sheetData>
  <autoFilter ref="A1:M437" xr:uid="{00000000-0001-0000-0000-000000000000}">
    <sortState xmlns:xlrd2="http://schemas.microsoft.com/office/spreadsheetml/2017/richdata2" ref="A2:M437">
      <sortCondition ref="B2:B437"/>
      <sortCondition ref="C2:C437"/>
      <sortCondition ref="E2:E437"/>
    </sortState>
  </autoFilter>
  <sortState xmlns:xlrd2="http://schemas.microsoft.com/office/spreadsheetml/2017/richdata2" ref="A2:M477">
    <sortCondition ref="B2:B477"/>
    <sortCondition ref="C2:C477"/>
    <sortCondition ref="E2:E47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51"/>
  <sheetViews>
    <sheetView topLeftCell="C1" workbookViewId="0">
      <selection activeCell="X2" sqref="X2:X151"/>
    </sheetView>
  </sheetViews>
  <sheetFormatPr defaultRowHeight="14.4" x14ac:dyDescent="0.3"/>
  <cols>
    <col min="24" max="24" width="9.6640625" customWidth="1"/>
  </cols>
  <sheetData>
    <row r="1" spans="1:25" x14ac:dyDescent="0.3">
      <c r="A1" t="s">
        <v>1</v>
      </c>
      <c r="B1" t="s">
        <v>2</v>
      </c>
      <c r="C1" t="s">
        <v>3</v>
      </c>
      <c r="D1" t="s">
        <v>4</v>
      </c>
      <c r="E1" t="s">
        <v>20</v>
      </c>
      <c r="F1" t="s">
        <v>21</v>
      </c>
      <c r="G1" t="s">
        <v>22</v>
      </c>
      <c r="H1" t="s">
        <v>8</v>
      </c>
      <c r="I1" t="s">
        <v>9</v>
      </c>
      <c r="J1" t="s">
        <v>10</v>
      </c>
      <c r="K1" t="s">
        <v>23</v>
      </c>
      <c r="L1" t="s">
        <v>24</v>
      </c>
      <c r="M1" t="s">
        <v>25</v>
      </c>
      <c r="N1" t="s">
        <v>26</v>
      </c>
      <c r="O1" t="s">
        <v>27</v>
      </c>
      <c r="P1" t="s">
        <v>28</v>
      </c>
      <c r="Q1" t="s">
        <v>29</v>
      </c>
      <c r="R1" t="s">
        <v>30</v>
      </c>
      <c r="S1" t="s">
        <v>78</v>
      </c>
      <c r="T1" t="s">
        <v>31</v>
      </c>
      <c r="U1" t="s">
        <v>11</v>
      </c>
      <c r="V1" t="s">
        <v>12</v>
      </c>
      <c r="W1" t="s">
        <v>32</v>
      </c>
      <c r="X1" t="s">
        <v>79</v>
      </c>
      <c r="Y1" t="s">
        <v>33</v>
      </c>
    </row>
    <row r="2" spans="1:25" x14ac:dyDescent="0.3">
      <c r="A2">
        <v>65536</v>
      </c>
      <c r="B2">
        <v>4</v>
      </c>
      <c r="C2">
        <v>125</v>
      </c>
      <c r="D2">
        <v>0.95</v>
      </c>
      <c r="E2">
        <v>10</v>
      </c>
      <c r="F2">
        <f>AVERAGEIFS(clean!G$2:G$998,clean!$B$2:$B$998,$A2,clean!$C$2:$C$998,$B2,clean!$D$2:$D$998,$C2,clean!$E$2:$E$998,$D2,clean!$F$2:$F$998,$E2)</f>
        <v>2047</v>
      </c>
      <c r="G2">
        <f>AVERAGEIFS(clean!H$2:H$998,clean!$B$2:$B$998,$A2,clean!$C$2:$C$998,$B2,clean!$D$2:$D$998,$C2,clean!$E$2:$E$998,$D2,clean!$F$2:$F$998,$E2)</f>
        <v>2052</v>
      </c>
      <c r="H2">
        <f>AVERAGEIFS(clean!I$2:I$998,clean!$B$2:$B$998,$A2,clean!$C$2:$C$998,$B2,clean!$D$2:$D$998,$C2,clean!$E$2:$E$998,$D2,clean!$F$2:$F$998,$E2)</f>
        <v>553755933.33333337</v>
      </c>
      <c r="I2">
        <f>AVERAGEIFS(clean!J$2:J$998,clean!$B$2:$B$998,$A2,clean!$C$2:$C$998,$B2,clean!$D$2:$D$998,$C2,clean!$E$2:$E$998,$D2,clean!$F$2:$F$998,$E2)</f>
        <v>1644916433.3333333</v>
      </c>
      <c r="J2">
        <f>AVERAGEIFS(clean!K$2:K$998,clean!$B$2:$B$998,$A2,clean!$C$2:$C$998,$B2,clean!$D$2:$D$998,$C2,clean!$E$2:$E$998,$D2,clean!$F$2:$F$998,$E2)</f>
        <v>2.9780568099189595</v>
      </c>
      <c r="K2">
        <f>AVERAGEIFS(clean!L$2:L$998,clean!$B$2:$B$998,$A2,clean!$C$2:$C$998,$B2,clean!$D$2:$D$998,$C2,clean!$E$2:$E$998,$D2,clean!$F$2:$F$998,$E2)</f>
        <v>782133.33333333337</v>
      </c>
      <c r="L2">
        <f>AVERAGEIFS(clean!M$2:M$998,clean!$B$2:$B$998,$A2,clean!$C$2:$C$998,$B2,clean!$D$2:$D$998,$C2,clean!$E$2:$E$998,$D2,clean!$F$2:$F$998,$E2)</f>
        <v>324124133.33333331</v>
      </c>
      <c r="M2">
        <f>AVERAGEIFS(clean!N$2:N$998,clean!$B$2:$B$998,$A2,clean!$C$2:$C$998,$B2,clean!$D$2:$D$998,$C2,clean!$E$2:$E$998,$D2,clean!$F$2:$F$998,$E2)</f>
        <v>150198300</v>
      </c>
      <c r="N2">
        <f>AVERAGEIFS(clean!O$2:O$998,clean!$B$2:$B$998,$A2,clean!$C$2:$C$998,$B2,clean!$D$2:$D$998,$C2,clean!$E$2:$E$998,$D2,clean!$F$2:$F$998,$E2)</f>
        <v>474322433.33333331</v>
      </c>
      <c r="O2">
        <f>AVERAGEIFS(clean!P$2:P$998,clean!$B$2:$B$998,$A2,clean!$C$2:$C$998,$B2,clean!$D$2:$D$998,$C2,clean!$E$2:$E$998,$D2,clean!$F$2:$F$998,$E2)</f>
        <v>86966.666666666672</v>
      </c>
      <c r="P2">
        <f>AVERAGEIFS(clean!Q$2:Q$998,clean!$B$2:$B$998,$A2,clean!$C$2:$C$998,$B2,clean!$D$2:$D$998,$C2,clean!$E$2:$E$998,$D2,clean!$F$2:$F$998,$E2)</f>
        <v>21423633.333333332</v>
      </c>
      <c r="Q2">
        <f>AVERAGEIFS(clean!R$2:R$998,clean!$B$2:$B$998,$A2,clean!$C$2:$C$998,$B2,clean!$D$2:$D$998,$C2,clean!$E$2:$E$998,$D2,clean!$F$2:$F$998,$E2)</f>
        <v>21510600</v>
      </c>
      <c r="R2">
        <f>AVERAGEIFS(clean!S$2:S$998,clean!$B$2:$B$998,$A2,clean!$C$2:$C$998,$B2,clean!$D$2:$D$998,$C2,clean!$E$2:$E$998,$D2,clean!$F$2:$F$998,$E2)</f>
        <v>715166.66666666663</v>
      </c>
      <c r="S2">
        <f>H2-K2-N2-Q2-R2</f>
        <v>56425600.000000022</v>
      </c>
      <c r="T2">
        <f>AVERAGEIFS(clean!T$2:T$998,clean!$B$2:$B$998,$A2,clean!$C$2:$C$998,$B2,clean!$D$2:$D$998,$C2,clean!$E$2:$E$998,$D2,clean!$F$2:$F$998,$E2)</f>
        <v>24111600</v>
      </c>
      <c r="U2">
        <f>AVERAGEIFS(clean!U$2:U$998,clean!$B$2:$B$998,$A2,clean!$C$2:$C$998,$B2,clean!$D$2:$D$998,$C2,clean!$E$2:$E$998,$D2,clean!$F$2:$F$998,$E2)</f>
        <v>740865866.66666663</v>
      </c>
      <c r="V2">
        <f>AVERAGEIFS(clean!V$2:V$998,clean!$B$2:$B$998,$A2,clean!$C$2:$C$998,$B2,clean!$D$2:$D$998,$C2,clean!$E$2:$E$998,$D2,clean!$F$2:$F$998,$E2)</f>
        <v>129092800</v>
      </c>
      <c r="W2">
        <f>AVERAGEIFS(clean!W$2:W$998,clean!$B$2:$B$998,$A2,clean!$C$2:$C$998,$B2,clean!$D$2:$D$998,$C2,clean!$E$2:$E$998,$D2,clean!$F$2:$F$998,$E2)</f>
        <v>151833.33333333334</v>
      </c>
      <c r="X2">
        <f>I2-T2-U2-V2-W2</f>
        <v>750694333.33333325</v>
      </c>
      <c r="Y2">
        <f>AVERAGEIFS(clean!X$2:X$998,clean!$B$2:$B$998,$A2,clean!$C$2:$C$998,$B2,clean!$D$2:$D$998,$C2,clean!$E$2:$E$998,$D2,clean!$F$2:$F$998,$E2)</f>
        <v>553755933.33333337</v>
      </c>
    </row>
    <row r="3" spans="1:25" x14ac:dyDescent="0.3">
      <c r="A3">
        <v>65536</v>
      </c>
      <c r="B3">
        <v>3</v>
      </c>
      <c r="C3">
        <v>64</v>
      </c>
      <c r="D3">
        <v>0.95</v>
      </c>
      <c r="E3">
        <v>10</v>
      </c>
      <c r="F3">
        <f>AVERAGEIFS(clean!G$2:G$998,clean!$B$2:$B$998,$A3,clean!$C$2:$C$998,$B3,clean!$D$2:$D$998,$C3,clean!$E$2:$E$998,$D3,clean!$F$2:$F$998,$E3)</f>
        <v>2047</v>
      </c>
      <c r="G3">
        <f>AVERAGEIFS(clean!H$2:H$998,clean!$B$2:$B$998,$A3,clean!$C$2:$C$998,$B3,clean!$D$2:$D$998,$C3,clean!$E$2:$E$998,$D3,clean!$F$2:$F$998,$E3)</f>
        <v>2049.3333333333335</v>
      </c>
      <c r="H3">
        <f>AVERAGEIFS(clean!I$2:I$998,clean!$B$2:$B$998,$A3,clean!$C$2:$C$998,$B3,clean!$D$2:$D$998,$C3,clean!$E$2:$E$998,$D3,clean!$F$2:$F$998,$E3)</f>
        <v>300519066.66666669</v>
      </c>
      <c r="I3">
        <f>AVERAGEIFS(clean!J$2:J$998,clean!$B$2:$B$998,$A3,clean!$C$2:$C$998,$B3,clean!$D$2:$D$998,$C3,clean!$E$2:$E$998,$D3,clean!$F$2:$F$998,$E3)</f>
        <v>798907066.66666663</v>
      </c>
      <c r="J3">
        <f>AVERAGEIFS(clean!K$2:K$998,clean!$B$2:$B$998,$A3,clean!$C$2:$C$998,$B3,clean!$D$2:$D$998,$C3,clean!$E$2:$E$998,$D3,clean!$F$2:$F$998,$E3)</f>
        <v>2.6687412861979403</v>
      </c>
      <c r="K3">
        <f>AVERAGEIFS(clean!L$2:L$998,clean!$B$2:$B$998,$A3,clean!$C$2:$C$998,$B3,clean!$D$2:$D$998,$C3,clean!$E$2:$E$998,$D3,clean!$F$2:$F$998,$E3)</f>
        <v>745333.33333333337</v>
      </c>
      <c r="L3">
        <f>AVERAGEIFS(clean!M$2:M$998,clean!$B$2:$B$998,$A3,clean!$C$2:$C$998,$B3,clean!$D$2:$D$998,$C3,clean!$E$2:$E$998,$D3,clean!$F$2:$F$998,$E3)</f>
        <v>190647133.33333334</v>
      </c>
      <c r="M3">
        <f>AVERAGEIFS(clean!N$2:N$998,clean!$B$2:$B$998,$A3,clean!$C$2:$C$998,$B3,clean!$D$2:$D$998,$C3,clean!$E$2:$E$998,$D3,clean!$F$2:$F$998,$E3)</f>
        <v>49881800</v>
      </c>
      <c r="N3">
        <f>AVERAGEIFS(clean!O$2:O$998,clean!$B$2:$B$998,$A3,clean!$C$2:$C$998,$B3,clean!$D$2:$D$998,$C3,clean!$E$2:$E$998,$D3,clean!$F$2:$F$998,$E3)</f>
        <v>240528933.33333334</v>
      </c>
      <c r="O3">
        <f>AVERAGEIFS(clean!P$2:P$998,clean!$B$2:$B$998,$A3,clean!$C$2:$C$998,$B3,clean!$D$2:$D$998,$C3,clean!$E$2:$E$998,$D3,clean!$F$2:$F$998,$E3)</f>
        <v>76133.333333333328</v>
      </c>
      <c r="P3">
        <f>AVERAGEIFS(clean!Q$2:Q$998,clean!$B$2:$B$998,$A3,clean!$C$2:$C$998,$B3,clean!$D$2:$D$998,$C3,clean!$E$2:$E$998,$D3,clean!$F$2:$F$998,$E3)</f>
        <v>24801966.666666668</v>
      </c>
      <c r="Q3">
        <f>AVERAGEIFS(clean!R$2:R$998,clean!$B$2:$B$998,$A3,clean!$C$2:$C$998,$B3,clean!$D$2:$D$998,$C3,clean!$E$2:$E$998,$D3,clean!$F$2:$F$998,$E3)</f>
        <v>24878100</v>
      </c>
      <c r="R3">
        <f>AVERAGEIFS(clean!S$2:S$998,clean!$B$2:$B$998,$A3,clean!$C$2:$C$998,$B3,clean!$D$2:$D$998,$C3,clean!$E$2:$E$998,$D3,clean!$F$2:$F$998,$E3)</f>
        <v>710800</v>
      </c>
      <c r="S3">
        <f t="shared" ref="S3:S66" si="0">H3-K3-N3-Q3-R3</f>
        <v>33655900.00000003</v>
      </c>
      <c r="T3">
        <f>AVERAGEIFS(clean!T$2:T$998,clean!$B$2:$B$998,$A3,clean!$C$2:$C$998,$B3,clean!$D$2:$D$998,$C3,clean!$E$2:$E$998,$D3,clean!$F$2:$F$998,$E3)</f>
        <v>14415300</v>
      </c>
      <c r="U3">
        <f>AVERAGEIFS(clean!U$2:U$998,clean!$B$2:$B$998,$A3,clean!$C$2:$C$998,$B3,clean!$D$2:$D$998,$C3,clean!$E$2:$E$998,$D3,clean!$F$2:$F$998,$E3)</f>
        <v>206740066.66666666</v>
      </c>
      <c r="V3">
        <f>AVERAGEIFS(clean!V$2:V$998,clean!$B$2:$B$998,$A3,clean!$C$2:$C$998,$B3,clean!$D$2:$D$998,$C3,clean!$E$2:$E$998,$D3,clean!$F$2:$F$998,$E3)</f>
        <v>123157366.66666667</v>
      </c>
      <c r="W3">
        <f>AVERAGEIFS(clean!W$2:W$998,clean!$B$2:$B$998,$A3,clean!$C$2:$C$998,$B3,clean!$D$2:$D$998,$C3,clean!$E$2:$E$998,$D3,clean!$F$2:$F$998,$E3)</f>
        <v>153333.33333333334</v>
      </c>
      <c r="X3">
        <f t="shared" ref="X3:X66" si="1">I3-T3-U3-V3-W3</f>
        <v>454441000</v>
      </c>
      <c r="Y3">
        <f>AVERAGEIFS(clean!X$2:X$998,clean!$B$2:$B$998,$A3,clean!$C$2:$C$998,$B3,clean!$D$2:$D$998,$C3,clean!$E$2:$E$998,$D3,clean!$F$2:$F$998,$E3)</f>
        <v>300519066.66666669</v>
      </c>
    </row>
    <row r="4" spans="1:25" x14ac:dyDescent="0.3">
      <c r="A4">
        <v>65536</v>
      </c>
      <c r="B4">
        <v>4</v>
      </c>
      <c r="C4">
        <v>125</v>
      </c>
      <c r="D4">
        <v>0.8</v>
      </c>
      <c r="E4">
        <v>10</v>
      </c>
      <c r="F4">
        <f>AVERAGEIFS(clean!G$2:G$998,clean!$B$2:$B$998,$A4,clean!$C$2:$C$998,$B4,clean!$D$2:$D$998,$C4,clean!$E$2:$E$998,$D4,clean!$F$2:$F$998,$E4)</f>
        <v>2047</v>
      </c>
      <c r="G4">
        <f>AVERAGEIFS(clean!H$2:H$998,clean!$B$2:$B$998,$A4,clean!$C$2:$C$998,$B4,clean!$D$2:$D$998,$C4,clean!$E$2:$E$998,$D4,clean!$F$2:$F$998,$E4)</f>
        <v>6705.333333333333</v>
      </c>
      <c r="H4">
        <f>AVERAGEIFS(clean!I$2:I$998,clean!$B$2:$B$998,$A4,clean!$C$2:$C$998,$B4,clean!$D$2:$D$998,$C4,clean!$E$2:$E$998,$D4,clean!$F$2:$F$998,$E4)</f>
        <v>680044100</v>
      </c>
      <c r="I4">
        <f>AVERAGEIFS(clean!J$2:J$998,clean!$B$2:$B$998,$A4,clean!$C$2:$C$998,$B4,clean!$D$2:$D$998,$C4,clean!$E$2:$E$998,$D4,clean!$F$2:$F$998,$E4)</f>
        <v>2475598666.6666665</v>
      </c>
      <c r="J4">
        <f>AVERAGEIFS(clean!K$2:K$998,clean!$B$2:$B$998,$A4,clean!$C$2:$C$998,$B4,clean!$D$2:$D$998,$C4,clean!$E$2:$E$998,$D4,clean!$F$2:$F$998,$E4)</f>
        <v>3.6515358704509162</v>
      </c>
      <c r="K4">
        <f>AVERAGEIFS(clean!L$2:L$998,clean!$B$2:$B$998,$A4,clean!$C$2:$C$998,$B4,clean!$D$2:$D$998,$C4,clean!$E$2:$E$998,$D4,clean!$F$2:$F$998,$E4)</f>
        <v>1560800</v>
      </c>
      <c r="L4">
        <f>AVERAGEIFS(clean!M$2:M$998,clean!$B$2:$B$998,$A4,clean!$C$2:$C$998,$B4,clean!$D$2:$D$998,$C4,clean!$E$2:$E$998,$D4,clean!$F$2:$F$998,$E4)</f>
        <v>324016266.66666669</v>
      </c>
      <c r="M4">
        <f>AVERAGEIFS(clean!N$2:N$998,clean!$B$2:$B$998,$A4,clean!$C$2:$C$998,$B4,clean!$D$2:$D$998,$C4,clean!$E$2:$E$998,$D4,clean!$F$2:$F$998,$E4)</f>
        <v>234536200</v>
      </c>
      <c r="N4">
        <f>AVERAGEIFS(clean!O$2:O$998,clean!$B$2:$B$998,$A4,clean!$C$2:$C$998,$B4,clean!$D$2:$D$998,$C4,clean!$E$2:$E$998,$D4,clean!$F$2:$F$998,$E4)</f>
        <v>558552466.66666663</v>
      </c>
      <c r="O4">
        <f>AVERAGEIFS(clean!P$2:P$998,clean!$B$2:$B$998,$A4,clean!$C$2:$C$998,$B4,clean!$D$2:$D$998,$C4,clean!$E$2:$E$998,$D4,clean!$F$2:$F$998,$E4)</f>
        <v>73900</v>
      </c>
      <c r="P4">
        <f>AVERAGEIFS(clean!Q$2:Q$998,clean!$B$2:$B$998,$A4,clean!$C$2:$C$998,$B4,clean!$D$2:$D$998,$C4,clean!$E$2:$E$998,$D4,clean!$F$2:$F$998,$E4)</f>
        <v>63860333.333333336</v>
      </c>
      <c r="Q4">
        <f>AVERAGEIFS(clean!R$2:R$998,clean!$B$2:$B$998,$A4,clean!$C$2:$C$998,$B4,clean!$D$2:$D$998,$C4,clean!$E$2:$E$998,$D4,clean!$F$2:$F$998,$E4)</f>
        <v>63934233.333333336</v>
      </c>
      <c r="R4">
        <f>AVERAGEIFS(clean!S$2:S$998,clean!$B$2:$B$998,$A4,clean!$C$2:$C$998,$B4,clean!$D$2:$D$998,$C4,clean!$E$2:$E$998,$D4,clean!$F$2:$F$998,$E4)</f>
        <v>733766.66666666663</v>
      </c>
      <c r="S4">
        <f t="shared" si="0"/>
        <v>55262833.333333373</v>
      </c>
      <c r="T4">
        <f>AVERAGEIFS(clean!T$2:T$998,clean!$B$2:$B$998,$A4,clean!$C$2:$C$998,$B4,clean!$D$2:$D$998,$C4,clean!$E$2:$E$998,$D4,clean!$F$2:$F$998,$E4)</f>
        <v>21572166.666666668</v>
      </c>
      <c r="U4">
        <f>AVERAGEIFS(clean!U$2:U$998,clean!$B$2:$B$998,$A4,clean!$C$2:$C$998,$B4,clean!$D$2:$D$998,$C4,clean!$E$2:$E$998,$D4,clean!$F$2:$F$998,$E4)</f>
        <v>1201428500</v>
      </c>
      <c r="V4">
        <f>AVERAGEIFS(clean!V$2:V$998,clean!$B$2:$B$998,$A4,clean!$C$2:$C$998,$B4,clean!$D$2:$D$998,$C4,clean!$E$2:$E$998,$D4,clean!$F$2:$F$998,$E4)</f>
        <v>397075566.66666669</v>
      </c>
      <c r="W4">
        <f>AVERAGEIFS(clean!W$2:W$998,clean!$B$2:$B$998,$A4,clean!$C$2:$C$998,$B4,clean!$D$2:$D$998,$C4,clean!$E$2:$E$998,$D4,clean!$F$2:$F$998,$E4)</f>
        <v>162000</v>
      </c>
      <c r="X4">
        <f t="shared" si="1"/>
        <v>855360433.33333325</v>
      </c>
      <c r="Y4">
        <f>AVERAGEIFS(clean!X$2:X$998,clean!$B$2:$B$998,$A4,clean!$C$2:$C$998,$B4,clean!$D$2:$D$998,$C4,clean!$E$2:$E$998,$D4,clean!$F$2:$F$998,$E4)</f>
        <v>680044100</v>
      </c>
    </row>
    <row r="5" spans="1:25" x14ac:dyDescent="0.3">
      <c r="A5">
        <v>65536</v>
      </c>
      <c r="B5">
        <v>3</v>
      </c>
      <c r="C5">
        <v>64</v>
      </c>
      <c r="D5">
        <v>0.8</v>
      </c>
      <c r="E5">
        <v>10</v>
      </c>
      <c r="F5">
        <f>AVERAGEIFS(clean!G$2:G$998,clean!$B$2:$B$998,$A5,clean!$C$2:$C$998,$B5,clean!$D$2:$D$998,$C5,clean!$E$2:$E$998,$D5,clean!$F$2:$F$998,$E5)</f>
        <v>2047</v>
      </c>
      <c r="G5">
        <f>AVERAGEIFS(clean!H$2:H$998,clean!$B$2:$B$998,$A5,clean!$C$2:$C$998,$B5,clean!$D$2:$D$998,$C5,clean!$E$2:$E$998,$D5,clean!$F$2:$F$998,$E5)</f>
        <v>6825.333333333333</v>
      </c>
      <c r="H5">
        <f>AVERAGEIFS(clean!I$2:I$998,clean!$B$2:$B$998,$A5,clean!$C$2:$C$998,$B5,clean!$D$2:$D$998,$C5,clean!$E$2:$E$998,$D5,clean!$F$2:$F$998,$E5)</f>
        <v>345786300</v>
      </c>
      <c r="I5">
        <f>AVERAGEIFS(clean!J$2:J$998,clean!$B$2:$B$998,$A5,clean!$C$2:$C$998,$B5,clean!$D$2:$D$998,$C5,clean!$E$2:$E$998,$D5,clean!$F$2:$F$998,$E5)</f>
        <v>1085317366.6666667</v>
      </c>
      <c r="J5">
        <f>AVERAGEIFS(clean!K$2:K$998,clean!$B$2:$B$998,$A5,clean!$C$2:$C$998,$B5,clean!$D$2:$D$998,$C5,clean!$E$2:$E$998,$D5,clean!$F$2:$F$998,$E5)</f>
        <v>3.1495344619378298</v>
      </c>
      <c r="K5">
        <f>AVERAGEIFS(clean!L$2:L$998,clean!$B$2:$B$998,$A5,clean!$C$2:$C$998,$B5,clean!$D$2:$D$998,$C5,clean!$E$2:$E$998,$D5,clean!$F$2:$F$998,$E5)</f>
        <v>1662566.6666666667</v>
      </c>
      <c r="L5">
        <f>AVERAGEIFS(clean!M$2:M$998,clean!$B$2:$B$998,$A5,clean!$C$2:$C$998,$B5,clean!$D$2:$D$998,$C5,clean!$E$2:$E$998,$D5,clean!$F$2:$F$998,$E5)</f>
        <v>155213533.33333334</v>
      </c>
      <c r="M5">
        <f>AVERAGEIFS(clean!N$2:N$998,clean!$B$2:$B$998,$A5,clean!$C$2:$C$998,$B5,clean!$D$2:$D$998,$C5,clean!$E$2:$E$998,$D5,clean!$F$2:$F$998,$E5)</f>
        <v>80790800</v>
      </c>
      <c r="N5">
        <f>AVERAGEIFS(clean!O$2:O$998,clean!$B$2:$B$998,$A5,clean!$C$2:$C$998,$B5,clean!$D$2:$D$998,$C5,clean!$E$2:$E$998,$D5,clean!$F$2:$F$998,$E5)</f>
        <v>236004333.33333334</v>
      </c>
      <c r="O5">
        <f>AVERAGEIFS(clean!P$2:P$998,clean!$B$2:$B$998,$A5,clean!$C$2:$C$998,$B5,clean!$D$2:$D$998,$C5,clean!$E$2:$E$998,$D5,clean!$F$2:$F$998,$E5)</f>
        <v>57000</v>
      </c>
      <c r="P5">
        <f>AVERAGEIFS(clean!Q$2:Q$998,clean!$B$2:$B$998,$A5,clean!$C$2:$C$998,$B5,clean!$D$2:$D$998,$C5,clean!$E$2:$E$998,$D5,clean!$F$2:$F$998,$E5)</f>
        <v>74643366.666666672</v>
      </c>
      <c r="Q5">
        <f>AVERAGEIFS(clean!R$2:R$998,clean!$B$2:$B$998,$A5,clean!$C$2:$C$998,$B5,clean!$D$2:$D$998,$C5,clean!$E$2:$E$998,$D5,clean!$F$2:$F$998,$E5)</f>
        <v>74700366.666666672</v>
      </c>
      <c r="R5">
        <f>AVERAGEIFS(clean!S$2:S$998,clean!$B$2:$B$998,$A5,clean!$C$2:$C$998,$B5,clean!$D$2:$D$998,$C5,clean!$E$2:$E$998,$D5,clean!$F$2:$F$998,$E5)</f>
        <v>673866.66666666663</v>
      </c>
      <c r="S5">
        <f t="shared" si="0"/>
        <v>32745166.666666631</v>
      </c>
      <c r="T5">
        <f>AVERAGEIFS(clean!T$2:T$998,clean!$B$2:$B$998,$A5,clean!$C$2:$C$998,$B5,clean!$D$2:$D$998,$C5,clean!$E$2:$E$998,$D5,clean!$F$2:$F$998,$E5)</f>
        <v>17134400</v>
      </c>
      <c r="U5">
        <f>AVERAGEIFS(clean!U$2:U$998,clean!$B$2:$B$998,$A5,clean!$C$2:$C$998,$B5,clean!$D$2:$D$998,$C5,clean!$E$2:$E$998,$D5,clean!$F$2:$F$998,$E5)</f>
        <v>332308266.66666669</v>
      </c>
      <c r="V5">
        <f>AVERAGEIFS(clean!V$2:V$998,clean!$B$2:$B$998,$A5,clean!$C$2:$C$998,$B5,clean!$D$2:$D$998,$C5,clean!$E$2:$E$998,$D5,clean!$F$2:$F$998,$E5)</f>
        <v>410796900</v>
      </c>
      <c r="W5">
        <f>AVERAGEIFS(clean!W$2:W$998,clean!$B$2:$B$998,$A5,clean!$C$2:$C$998,$B5,clean!$D$2:$D$998,$C5,clean!$E$2:$E$998,$D5,clean!$F$2:$F$998,$E5)</f>
        <v>143700</v>
      </c>
      <c r="X5">
        <f t="shared" si="1"/>
        <v>324934100</v>
      </c>
      <c r="Y5">
        <f>AVERAGEIFS(clean!X$2:X$998,clean!$B$2:$B$998,$A5,clean!$C$2:$C$998,$B5,clean!$D$2:$D$998,$C5,clean!$E$2:$E$998,$D5,clean!$F$2:$F$998,$E5)</f>
        <v>345786300</v>
      </c>
    </row>
    <row r="6" spans="1:25" x14ac:dyDescent="0.3">
      <c r="A6">
        <v>65536</v>
      </c>
      <c r="B6">
        <v>4</v>
      </c>
      <c r="C6">
        <v>125</v>
      </c>
      <c r="D6">
        <v>0.65</v>
      </c>
      <c r="E6">
        <v>10</v>
      </c>
      <c r="F6">
        <f>AVERAGEIFS(clean!G$2:G$998,clean!$B$2:$B$998,$A6,clean!$C$2:$C$998,$B6,clean!$D$2:$D$998,$C6,clean!$E$2:$E$998,$D6,clean!$F$2:$F$998,$E6)</f>
        <v>2047</v>
      </c>
      <c r="G6">
        <f>AVERAGEIFS(clean!H$2:H$998,clean!$B$2:$B$998,$A6,clean!$C$2:$C$998,$B6,clean!$D$2:$D$998,$C6,clean!$E$2:$E$998,$D6,clean!$F$2:$F$998,$E6)</f>
        <v>11972</v>
      </c>
      <c r="H6">
        <f>AVERAGEIFS(clean!I$2:I$998,clean!$B$2:$B$998,$A6,clean!$C$2:$C$998,$B6,clean!$D$2:$D$998,$C6,clean!$E$2:$E$998,$D6,clean!$F$2:$F$998,$E6)</f>
        <v>836841933.33333337</v>
      </c>
      <c r="I6">
        <f>AVERAGEIFS(clean!J$2:J$998,clean!$B$2:$B$998,$A6,clean!$C$2:$C$998,$B6,clean!$D$2:$D$998,$C6,clean!$E$2:$E$998,$D6,clean!$F$2:$F$998,$E6)</f>
        <v>3728202800</v>
      </c>
      <c r="J6">
        <f>AVERAGEIFS(clean!K$2:K$998,clean!$B$2:$B$998,$A6,clean!$C$2:$C$998,$B6,clean!$D$2:$D$998,$C6,clean!$E$2:$E$998,$D6,clean!$F$2:$F$998,$E6)</f>
        <v>4.4545006391934905</v>
      </c>
      <c r="K6">
        <f>AVERAGEIFS(clean!L$2:L$998,clean!$B$2:$B$998,$A6,clean!$C$2:$C$998,$B6,clean!$D$2:$D$998,$C6,clean!$E$2:$E$998,$D6,clean!$F$2:$F$998,$E6)</f>
        <v>2810466.6666666665</v>
      </c>
      <c r="L6">
        <f>AVERAGEIFS(clean!M$2:M$998,clean!$B$2:$B$998,$A6,clean!$C$2:$C$998,$B6,clean!$D$2:$D$998,$C6,clean!$E$2:$E$998,$D6,clean!$F$2:$F$998,$E6)</f>
        <v>294072600</v>
      </c>
      <c r="M6">
        <f>AVERAGEIFS(clean!N$2:N$998,clean!$B$2:$B$998,$A6,clean!$C$2:$C$998,$B6,clean!$D$2:$D$998,$C6,clean!$E$2:$E$998,$D6,clean!$F$2:$F$998,$E6)</f>
        <v>379075400</v>
      </c>
      <c r="N6">
        <f>AVERAGEIFS(clean!O$2:O$998,clean!$B$2:$B$998,$A6,clean!$C$2:$C$998,$B6,clean!$D$2:$D$998,$C6,clean!$E$2:$E$998,$D6,clean!$F$2:$F$998,$E6)</f>
        <v>673148000</v>
      </c>
      <c r="O6">
        <f>AVERAGEIFS(clean!P$2:P$998,clean!$B$2:$B$998,$A6,clean!$C$2:$C$998,$B6,clean!$D$2:$D$998,$C6,clean!$E$2:$E$998,$D6,clean!$F$2:$F$998,$E6)</f>
        <v>78133.333333333328</v>
      </c>
      <c r="P6">
        <f>AVERAGEIFS(clean!Q$2:Q$998,clean!$B$2:$B$998,$A6,clean!$C$2:$C$998,$B6,clean!$D$2:$D$998,$C6,clean!$E$2:$E$998,$D6,clean!$F$2:$F$998,$E6)</f>
        <v>105301600</v>
      </c>
      <c r="Q6">
        <f>AVERAGEIFS(clean!R$2:R$998,clean!$B$2:$B$998,$A6,clean!$C$2:$C$998,$B6,clean!$D$2:$D$998,$C6,clean!$E$2:$E$998,$D6,clean!$F$2:$F$998,$E6)</f>
        <v>105379733.33333333</v>
      </c>
      <c r="R6">
        <f>AVERAGEIFS(clean!S$2:S$998,clean!$B$2:$B$998,$A6,clean!$C$2:$C$998,$B6,clean!$D$2:$D$998,$C6,clean!$E$2:$E$998,$D6,clean!$F$2:$F$998,$E6)</f>
        <v>725500</v>
      </c>
      <c r="S6">
        <f t="shared" si="0"/>
        <v>54778233.333333418</v>
      </c>
      <c r="T6">
        <f>AVERAGEIFS(clean!T$2:T$998,clean!$B$2:$B$998,$A6,clean!$C$2:$C$998,$B6,clean!$D$2:$D$998,$C6,clean!$E$2:$E$998,$D6,clean!$F$2:$F$998,$E6)</f>
        <v>25752566.666666668</v>
      </c>
      <c r="U6">
        <f>AVERAGEIFS(clean!U$2:U$998,clean!$B$2:$B$998,$A6,clean!$C$2:$C$998,$B6,clean!$D$2:$D$998,$C6,clean!$E$2:$E$998,$D6,clean!$F$2:$F$998,$E6)</f>
        <v>2029296600</v>
      </c>
      <c r="V6">
        <f>AVERAGEIFS(clean!V$2:V$998,clean!$B$2:$B$998,$A6,clean!$C$2:$C$998,$B6,clean!$D$2:$D$998,$C6,clean!$E$2:$E$998,$D6,clean!$F$2:$F$998,$E6)</f>
        <v>708847233.33333337</v>
      </c>
      <c r="W6">
        <f>AVERAGEIFS(clean!W$2:W$998,clean!$B$2:$B$998,$A6,clean!$C$2:$C$998,$B6,clean!$D$2:$D$998,$C6,clean!$E$2:$E$998,$D6,clean!$F$2:$F$998,$E6)</f>
        <v>144233.33333333334</v>
      </c>
      <c r="X6">
        <f t="shared" si="1"/>
        <v>964162166.66666675</v>
      </c>
      <c r="Y6">
        <f>AVERAGEIFS(clean!X$2:X$998,clean!$B$2:$B$998,$A6,clean!$C$2:$C$998,$B6,clean!$D$2:$D$998,$C6,clean!$E$2:$E$998,$D6,clean!$F$2:$F$998,$E6)</f>
        <v>836841933.33333337</v>
      </c>
    </row>
    <row r="7" spans="1:25" x14ac:dyDescent="0.3">
      <c r="A7">
        <v>65536</v>
      </c>
      <c r="B7">
        <v>5</v>
      </c>
      <c r="C7">
        <v>216</v>
      </c>
      <c r="D7">
        <v>0.95</v>
      </c>
      <c r="E7">
        <v>9</v>
      </c>
      <c r="F7">
        <f>AVERAGEIFS(clean!G$2:G$998,clean!$B$2:$B$998,$A7,clean!$C$2:$C$998,$B7,clean!$D$2:$D$998,$C7,clean!$E$2:$E$998,$D7,clean!$F$2:$F$998,$E7)</f>
        <v>1023</v>
      </c>
      <c r="G7">
        <f>AVERAGEIFS(clean!H$2:H$998,clean!$B$2:$B$998,$A7,clean!$C$2:$C$998,$B7,clean!$D$2:$D$998,$C7,clean!$E$2:$E$998,$D7,clean!$F$2:$F$998,$E7)</f>
        <v>3072</v>
      </c>
      <c r="H7">
        <f>AVERAGEIFS(clean!I$2:I$998,clean!$B$2:$B$998,$A7,clean!$C$2:$C$998,$B7,clean!$D$2:$D$998,$C7,clean!$E$2:$E$998,$D7,clean!$F$2:$F$998,$E7)</f>
        <v>848923800</v>
      </c>
      <c r="I7">
        <f>AVERAGEIFS(clean!J$2:J$998,clean!$B$2:$B$998,$A7,clean!$C$2:$C$998,$B7,clean!$D$2:$D$998,$C7,clean!$E$2:$E$998,$D7,clean!$F$2:$F$998,$E7)</f>
        <v>2372989266.6666665</v>
      </c>
      <c r="J7">
        <f>AVERAGEIFS(clean!K$2:K$998,clean!$B$2:$B$998,$A7,clean!$C$2:$C$998,$B7,clean!$D$2:$D$998,$C7,clean!$E$2:$E$998,$D7,clean!$F$2:$F$998,$E7)</f>
        <v>2.7936753665761738</v>
      </c>
      <c r="K7">
        <f>AVERAGEIFS(clean!L$2:L$998,clean!$B$2:$B$998,$A7,clean!$C$2:$C$998,$B7,clean!$D$2:$D$998,$C7,clean!$E$2:$E$998,$D7,clean!$F$2:$F$998,$E7)</f>
        <v>478233.33333333331</v>
      </c>
      <c r="L7">
        <f>AVERAGEIFS(clean!M$2:M$998,clean!$B$2:$B$998,$A7,clean!$C$2:$C$998,$B7,clean!$D$2:$D$998,$C7,clean!$E$2:$E$998,$D7,clean!$F$2:$F$998,$E7)</f>
        <v>568748366.66666663</v>
      </c>
      <c r="M7">
        <f>AVERAGEIFS(clean!N$2:N$998,clean!$B$2:$B$998,$A7,clean!$C$2:$C$998,$B7,clean!$D$2:$D$998,$C7,clean!$E$2:$E$998,$D7,clean!$F$2:$F$998,$E7)</f>
        <v>98950433.333333328</v>
      </c>
      <c r="N7">
        <f>AVERAGEIFS(clean!O$2:O$998,clean!$B$2:$B$998,$A7,clean!$C$2:$C$998,$B7,clean!$D$2:$D$998,$C7,clean!$E$2:$E$998,$D7,clean!$F$2:$F$998,$E7)</f>
        <v>667698800</v>
      </c>
      <c r="O7">
        <f>AVERAGEIFS(clean!P$2:P$998,clean!$B$2:$B$998,$A7,clean!$C$2:$C$998,$B7,clean!$D$2:$D$998,$C7,clean!$E$2:$E$998,$D7,clean!$F$2:$F$998,$E7)</f>
        <v>93700</v>
      </c>
      <c r="P7">
        <f>AVERAGEIFS(clean!Q$2:Q$998,clean!$B$2:$B$998,$A7,clean!$C$2:$C$998,$B7,clean!$D$2:$D$998,$C7,clean!$E$2:$E$998,$D7,clean!$F$2:$F$998,$E7)</f>
        <v>106587300</v>
      </c>
      <c r="Q7">
        <f>AVERAGEIFS(clean!R$2:R$998,clean!$B$2:$B$998,$A7,clean!$C$2:$C$998,$B7,clean!$D$2:$D$998,$C7,clean!$E$2:$E$998,$D7,clean!$F$2:$F$998,$E7)</f>
        <v>106681000</v>
      </c>
      <c r="R7">
        <f>AVERAGEIFS(clean!S$2:S$998,clean!$B$2:$B$998,$A7,clean!$C$2:$C$998,$B7,clean!$D$2:$D$998,$C7,clean!$E$2:$E$998,$D7,clean!$F$2:$F$998,$E7)</f>
        <v>708000</v>
      </c>
      <c r="S7">
        <f t="shared" si="0"/>
        <v>73357766.666666627</v>
      </c>
      <c r="T7">
        <f>AVERAGEIFS(clean!T$2:T$998,clean!$B$2:$B$998,$A7,clean!$C$2:$C$998,$B7,clean!$D$2:$D$998,$C7,clean!$E$2:$E$998,$D7,clean!$F$2:$F$998,$E7)</f>
        <v>22946066.666666668</v>
      </c>
      <c r="U7">
        <f>AVERAGEIFS(clean!U$2:U$998,clean!$B$2:$B$998,$A7,clean!$C$2:$C$998,$B7,clean!$D$2:$D$998,$C7,clean!$E$2:$E$998,$D7,clean!$F$2:$F$998,$E7)</f>
        <v>550488166.66666663</v>
      </c>
      <c r="V7">
        <f>AVERAGEIFS(clean!V$2:V$998,clean!$B$2:$B$998,$A7,clean!$C$2:$C$998,$B7,clean!$D$2:$D$998,$C7,clean!$E$2:$E$998,$D7,clean!$F$2:$F$998,$E7)</f>
        <v>747176266.66666663</v>
      </c>
      <c r="W7">
        <f>AVERAGEIFS(clean!W$2:W$998,clean!$B$2:$B$998,$A7,clean!$C$2:$C$998,$B7,clean!$D$2:$D$998,$C7,clean!$E$2:$E$998,$D7,clean!$F$2:$F$998,$E7)</f>
        <v>145000</v>
      </c>
      <c r="X7">
        <f t="shared" si="1"/>
        <v>1052233766.6666669</v>
      </c>
      <c r="Y7">
        <f>AVERAGEIFS(clean!X$2:X$998,clean!$B$2:$B$998,$A7,clean!$C$2:$C$998,$B7,clean!$D$2:$D$998,$C7,clean!$E$2:$E$998,$D7,clean!$F$2:$F$998,$E7)</f>
        <v>848923800</v>
      </c>
    </row>
    <row r="8" spans="1:25" x14ac:dyDescent="0.3">
      <c r="A8">
        <v>65536</v>
      </c>
      <c r="B8">
        <v>3</v>
      </c>
      <c r="C8">
        <v>64</v>
      </c>
      <c r="D8">
        <v>0.65</v>
      </c>
      <c r="E8">
        <v>10</v>
      </c>
      <c r="F8">
        <f>AVERAGEIFS(clean!G$2:G$998,clean!$B$2:$B$998,$A8,clean!$C$2:$C$998,$B8,clean!$D$2:$D$998,$C8,clean!$E$2:$E$998,$D8,clean!$F$2:$F$998,$E8)</f>
        <v>2047</v>
      </c>
      <c r="G8">
        <f>AVERAGEIFS(clean!H$2:H$998,clean!$B$2:$B$998,$A8,clean!$C$2:$C$998,$B8,clean!$D$2:$D$998,$C8,clean!$E$2:$E$998,$D8,clean!$F$2:$F$998,$E8)</f>
        <v>11989.333333333334</v>
      </c>
      <c r="H8">
        <f>AVERAGEIFS(clean!I$2:I$998,clean!$B$2:$B$998,$A8,clean!$C$2:$C$998,$B8,clean!$D$2:$D$998,$C8,clean!$E$2:$E$998,$D8,clean!$F$2:$F$998,$E8)</f>
        <v>481735066.66666669</v>
      </c>
      <c r="I8">
        <f>AVERAGEIFS(clean!J$2:J$998,clean!$B$2:$B$998,$A8,clean!$C$2:$C$998,$B8,clean!$D$2:$D$998,$C8,clean!$E$2:$E$998,$D8,clean!$F$2:$F$998,$E8)</f>
        <v>1722379700</v>
      </c>
      <c r="J8">
        <f>AVERAGEIFS(clean!K$2:K$998,clean!$B$2:$B$998,$A8,clean!$C$2:$C$998,$B8,clean!$D$2:$D$998,$C8,clean!$E$2:$E$998,$D8,clean!$F$2:$F$998,$E8)</f>
        <v>3.5922599307602634</v>
      </c>
      <c r="K8">
        <f>AVERAGEIFS(clean!L$2:L$998,clean!$B$2:$B$998,$A8,clean!$C$2:$C$998,$B8,clean!$D$2:$D$998,$C8,clean!$E$2:$E$998,$D8,clean!$F$2:$F$998,$E8)</f>
        <v>2737766.6666666665</v>
      </c>
      <c r="L8">
        <f>AVERAGEIFS(clean!M$2:M$998,clean!$B$2:$B$998,$A8,clean!$C$2:$C$998,$B8,clean!$D$2:$D$998,$C8,clean!$E$2:$E$998,$D8,clean!$F$2:$F$998,$E8)</f>
        <v>186709100</v>
      </c>
      <c r="M8">
        <f>AVERAGEIFS(clean!N$2:N$998,clean!$B$2:$B$998,$A8,clean!$C$2:$C$998,$B8,clean!$D$2:$D$998,$C8,clean!$E$2:$E$998,$D8,clean!$F$2:$F$998,$E8)</f>
        <v>136306800</v>
      </c>
      <c r="N8">
        <f>AVERAGEIFS(clean!O$2:O$998,clean!$B$2:$B$998,$A8,clean!$C$2:$C$998,$B8,clean!$D$2:$D$998,$C8,clean!$E$2:$E$998,$D8,clean!$F$2:$F$998,$E8)</f>
        <v>323015900</v>
      </c>
      <c r="O8">
        <f>AVERAGEIFS(clean!P$2:P$998,clean!$B$2:$B$998,$A8,clean!$C$2:$C$998,$B8,clean!$D$2:$D$998,$C8,clean!$E$2:$E$998,$D8,clean!$F$2:$F$998,$E8)</f>
        <v>60966.666666666664</v>
      </c>
      <c r="P8">
        <f>AVERAGEIFS(clean!Q$2:Q$998,clean!$B$2:$B$998,$A8,clean!$C$2:$C$998,$B8,clean!$D$2:$D$998,$C8,clean!$E$2:$E$998,$D8,clean!$F$2:$F$998,$E8)</f>
        <v>122301366.66666667</v>
      </c>
      <c r="Q8">
        <f>AVERAGEIFS(clean!R$2:R$998,clean!$B$2:$B$998,$A8,clean!$C$2:$C$998,$B8,clean!$D$2:$D$998,$C8,clean!$E$2:$E$998,$D8,clean!$F$2:$F$998,$E8)</f>
        <v>122362333.33333333</v>
      </c>
      <c r="R8">
        <f>AVERAGEIFS(clean!S$2:S$998,clean!$B$2:$B$998,$A8,clean!$C$2:$C$998,$B8,clean!$D$2:$D$998,$C8,clean!$E$2:$E$998,$D8,clean!$F$2:$F$998,$E8)</f>
        <v>719066.66666666663</v>
      </c>
      <c r="S8">
        <f t="shared" si="0"/>
        <v>32900000.000000004</v>
      </c>
      <c r="T8">
        <f>AVERAGEIFS(clean!T$2:T$998,clean!$B$2:$B$998,$A8,clean!$C$2:$C$998,$B8,clean!$D$2:$D$998,$C8,clean!$E$2:$E$998,$D8,clean!$F$2:$F$998,$E8)</f>
        <v>19275266.666666668</v>
      </c>
      <c r="U8">
        <f>AVERAGEIFS(clean!U$2:U$998,clean!$B$2:$B$998,$A8,clean!$C$2:$C$998,$B8,clean!$D$2:$D$998,$C8,clean!$E$2:$E$998,$D8,clean!$F$2:$F$998,$E8)</f>
        <v>553976466.66666663</v>
      </c>
      <c r="V8">
        <f>AVERAGEIFS(clean!V$2:V$998,clean!$B$2:$B$998,$A8,clean!$C$2:$C$998,$B8,clean!$D$2:$D$998,$C8,clean!$E$2:$E$998,$D8,clean!$F$2:$F$998,$E8)</f>
        <v>718308866.66666663</v>
      </c>
      <c r="W8">
        <f>AVERAGEIFS(clean!W$2:W$998,clean!$B$2:$B$998,$A8,clean!$C$2:$C$998,$B8,clean!$D$2:$D$998,$C8,clean!$E$2:$E$998,$D8,clean!$F$2:$F$998,$E8)</f>
        <v>148700</v>
      </c>
      <c r="X8">
        <f t="shared" si="1"/>
        <v>430670399.99999988</v>
      </c>
      <c r="Y8">
        <f>AVERAGEIFS(clean!X$2:X$998,clean!$B$2:$B$998,$A8,clean!$C$2:$C$998,$B8,clean!$D$2:$D$998,$C8,clean!$E$2:$E$998,$D8,clean!$F$2:$F$998,$E8)</f>
        <v>481735066.66666669</v>
      </c>
    </row>
    <row r="9" spans="1:25" x14ac:dyDescent="0.3">
      <c r="A9">
        <v>65536</v>
      </c>
      <c r="B9">
        <v>7</v>
      </c>
      <c r="C9">
        <v>512</v>
      </c>
      <c r="D9">
        <v>0.95</v>
      </c>
      <c r="E9">
        <v>7</v>
      </c>
      <c r="F9">
        <f>AVERAGEIFS(clean!G$2:G$998,clean!$B$2:$B$998,$A9,clean!$C$2:$C$998,$B9,clean!$D$2:$D$998,$C9,clean!$E$2:$E$998,$D9,clean!$F$2:$F$998,$E9)</f>
        <v>255</v>
      </c>
      <c r="G9">
        <f>AVERAGEIFS(clean!H$2:H$998,clean!$B$2:$B$998,$A9,clean!$C$2:$C$998,$B9,clean!$D$2:$D$998,$C9,clean!$E$2:$E$998,$D9,clean!$F$2:$F$998,$E9)</f>
        <v>256</v>
      </c>
      <c r="H9">
        <f>AVERAGEIFS(clean!I$2:I$998,clean!$B$2:$B$998,$A9,clean!$C$2:$C$998,$B9,clean!$D$2:$D$998,$C9,clean!$E$2:$E$998,$D9,clean!$F$2:$F$998,$E9)</f>
        <v>1808769300</v>
      </c>
      <c r="I9">
        <f>AVERAGEIFS(clean!J$2:J$998,clean!$B$2:$B$998,$A9,clean!$C$2:$C$998,$B9,clean!$D$2:$D$998,$C9,clean!$E$2:$E$998,$D9,clean!$F$2:$F$998,$E9)</f>
        <v>4207049400</v>
      </c>
      <c r="J9">
        <f>AVERAGEIFS(clean!K$2:K$998,clean!$B$2:$B$998,$A9,clean!$C$2:$C$998,$B9,clean!$D$2:$D$998,$C9,clean!$E$2:$E$998,$D9,clean!$F$2:$F$998,$E9)</f>
        <v>2.3290064429559703</v>
      </c>
      <c r="K9">
        <f>AVERAGEIFS(clean!L$2:L$998,clean!$B$2:$B$998,$A9,clean!$C$2:$C$998,$B9,clean!$D$2:$D$998,$C9,clean!$E$2:$E$998,$D9,clean!$F$2:$F$998,$E9)</f>
        <v>100533.33333333333</v>
      </c>
      <c r="L9">
        <f>AVERAGEIFS(clean!M$2:M$998,clean!$B$2:$B$998,$A9,clean!$C$2:$C$998,$B9,clean!$D$2:$D$998,$C9,clean!$E$2:$E$998,$D9,clean!$F$2:$F$998,$E9)</f>
        <v>1287387633.3333333</v>
      </c>
      <c r="M9">
        <f>AVERAGEIFS(clean!N$2:N$998,clean!$B$2:$B$998,$A9,clean!$C$2:$C$998,$B9,clean!$D$2:$D$998,$C9,clean!$E$2:$E$998,$D9,clean!$F$2:$F$998,$E9)</f>
        <v>283364633.33333331</v>
      </c>
      <c r="N9">
        <f>AVERAGEIFS(clean!O$2:O$998,clean!$B$2:$B$998,$A9,clean!$C$2:$C$998,$B9,clean!$D$2:$D$998,$C9,clean!$E$2:$E$998,$D9,clean!$F$2:$F$998,$E9)</f>
        <v>1570752266.6666667</v>
      </c>
      <c r="O9">
        <f>AVERAGEIFS(clean!P$2:P$998,clean!$B$2:$B$998,$A9,clean!$C$2:$C$998,$B9,clean!$D$2:$D$998,$C9,clean!$E$2:$E$998,$D9,clean!$F$2:$F$998,$E9)</f>
        <v>44966.666666666664</v>
      </c>
      <c r="P9">
        <f>AVERAGEIFS(clean!Q$2:Q$998,clean!$B$2:$B$998,$A9,clean!$C$2:$C$998,$B9,clean!$D$2:$D$998,$C9,clean!$E$2:$E$998,$D9,clean!$F$2:$F$998,$E9)</f>
        <v>141461766.66666666</v>
      </c>
      <c r="Q9">
        <f>AVERAGEIFS(clean!R$2:R$998,clean!$B$2:$B$998,$A9,clean!$C$2:$C$998,$B9,clean!$D$2:$D$998,$C9,clean!$E$2:$E$998,$D9,clean!$F$2:$F$998,$E9)</f>
        <v>141506733.33333334</v>
      </c>
      <c r="R9">
        <f>AVERAGEIFS(clean!S$2:S$998,clean!$B$2:$B$998,$A9,clean!$C$2:$C$998,$B9,clean!$D$2:$D$998,$C9,clean!$E$2:$E$998,$D9,clean!$F$2:$F$998,$E9)</f>
        <v>718433.33333333337</v>
      </c>
      <c r="S9">
        <f t="shared" si="0"/>
        <v>95691333.333333328</v>
      </c>
      <c r="T9">
        <f>AVERAGEIFS(clean!T$2:T$998,clean!$B$2:$B$998,$A9,clean!$C$2:$C$998,$B9,clean!$D$2:$D$998,$C9,clean!$E$2:$E$998,$D9,clean!$F$2:$F$998,$E9)</f>
        <v>11403900</v>
      </c>
      <c r="U9">
        <f>AVERAGEIFS(clean!U$2:U$998,clean!$B$2:$B$998,$A9,clean!$C$2:$C$998,$B9,clean!$D$2:$D$998,$C9,clean!$E$2:$E$998,$D9,clean!$F$2:$F$998,$E9)</f>
        <v>1521014100</v>
      </c>
      <c r="V9">
        <f>AVERAGEIFS(clean!V$2:V$998,clean!$B$2:$B$998,$A9,clean!$C$2:$C$998,$B9,clean!$D$2:$D$998,$C9,clean!$E$2:$E$998,$D9,clean!$F$2:$F$998,$E9)</f>
        <v>1105500733.3333333</v>
      </c>
      <c r="W9">
        <f>AVERAGEIFS(clean!W$2:W$998,clean!$B$2:$B$998,$A9,clean!$C$2:$C$998,$B9,clean!$D$2:$D$998,$C9,clean!$E$2:$E$998,$D9,clean!$F$2:$F$998,$E9)</f>
        <v>190233.33333333334</v>
      </c>
      <c r="X9">
        <f t="shared" si="1"/>
        <v>1568940433.3333335</v>
      </c>
      <c r="Y9">
        <f>AVERAGEIFS(clean!X$2:X$998,clean!$B$2:$B$998,$A9,clean!$C$2:$C$998,$B9,clean!$D$2:$D$998,$C9,clean!$E$2:$E$998,$D9,clean!$F$2:$F$998,$E9)</f>
        <v>1808769300</v>
      </c>
    </row>
    <row r="10" spans="1:25" x14ac:dyDescent="0.3">
      <c r="A10">
        <v>65536</v>
      </c>
      <c r="B10">
        <v>6</v>
      </c>
      <c r="C10">
        <v>343</v>
      </c>
      <c r="D10">
        <v>0.95</v>
      </c>
      <c r="E10">
        <v>8</v>
      </c>
      <c r="F10">
        <f>AVERAGEIFS(clean!G$2:G$998,clean!$B$2:$B$998,$A10,clean!$C$2:$C$998,$B10,clean!$D$2:$D$998,$C10,clean!$E$2:$E$998,$D10,clean!$F$2:$F$998,$E10)</f>
        <v>511</v>
      </c>
      <c r="G10">
        <f>AVERAGEIFS(clean!H$2:H$998,clean!$B$2:$B$998,$A10,clean!$C$2:$C$998,$B10,clean!$D$2:$D$998,$C10,clean!$E$2:$E$998,$D10,clean!$F$2:$F$998,$E10)</f>
        <v>1024</v>
      </c>
      <c r="H10">
        <f>AVERAGEIFS(clean!I$2:I$998,clean!$B$2:$B$998,$A10,clean!$C$2:$C$998,$B10,clean!$D$2:$D$998,$C10,clean!$E$2:$E$998,$D10,clean!$F$2:$F$998,$E10)</f>
        <v>1462607333.3333333</v>
      </c>
      <c r="I10">
        <f>AVERAGEIFS(clean!J$2:J$998,clean!$B$2:$B$998,$A10,clean!$C$2:$C$998,$B10,clean!$D$2:$D$998,$C10,clean!$E$2:$E$998,$D10,clean!$F$2:$F$998,$E10)</f>
        <v>3063577366.6666665</v>
      </c>
      <c r="J10">
        <f>AVERAGEIFS(clean!K$2:K$998,clean!$B$2:$B$998,$A10,clean!$C$2:$C$998,$B10,clean!$D$2:$D$998,$C10,clean!$E$2:$E$998,$D10,clean!$F$2:$F$998,$E10)</f>
        <v>2.0959509929394664</v>
      </c>
      <c r="K10">
        <f>AVERAGEIFS(clean!L$2:L$998,clean!$B$2:$B$998,$A10,clean!$C$2:$C$998,$B10,clean!$D$2:$D$998,$C10,clean!$E$2:$E$998,$D10,clean!$F$2:$F$998,$E10)</f>
        <v>203433.33333333334</v>
      </c>
      <c r="L10">
        <f>AVERAGEIFS(clean!M$2:M$998,clean!$B$2:$B$998,$A10,clean!$C$2:$C$998,$B10,clean!$D$2:$D$998,$C10,clean!$E$2:$E$998,$D10,clean!$F$2:$F$998,$E10)</f>
        <v>1082103866.6666667</v>
      </c>
      <c r="M10">
        <f>AVERAGEIFS(clean!N$2:N$998,clean!$B$2:$B$998,$A10,clean!$C$2:$C$998,$B10,clean!$D$2:$D$998,$C10,clean!$E$2:$E$998,$D10,clean!$F$2:$F$998,$E10)</f>
        <v>143161800</v>
      </c>
      <c r="N10">
        <f>AVERAGEIFS(clean!O$2:O$998,clean!$B$2:$B$998,$A10,clean!$C$2:$C$998,$B10,clean!$D$2:$D$998,$C10,clean!$E$2:$E$998,$D10,clean!$F$2:$F$998,$E10)</f>
        <v>1225265666.6666667</v>
      </c>
      <c r="O10">
        <f>AVERAGEIFS(clean!P$2:P$998,clean!$B$2:$B$998,$A10,clean!$C$2:$C$998,$B10,clean!$D$2:$D$998,$C10,clean!$E$2:$E$998,$D10,clean!$F$2:$F$998,$E10)</f>
        <v>74300</v>
      </c>
      <c r="P10">
        <f>AVERAGEIFS(clean!Q$2:Q$998,clean!$B$2:$B$998,$A10,clean!$C$2:$C$998,$B10,clean!$D$2:$D$998,$C10,clean!$E$2:$E$998,$D10,clean!$F$2:$F$998,$E10)</f>
        <v>141587200</v>
      </c>
      <c r="Q10">
        <f>AVERAGEIFS(clean!R$2:R$998,clean!$B$2:$B$998,$A10,clean!$C$2:$C$998,$B10,clean!$D$2:$D$998,$C10,clean!$E$2:$E$998,$D10,clean!$F$2:$F$998,$E10)</f>
        <v>141661500</v>
      </c>
      <c r="R10">
        <f>AVERAGEIFS(clean!S$2:S$998,clean!$B$2:$B$998,$A10,clean!$C$2:$C$998,$B10,clean!$D$2:$D$998,$C10,clean!$E$2:$E$998,$D10,clean!$F$2:$F$998,$E10)</f>
        <v>684833.33333333337</v>
      </c>
      <c r="S10">
        <f t="shared" si="0"/>
        <v>94791899.999999925</v>
      </c>
      <c r="T10">
        <f>AVERAGEIFS(clean!T$2:T$998,clean!$B$2:$B$998,$A10,clean!$C$2:$C$998,$B10,clean!$D$2:$D$998,$C10,clean!$E$2:$E$998,$D10,clean!$F$2:$F$998,$E10)</f>
        <v>20062233.333333332</v>
      </c>
      <c r="U10">
        <f>AVERAGEIFS(clean!U$2:U$998,clean!$B$2:$B$998,$A10,clean!$C$2:$C$998,$B10,clean!$D$2:$D$998,$C10,clean!$E$2:$E$998,$D10,clean!$F$2:$F$998,$E10)</f>
        <v>669008100</v>
      </c>
      <c r="V10">
        <f>AVERAGEIFS(clean!V$2:V$998,clean!$B$2:$B$998,$A10,clean!$C$2:$C$998,$B10,clean!$D$2:$D$998,$C10,clean!$E$2:$E$998,$D10,clean!$F$2:$F$998,$E10)</f>
        <v>1054714133.3333334</v>
      </c>
      <c r="W10">
        <f>AVERAGEIFS(clean!W$2:W$998,clean!$B$2:$B$998,$A10,clean!$C$2:$C$998,$B10,clean!$D$2:$D$998,$C10,clean!$E$2:$E$998,$D10,clean!$F$2:$F$998,$E10)</f>
        <v>190500</v>
      </c>
      <c r="X10">
        <f t="shared" si="1"/>
        <v>1319602399.9999995</v>
      </c>
      <c r="Y10">
        <f>AVERAGEIFS(clean!X$2:X$998,clean!$B$2:$B$998,$A10,clean!$C$2:$C$998,$B10,clean!$D$2:$D$998,$C10,clean!$E$2:$E$998,$D10,clean!$F$2:$F$998,$E10)</f>
        <v>1462607333.3333333</v>
      </c>
    </row>
    <row r="11" spans="1:25" x14ac:dyDescent="0.3">
      <c r="A11">
        <v>65536</v>
      </c>
      <c r="B11">
        <v>5</v>
      </c>
      <c r="C11">
        <v>216</v>
      </c>
      <c r="D11">
        <v>0.8</v>
      </c>
      <c r="E11">
        <v>9</v>
      </c>
      <c r="F11">
        <f>AVERAGEIFS(clean!G$2:G$998,clean!$B$2:$B$998,$A11,clean!$C$2:$C$998,$B11,clean!$D$2:$D$998,$C11,clean!$E$2:$E$998,$D11,clean!$F$2:$F$998,$E11)</f>
        <v>1023</v>
      </c>
      <c r="G11">
        <f>AVERAGEIFS(clean!H$2:H$998,clean!$B$2:$B$998,$A11,clean!$C$2:$C$998,$B11,clean!$D$2:$D$998,$C11,clean!$E$2:$E$998,$D11,clean!$F$2:$F$998,$E11)</f>
        <v>4174.666666666667</v>
      </c>
      <c r="H11">
        <f>AVERAGEIFS(clean!I$2:I$998,clean!$B$2:$B$998,$A11,clean!$C$2:$C$998,$B11,clean!$D$2:$D$998,$C11,clean!$E$2:$E$998,$D11,clean!$F$2:$F$998,$E11)</f>
        <v>1114748233.3333333</v>
      </c>
      <c r="I11">
        <f>AVERAGEIFS(clean!J$2:J$998,clean!$B$2:$B$998,$A11,clean!$C$2:$C$998,$B11,clean!$D$2:$D$998,$C11,clean!$E$2:$E$998,$D11,clean!$F$2:$F$998,$E11)</f>
        <v>3687240466.6666665</v>
      </c>
      <c r="J11">
        <f>AVERAGEIFS(clean!K$2:K$998,clean!$B$2:$B$998,$A11,clean!$C$2:$C$998,$B11,clean!$D$2:$D$998,$C11,clean!$E$2:$E$998,$D11,clean!$F$2:$F$998,$E11)</f>
        <v>3.3066695629444465</v>
      </c>
      <c r="K11">
        <f>AVERAGEIFS(clean!L$2:L$998,clean!$B$2:$B$998,$A11,clean!$C$2:$C$998,$B11,clean!$D$2:$D$998,$C11,clean!$E$2:$E$998,$D11,clean!$F$2:$F$998,$E11)</f>
        <v>950900</v>
      </c>
      <c r="L11">
        <f>AVERAGEIFS(clean!M$2:M$998,clean!$B$2:$B$998,$A11,clean!$C$2:$C$998,$B11,clean!$D$2:$D$998,$C11,clean!$E$2:$E$998,$D11,clean!$F$2:$F$998,$E11)</f>
        <v>583663166.66666663</v>
      </c>
      <c r="M11">
        <f>AVERAGEIFS(clean!N$2:N$998,clean!$B$2:$B$998,$A11,clean!$C$2:$C$998,$B11,clean!$D$2:$D$998,$C11,clean!$E$2:$E$998,$D11,clean!$F$2:$F$998,$E11)</f>
        <v>314276533.33333331</v>
      </c>
      <c r="N11">
        <f>AVERAGEIFS(clean!O$2:O$998,clean!$B$2:$B$998,$A11,clean!$C$2:$C$998,$B11,clean!$D$2:$D$998,$C11,clean!$E$2:$E$998,$D11,clean!$F$2:$F$998,$E11)</f>
        <v>897939700</v>
      </c>
      <c r="O11">
        <f>AVERAGEIFS(clean!P$2:P$998,clean!$B$2:$B$998,$A11,clean!$C$2:$C$998,$B11,clean!$D$2:$D$998,$C11,clean!$E$2:$E$998,$D11,clean!$F$2:$F$998,$E11)</f>
        <v>72766.666666666672</v>
      </c>
      <c r="P11">
        <f>AVERAGEIFS(clean!Q$2:Q$998,clean!$B$2:$B$998,$A11,clean!$C$2:$C$998,$B11,clean!$D$2:$D$998,$C11,clean!$E$2:$E$998,$D11,clean!$F$2:$F$998,$E11)</f>
        <v>142448200</v>
      </c>
      <c r="Q11">
        <f>AVERAGEIFS(clean!R$2:R$998,clean!$B$2:$B$998,$A11,clean!$C$2:$C$998,$B11,clean!$D$2:$D$998,$C11,clean!$E$2:$E$998,$D11,clean!$F$2:$F$998,$E11)</f>
        <v>142520966.66666666</v>
      </c>
      <c r="R11">
        <f>AVERAGEIFS(clean!S$2:S$998,clean!$B$2:$B$998,$A11,clean!$C$2:$C$998,$B11,clean!$D$2:$D$998,$C11,clean!$E$2:$E$998,$D11,clean!$F$2:$F$998,$E11)</f>
        <v>793033.33333333337</v>
      </c>
      <c r="S11">
        <f t="shared" si="0"/>
        <v>72543633.333333269</v>
      </c>
      <c r="T11">
        <f>AVERAGEIFS(clean!T$2:T$998,clean!$B$2:$B$998,$A11,clean!$C$2:$C$998,$B11,clean!$D$2:$D$998,$C11,clean!$E$2:$E$998,$D11,clean!$F$2:$F$998,$E11)</f>
        <v>21735300</v>
      </c>
      <c r="U11">
        <f>AVERAGEIFS(clean!U$2:U$998,clean!$B$2:$B$998,$A11,clean!$C$2:$C$998,$B11,clean!$D$2:$D$998,$C11,clean!$E$2:$E$998,$D11,clean!$F$2:$F$998,$E11)</f>
        <v>1489700700</v>
      </c>
      <c r="V11">
        <f>AVERAGEIFS(clean!V$2:V$998,clean!$B$2:$B$998,$A11,clean!$C$2:$C$998,$B11,clean!$D$2:$D$998,$C11,clean!$E$2:$E$998,$D11,clean!$F$2:$F$998,$E11)</f>
        <v>1029280300</v>
      </c>
      <c r="W11">
        <f>AVERAGEIFS(clean!W$2:W$998,clean!$B$2:$B$998,$A11,clean!$C$2:$C$998,$B11,clean!$D$2:$D$998,$C11,clean!$E$2:$E$998,$D11,clean!$F$2:$F$998,$E11)</f>
        <v>165133.33333333334</v>
      </c>
      <c r="X11">
        <f t="shared" si="1"/>
        <v>1146359033.3333333</v>
      </c>
      <c r="Y11">
        <f>AVERAGEIFS(clean!X$2:X$998,clean!$B$2:$B$998,$A11,clean!$C$2:$C$998,$B11,clean!$D$2:$D$998,$C11,clean!$E$2:$E$998,$D11,clean!$F$2:$F$998,$E11)</f>
        <v>1114748233.3333333</v>
      </c>
    </row>
    <row r="12" spans="1:25" x14ac:dyDescent="0.3">
      <c r="A12">
        <v>65536</v>
      </c>
      <c r="B12">
        <v>6</v>
      </c>
      <c r="C12">
        <v>343</v>
      </c>
      <c r="D12">
        <v>0.8</v>
      </c>
      <c r="E12">
        <v>8</v>
      </c>
      <c r="F12">
        <f>AVERAGEIFS(clean!G$2:G$998,clean!$B$2:$B$998,$A12,clean!$C$2:$C$998,$B12,clean!$D$2:$D$998,$C12,clean!$E$2:$E$998,$D12,clean!$F$2:$F$998,$E12)</f>
        <v>511</v>
      </c>
      <c r="G12">
        <f>AVERAGEIFS(clean!H$2:H$998,clean!$B$2:$B$998,$A12,clean!$C$2:$C$998,$B12,clean!$D$2:$D$998,$C12,clean!$E$2:$E$998,$D12,clean!$F$2:$F$998,$E12)</f>
        <v>1869.3333333333333</v>
      </c>
      <c r="H12">
        <f>AVERAGEIFS(clean!I$2:I$998,clean!$B$2:$B$998,$A12,clean!$C$2:$C$998,$B12,clean!$D$2:$D$998,$C12,clean!$E$2:$E$998,$D12,clean!$F$2:$F$998,$E12)</f>
        <v>1812309766.6666667</v>
      </c>
      <c r="I12">
        <f>AVERAGEIFS(clean!J$2:J$998,clean!$B$2:$B$998,$A12,clean!$C$2:$C$998,$B12,clean!$D$2:$D$998,$C12,clean!$E$2:$E$998,$D12,clean!$F$2:$F$998,$E12)</f>
        <v>5201829733.333333</v>
      </c>
      <c r="J12">
        <f>AVERAGEIFS(clean!K$2:K$998,clean!$B$2:$B$998,$A12,clean!$C$2:$C$998,$B12,clean!$D$2:$D$998,$C12,clean!$E$2:$E$998,$D12,clean!$F$2:$F$998,$E12)</f>
        <v>2.8746031086712134</v>
      </c>
      <c r="K12">
        <f>AVERAGEIFS(clean!L$2:L$998,clean!$B$2:$B$998,$A12,clean!$C$2:$C$998,$B12,clean!$D$2:$D$998,$C12,clean!$E$2:$E$998,$D12,clean!$F$2:$F$998,$E12)</f>
        <v>395466.66666666669</v>
      </c>
      <c r="L12">
        <f>AVERAGEIFS(clean!M$2:M$998,clean!$B$2:$B$998,$A12,clean!$C$2:$C$998,$B12,clean!$D$2:$D$998,$C12,clean!$E$2:$E$998,$D12,clean!$F$2:$F$998,$E12)</f>
        <v>1086184366.6666667</v>
      </c>
      <c r="M12">
        <f>AVERAGEIFS(clean!N$2:N$998,clean!$B$2:$B$998,$A12,clean!$C$2:$C$998,$B12,clean!$D$2:$D$998,$C12,clean!$E$2:$E$998,$D12,clean!$F$2:$F$998,$E12)</f>
        <v>375944533.33333331</v>
      </c>
      <c r="N12">
        <f>AVERAGEIFS(clean!O$2:O$998,clean!$B$2:$B$998,$A12,clean!$C$2:$C$998,$B12,clean!$D$2:$D$998,$C12,clean!$E$2:$E$998,$D12,clean!$F$2:$F$998,$E12)</f>
        <v>1462128900</v>
      </c>
      <c r="O12">
        <f>AVERAGEIFS(clean!P$2:P$998,clean!$B$2:$B$998,$A12,clean!$C$2:$C$998,$B12,clean!$D$2:$D$998,$C12,clean!$E$2:$E$998,$D12,clean!$F$2:$F$998,$E12)</f>
        <v>87066.666666666672</v>
      </c>
      <c r="P12">
        <f>AVERAGEIFS(clean!Q$2:Q$998,clean!$B$2:$B$998,$A12,clean!$C$2:$C$998,$B12,clean!$D$2:$D$998,$C12,clean!$E$2:$E$998,$D12,clean!$F$2:$F$998,$E12)</f>
        <v>254781133.33333334</v>
      </c>
      <c r="Q12">
        <f>AVERAGEIFS(clean!R$2:R$998,clean!$B$2:$B$998,$A12,clean!$C$2:$C$998,$B12,clean!$D$2:$D$998,$C12,clean!$E$2:$E$998,$D12,clean!$F$2:$F$998,$E12)</f>
        <v>254868200</v>
      </c>
      <c r="R12">
        <f>AVERAGEIFS(clean!S$2:S$998,clean!$B$2:$B$998,$A12,clean!$C$2:$C$998,$B12,clean!$D$2:$D$998,$C12,clean!$E$2:$E$998,$D12,clean!$F$2:$F$998,$E12)</f>
        <v>720600</v>
      </c>
      <c r="S12">
        <f t="shared" si="0"/>
        <v>94196600</v>
      </c>
      <c r="T12">
        <f>AVERAGEIFS(clean!T$2:T$998,clean!$B$2:$B$998,$A12,clean!$C$2:$C$998,$B12,clean!$D$2:$D$998,$C12,clean!$E$2:$E$998,$D12,clean!$F$2:$F$998,$E12)</f>
        <v>18052433.333333332</v>
      </c>
      <c r="U12">
        <f>AVERAGEIFS(clean!U$2:U$998,clean!$B$2:$B$998,$A12,clean!$C$2:$C$998,$B12,clean!$D$2:$D$998,$C12,clean!$E$2:$E$998,$D12,clean!$F$2:$F$998,$E12)</f>
        <v>1771625466.6666667</v>
      </c>
      <c r="V12">
        <f>AVERAGEIFS(clean!V$2:V$998,clean!$B$2:$B$998,$A12,clean!$C$2:$C$998,$B12,clean!$D$2:$D$998,$C12,clean!$E$2:$E$998,$D12,clean!$F$2:$F$998,$E12)</f>
        <v>1909187500</v>
      </c>
      <c r="W12">
        <f>AVERAGEIFS(clean!W$2:W$998,clean!$B$2:$B$998,$A12,clean!$C$2:$C$998,$B12,clean!$D$2:$D$998,$C12,clean!$E$2:$E$998,$D12,clean!$F$2:$F$998,$E12)</f>
        <v>151800</v>
      </c>
      <c r="X12">
        <f t="shared" si="1"/>
        <v>1502812533.333333</v>
      </c>
      <c r="Y12">
        <f>AVERAGEIFS(clean!X$2:X$998,clean!$B$2:$B$998,$A12,clean!$C$2:$C$998,$B12,clean!$D$2:$D$998,$C12,clean!$E$2:$E$998,$D12,clean!$F$2:$F$998,$E12)</f>
        <v>1812309766.6666667</v>
      </c>
    </row>
    <row r="13" spans="1:25" x14ac:dyDescent="0.3">
      <c r="A13">
        <v>65536</v>
      </c>
      <c r="B13">
        <v>5</v>
      </c>
      <c r="C13">
        <v>216</v>
      </c>
      <c r="D13">
        <v>0.65</v>
      </c>
      <c r="E13">
        <v>9</v>
      </c>
      <c r="F13">
        <f>AVERAGEIFS(clean!G$2:G$998,clean!$B$2:$B$998,$A13,clean!$C$2:$C$998,$B13,clean!$D$2:$D$998,$C13,clean!$E$2:$E$998,$D13,clean!$F$2:$F$998,$E13)</f>
        <v>1023</v>
      </c>
      <c r="G13">
        <f>AVERAGEIFS(clean!H$2:H$998,clean!$B$2:$B$998,$A13,clean!$C$2:$C$998,$B13,clean!$D$2:$D$998,$C13,clean!$E$2:$E$998,$D13,clean!$F$2:$F$998,$E13)</f>
        <v>8340</v>
      </c>
      <c r="H13">
        <f>AVERAGEIFS(clean!I$2:I$998,clean!$B$2:$B$998,$A13,clean!$C$2:$C$998,$B13,clean!$D$2:$D$998,$C13,clean!$E$2:$E$998,$D13,clean!$F$2:$F$998,$E13)</f>
        <v>1903746466.6666667</v>
      </c>
      <c r="I13">
        <f>AVERAGEIFS(clean!J$2:J$998,clean!$B$2:$B$998,$A13,clean!$C$2:$C$998,$B13,clean!$D$2:$D$998,$C13,clean!$E$2:$E$998,$D13,clean!$F$2:$F$998,$E13)</f>
        <v>5470429233.333333</v>
      </c>
      <c r="J13">
        <f>AVERAGEIFS(clean!K$2:K$998,clean!$B$2:$B$998,$A13,clean!$C$2:$C$998,$B13,clean!$D$2:$D$998,$C13,clean!$E$2:$E$998,$D13,clean!$F$2:$F$998,$E13)</f>
        <v>2.8761545297761768</v>
      </c>
      <c r="K13">
        <f>AVERAGEIFS(clean!L$2:L$998,clean!$B$2:$B$998,$A13,clean!$C$2:$C$998,$B13,clean!$D$2:$D$998,$C13,clean!$E$2:$E$998,$D13,clean!$F$2:$F$998,$E13)</f>
        <v>1422300</v>
      </c>
      <c r="L13">
        <f>AVERAGEIFS(clean!M$2:M$998,clean!$B$2:$B$998,$A13,clean!$C$2:$C$998,$B13,clean!$D$2:$D$998,$C13,clean!$E$2:$E$998,$D13,clean!$F$2:$F$998,$E13)</f>
        <v>513019633.33333331</v>
      </c>
      <c r="M13">
        <f>AVERAGEIFS(clean!N$2:N$998,clean!$B$2:$B$998,$A13,clean!$C$2:$C$998,$B13,clean!$D$2:$D$998,$C13,clean!$E$2:$E$998,$D13,clean!$F$2:$F$998,$E13)</f>
        <v>466548366.66666669</v>
      </c>
      <c r="N13">
        <f>AVERAGEIFS(clean!O$2:O$998,clean!$B$2:$B$998,$A13,clean!$C$2:$C$998,$B13,clean!$D$2:$D$998,$C13,clean!$E$2:$E$998,$D13,clean!$F$2:$F$998,$E13)</f>
        <v>979568000</v>
      </c>
      <c r="O13">
        <f>AVERAGEIFS(clean!P$2:P$998,clean!$B$2:$B$998,$A13,clean!$C$2:$C$998,$B13,clean!$D$2:$D$998,$C13,clean!$E$2:$E$998,$D13,clean!$F$2:$F$998,$E13)</f>
        <v>73166.666666666672</v>
      </c>
      <c r="P13">
        <f>AVERAGEIFS(clean!Q$2:Q$998,clean!$B$2:$B$998,$A13,clean!$C$2:$C$998,$B13,clean!$D$2:$D$998,$C13,clean!$E$2:$E$998,$D13,clean!$F$2:$F$998,$E13)</f>
        <v>280821466.66666669</v>
      </c>
      <c r="Q13">
        <f>AVERAGEIFS(clean!R$2:R$998,clean!$B$2:$B$998,$A13,clean!$C$2:$C$998,$B13,clean!$D$2:$D$998,$C13,clean!$E$2:$E$998,$D13,clean!$F$2:$F$998,$E13)</f>
        <v>280894633.33333331</v>
      </c>
      <c r="R13">
        <f>AVERAGEIFS(clean!S$2:S$998,clean!$B$2:$B$998,$A13,clean!$C$2:$C$998,$B13,clean!$D$2:$D$998,$C13,clean!$E$2:$E$998,$D13,clean!$F$2:$F$998,$E13)</f>
        <v>689300</v>
      </c>
      <c r="S13">
        <f t="shared" si="0"/>
        <v>641172233.33333349</v>
      </c>
      <c r="T13">
        <f>AVERAGEIFS(clean!T$2:T$998,clean!$B$2:$B$998,$A13,clean!$C$2:$C$998,$B13,clean!$D$2:$D$998,$C13,clean!$E$2:$E$998,$D13,clean!$F$2:$F$998,$E13)</f>
        <v>18435000</v>
      </c>
      <c r="U13">
        <f>AVERAGEIFS(clean!U$2:U$998,clean!$B$2:$B$998,$A13,clean!$C$2:$C$998,$B13,clean!$D$2:$D$998,$C13,clean!$E$2:$E$998,$D13,clean!$F$2:$F$998,$E13)</f>
        <v>2232373400</v>
      </c>
      <c r="V13">
        <f>AVERAGEIFS(clean!V$2:V$998,clean!$B$2:$B$998,$A13,clean!$C$2:$C$998,$B13,clean!$D$2:$D$998,$C13,clean!$E$2:$E$998,$D13,clean!$F$2:$F$998,$E13)</f>
        <v>2065882300</v>
      </c>
      <c r="W13">
        <f>AVERAGEIFS(clean!W$2:W$998,clean!$B$2:$B$998,$A13,clean!$C$2:$C$998,$B13,clean!$D$2:$D$998,$C13,clean!$E$2:$E$998,$D13,clean!$F$2:$F$998,$E13)</f>
        <v>161700</v>
      </c>
      <c r="X13">
        <f t="shared" si="1"/>
        <v>1153576833.333333</v>
      </c>
      <c r="Y13">
        <f>AVERAGEIFS(clean!X$2:X$998,clean!$B$2:$B$998,$A13,clean!$C$2:$C$998,$B13,clean!$D$2:$D$998,$C13,clean!$E$2:$E$998,$D13,clean!$F$2:$F$998,$E13)</f>
        <v>1903746466.6666667</v>
      </c>
    </row>
    <row r="14" spans="1:25" x14ac:dyDescent="0.3">
      <c r="A14">
        <v>65536</v>
      </c>
      <c r="B14">
        <v>4</v>
      </c>
      <c r="C14">
        <v>125</v>
      </c>
      <c r="D14">
        <v>0.5</v>
      </c>
      <c r="E14">
        <v>10</v>
      </c>
      <c r="F14">
        <f>AVERAGEIFS(clean!G$2:G$998,clean!$B$2:$B$998,$A14,clean!$C$2:$C$998,$B14,clean!$D$2:$D$998,$C14,clean!$E$2:$E$998,$D14,clean!$F$2:$F$998,$E14)</f>
        <v>2047</v>
      </c>
      <c r="G14">
        <f>AVERAGEIFS(clean!H$2:H$998,clean!$B$2:$B$998,$A14,clean!$C$2:$C$998,$B14,clean!$D$2:$D$998,$C14,clean!$E$2:$E$998,$D14,clean!$F$2:$F$998,$E14)</f>
        <v>33692</v>
      </c>
      <c r="H14">
        <f>AVERAGEIFS(clean!I$2:I$998,clean!$B$2:$B$998,$A14,clean!$C$2:$C$998,$B14,clean!$D$2:$D$998,$C14,clean!$E$2:$E$998,$D14,clean!$F$2:$F$998,$E14)</f>
        <v>1754591125</v>
      </c>
      <c r="I14">
        <f>AVERAGEIFS(clean!J$2:J$998,clean!$B$2:$B$998,$A14,clean!$C$2:$C$998,$B14,clean!$D$2:$D$998,$C14,clean!$E$2:$E$998,$D14,clean!$F$2:$F$998,$E14)</f>
        <v>7107518850</v>
      </c>
      <c r="J14">
        <f>AVERAGEIFS(clean!K$2:K$998,clean!$B$2:$B$998,$A14,clean!$C$2:$C$998,$B14,clean!$D$2:$D$998,$C14,clean!$E$2:$E$998,$D14,clean!$F$2:$F$998,$E14)</f>
        <v>4.0857967163594902</v>
      </c>
      <c r="K14">
        <f>AVERAGEIFS(clean!L$2:L$998,clean!$B$2:$B$998,$A14,clean!$C$2:$C$998,$B14,clean!$D$2:$D$998,$C14,clean!$E$2:$E$998,$D14,clean!$F$2:$F$998,$E14)</f>
        <v>6081750</v>
      </c>
      <c r="L14">
        <f>AVERAGEIFS(clean!M$2:M$998,clean!$B$2:$B$998,$A14,clean!$C$2:$C$998,$B14,clean!$D$2:$D$998,$C14,clean!$E$2:$E$998,$D14,clean!$F$2:$F$998,$E14)</f>
        <v>315272425</v>
      </c>
      <c r="M14">
        <f>AVERAGEIFS(clean!N$2:N$998,clean!$B$2:$B$998,$A14,clean!$C$2:$C$998,$B14,clean!$D$2:$D$998,$C14,clean!$E$2:$E$998,$D14,clean!$F$2:$F$998,$E14)</f>
        <v>785810775</v>
      </c>
      <c r="N14">
        <f>AVERAGEIFS(clean!O$2:O$998,clean!$B$2:$B$998,$A14,clean!$C$2:$C$998,$B14,clean!$D$2:$D$998,$C14,clean!$E$2:$E$998,$D14,clean!$F$2:$F$998,$E14)</f>
        <v>1101083200</v>
      </c>
      <c r="O14">
        <f>AVERAGEIFS(clean!P$2:P$998,clean!$B$2:$B$998,$A14,clean!$C$2:$C$998,$B14,clean!$D$2:$D$998,$C14,clean!$E$2:$E$998,$D14,clean!$F$2:$F$998,$E14)</f>
        <v>114700</v>
      </c>
      <c r="P14">
        <f>AVERAGEIFS(clean!Q$2:Q$998,clean!$B$2:$B$998,$A14,clean!$C$2:$C$998,$B14,clean!$D$2:$D$998,$C14,clean!$E$2:$E$998,$D14,clean!$F$2:$F$998,$E14)</f>
        <v>294747025</v>
      </c>
      <c r="Q14">
        <f>AVERAGEIFS(clean!R$2:R$998,clean!$B$2:$B$998,$A14,clean!$C$2:$C$998,$B14,clean!$D$2:$D$998,$C14,clean!$E$2:$E$998,$D14,clean!$F$2:$F$998,$E14)</f>
        <v>294861725</v>
      </c>
      <c r="R14">
        <f>AVERAGEIFS(clean!S$2:S$998,clean!$B$2:$B$998,$A14,clean!$C$2:$C$998,$B14,clean!$D$2:$D$998,$C14,clean!$E$2:$E$998,$D14,clean!$F$2:$F$998,$E14)</f>
        <v>680750</v>
      </c>
      <c r="S14">
        <f t="shared" si="0"/>
        <v>351883700</v>
      </c>
      <c r="T14">
        <f>AVERAGEIFS(clean!T$2:T$998,clean!$B$2:$B$998,$A14,clean!$C$2:$C$998,$B14,clean!$D$2:$D$998,$C14,clean!$E$2:$E$998,$D14,clean!$F$2:$F$998,$E14)</f>
        <v>22596325</v>
      </c>
      <c r="U14">
        <f>AVERAGEIFS(clean!U$2:U$998,clean!$B$2:$B$998,$A14,clean!$C$2:$C$998,$B14,clean!$D$2:$D$998,$C14,clean!$E$2:$E$998,$D14,clean!$F$2:$F$998,$E14)</f>
        <v>4350505000</v>
      </c>
      <c r="V14">
        <f>AVERAGEIFS(clean!V$2:V$998,clean!$B$2:$B$998,$A14,clean!$C$2:$C$998,$B14,clean!$D$2:$D$998,$C14,clean!$E$2:$E$998,$D14,clean!$F$2:$F$998,$E14)</f>
        <v>1984992950</v>
      </c>
      <c r="W14">
        <f>AVERAGEIFS(clean!W$2:W$998,clean!$B$2:$B$998,$A14,clean!$C$2:$C$998,$B14,clean!$D$2:$D$998,$C14,clean!$E$2:$E$998,$D14,clean!$F$2:$F$998,$E14)</f>
        <v>144625</v>
      </c>
      <c r="X14">
        <f t="shared" si="1"/>
        <v>749279950</v>
      </c>
      <c r="Y14">
        <f>AVERAGEIFS(clean!X$2:X$998,clean!$B$2:$B$998,$A14,clean!$C$2:$C$998,$B14,clean!$D$2:$D$998,$C14,clean!$E$2:$E$998,$D14,clean!$F$2:$F$998,$E14)</f>
        <v>1754591125</v>
      </c>
    </row>
    <row r="15" spans="1:25" x14ac:dyDescent="0.3">
      <c r="A15">
        <v>65536</v>
      </c>
      <c r="B15">
        <v>3</v>
      </c>
      <c r="C15">
        <v>64</v>
      </c>
      <c r="D15">
        <v>0.5</v>
      </c>
      <c r="E15">
        <v>10</v>
      </c>
      <c r="F15">
        <f>AVERAGEIFS(clean!G$2:G$998,clean!$B$2:$B$998,$A15,clean!$C$2:$C$998,$B15,clean!$D$2:$D$998,$C15,clean!$E$2:$E$998,$D15,clean!$F$2:$F$998,$E15)</f>
        <v>2047</v>
      </c>
      <c r="G15">
        <f>AVERAGEIFS(clean!H$2:H$998,clean!$B$2:$B$998,$A15,clean!$C$2:$C$998,$B15,clean!$D$2:$D$998,$C15,clean!$E$2:$E$998,$D15,clean!$F$2:$F$998,$E15)</f>
        <v>33680</v>
      </c>
      <c r="H15">
        <f>AVERAGEIFS(clean!I$2:I$998,clean!$B$2:$B$998,$A15,clean!$C$2:$C$998,$B15,clean!$D$2:$D$998,$C15,clean!$E$2:$E$998,$D15,clean!$F$2:$F$998,$E15)</f>
        <v>773197800</v>
      </c>
      <c r="I15">
        <f>AVERAGEIFS(clean!J$2:J$998,clean!$B$2:$B$998,$A15,clean!$C$2:$C$998,$B15,clean!$D$2:$D$998,$C15,clean!$E$2:$E$998,$D15,clean!$F$2:$F$998,$E15)</f>
        <v>3516111450</v>
      </c>
      <c r="J15">
        <f>AVERAGEIFS(clean!K$2:K$998,clean!$B$2:$B$998,$A15,clean!$C$2:$C$998,$B15,clean!$D$2:$D$998,$C15,clean!$E$2:$E$998,$D15,clean!$F$2:$F$998,$E15)</f>
        <v>4.5495882813221726</v>
      </c>
      <c r="K15">
        <f>AVERAGEIFS(clean!L$2:L$998,clean!$B$2:$B$998,$A15,clean!$C$2:$C$998,$B15,clean!$D$2:$D$998,$C15,clean!$E$2:$E$998,$D15,clean!$F$2:$F$998,$E15)</f>
        <v>6485250</v>
      </c>
      <c r="L15">
        <f>AVERAGEIFS(clean!M$2:M$998,clean!$B$2:$B$998,$A15,clean!$C$2:$C$998,$B15,clean!$D$2:$D$998,$C15,clean!$E$2:$E$998,$D15,clean!$F$2:$F$998,$E15)</f>
        <v>157785500</v>
      </c>
      <c r="M15">
        <f>AVERAGEIFS(clean!N$2:N$998,clean!$B$2:$B$998,$A15,clean!$C$2:$C$998,$B15,clean!$D$2:$D$998,$C15,clean!$E$2:$E$998,$D15,clean!$F$2:$F$998,$E15)</f>
        <v>280214825</v>
      </c>
      <c r="N15">
        <f>AVERAGEIFS(clean!O$2:O$998,clean!$B$2:$B$998,$A15,clean!$C$2:$C$998,$B15,clean!$D$2:$D$998,$C15,clean!$E$2:$E$998,$D15,clean!$F$2:$F$998,$E15)</f>
        <v>438000325</v>
      </c>
      <c r="O15">
        <f>AVERAGEIFS(clean!P$2:P$998,clean!$B$2:$B$998,$A15,clean!$C$2:$C$998,$B15,clean!$D$2:$D$998,$C15,clean!$E$2:$E$998,$D15,clean!$F$2:$F$998,$E15)</f>
        <v>108375</v>
      </c>
      <c r="P15">
        <f>AVERAGEIFS(clean!Q$2:Q$998,clean!$B$2:$B$998,$A15,clean!$C$2:$C$998,$B15,clean!$D$2:$D$998,$C15,clean!$E$2:$E$998,$D15,clean!$F$2:$F$998,$E15)</f>
        <v>297315575</v>
      </c>
      <c r="Q15">
        <f>AVERAGEIFS(clean!R$2:R$998,clean!$B$2:$B$998,$A15,clean!$C$2:$C$998,$B15,clean!$D$2:$D$998,$C15,clean!$E$2:$E$998,$D15,clean!$F$2:$F$998,$E15)</f>
        <v>297423950</v>
      </c>
      <c r="R15">
        <f>AVERAGEIFS(clean!S$2:S$998,clean!$B$2:$B$998,$A15,clean!$C$2:$C$998,$B15,clean!$D$2:$D$998,$C15,clean!$E$2:$E$998,$D15,clean!$F$2:$F$998,$E15)</f>
        <v>691950</v>
      </c>
      <c r="S15">
        <f t="shared" si="0"/>
        <v>30596325</v>
      </c>
      <c r="T15">
        <f>AVERAGEIFS(clean!T$2:T$998,clean!$B$2:$B$998,$A15,clean!$C$2:$C$998,$B15,clean!$D$2:$D$998,$C15,clean!$E$2:$E$998,$D15,clean!$F$2:$F$998,$E15)</f>
        <v>15124725</v>
      </c>
      <c r="U15">
        <f>AVERAGEIFS(clean!U$2:U$998,clean!$B$2:$B$998,$A15,clean!$C$2:$C$998,$B15,clean!$D$2:$D$998,$C15,clean!$E$2:$E$998,$D15,clean!$F$2:$F$998,$E15)</f>
        <v>1176931900</v>
      </c>
      <c r="V15">
        <f>AVERAGEIFS(clean!V$2:V$998,clean!$B$2:$B$998,$A15,clean!$C$2:$C$998,$B15,clean!$D$2:$D$998,$C15,clean!$E$2:$E$998,$D15,clean!$F$2:$F$998,$E15)</f>
        <v>1975752475</v>
      </c>
      <c r="W15">
        <f>AVERAGEIFS(clean!W$2:W$998,clean!$B$2:$B$998,$A15,clean!$C$2:$C$998,$B15,clean!$D$2:$D$998,$C15,clean!$E$2:$E$998,$D15,clean!$F$2:$F$998,$E15)</f>
        <v>143575</v>
      </c>
      <c r="X15">
        <f t="shared" si="1"/>
        <v>348158775</v>
      </c>
      <c r="Y15">
        <f>AVERAGEIFS(clean!X$2:X$998,clean!$B$2:$B$998,$A15,clean!$C$2:$C$998,$B15,clean!$D$2:$D$998,$C15,clean!$E$2:$E$998,$D15,clean!$F$2:$F$998,$E15)</f>
        <v>773197800</v>
      </c>
    </row>
    <row r="16" spans="1:25" x14ac:dyDescent="0.3">
      <c r="A16">
        <v>65536</v>
      </c>
      <c r="B16">
        <v>6</v>
      </c>
      <c r="C16">
        <v>343</v>
      </c>
      <c r="D16">
        <v>0.65</v>
      </c>
      <c r="E16">
        <v>8</v>
      </c>
      <c r="F16">
        <f>AVERAGEIFS(clean!G$2:G$998,clean!$B$2:$B$998,$A16,clean!$C$2:$C$998,$B16,clean!$D$2:$D$998,$C16,clean!$E$2:$E$998,$D16,clean!$F$2:$F$998,$E16)</f>
        <v>511</v>
      </c>
      <c r="G16">
        <f>AVERAGEIFS(clean!H$2:H$998,clean!$B$2:$B$998,$A16,clean!$C$2:$C$998,$B16,clean!$D$2:$D$998,$C16,clean!$E$2:$E$998,$D16,clean!$F$2:$F$998,$E16)</f>
        <v>3544</v>
      </c>
      <c r="H16">
        <f>AVERAGEIFS(clean!I$2:I$998,clean!$B$2:$B$998,$A16,clean!$C$2:$C$998,$B16,clean!$D$2:$D$998,$C16,clean!$E$2:$E$998,$D16,clean!$F$2:$F$998,$E16)</f>
        <v>2738328866.6666665</v>
      </c>
      <c r="I16">
        <f>AVERAGEIFS(clean!J$2:J$998,clean!$B$2:$B$998,$A16,clean!$C$2:$C$998,$B16,clean!$D$2:$D$998,$C16,clean!$E$2:$E$998,$D16,clean!$F$2:$F$998,$E16)</f>
        <v>7592912366.666667</v>
      </c>
      <c r="J16">
        <f>AVERAGEIFS(clean!K$2:K$998,clean!$B$2:$B$998,$A16,clean!$C$2:$C$998,$B16,clean!$D$2:$D$998,$C16,clean!$E$2:$E$998,$D16,clean!$F$2:$F$998,$E16)</f>
        <v>2.7748561838337999</v>
      </c>
      <c r="K16">
        <f>AVERAGEIFS(clean!L$2:L$998,clean!$B$2:$B$998,$A16,clean!$C$2:$C$998,$B16,clean!$D$2:$D$998,$C16,clean!$E$2:$E$998,$D16,clean!$F$2:$F$998,$E16)</f>
        <v>666266.66666666663</v>
      </c>
      <c r="L16">
        <f>AVERAGEIFS(clean!M$2:M$998,clean!$B$2:$B$998,$A16,clean!$C$2:$C$998,$B16,clean!$D$2:$D$998,$C16,clean!$E$2:$E$998,$D16,clean!$F$2:$F$998,$E16)</f>
        <v>1056335200</v>
      </c>
      <c r="M16">
        <f>AVERAGEIFS(clean!N$2:N$998,clean!$B$2:$B$998,$A16,clean!$C$2:$C$998,$B16,clean!$D$2:$D$998,$C16,clean!$E$2:$E$998,$D16,clean!$F$2:$F$998,$E16)</f>
        <v>537211600</v>
      </c>
      <c r="N16">
        <f>AVERAGEIFS(clean!O$2:O$998,clean!$B$2:$B$998,$A16,clean!$C$2:$C$998,$B16,clean!$D$2:$D$998,$C16,clean!$E$2:$E$998,$D16,clean!$F$2:$F$998,$E16)</f>
        <v>1593546800</v>
      </c>
      <c r="O16">
        <f>AVERAGEIFS(clean!P$2:P$998,clean!$B$2:$B$998,$A16,clean!$C$2:$C$998,$B16,clean!$D$2:$D$998,$C16,clean!$E$2:$E$998,$D16,clean!$F$2:$F$998,$E16)</f>
        <v>80200</v>
      </c>
      <c r="P16">
        <f>AVERAGEIFS(clean!Q$2:Q$998,clean!$B$2:$B$998,$A16,clean!$C$2:$C$998,$B16,clean!$D$2:$D$998,$C16,clean!$E$2:$E$998,$D16,clean!$F$2:$F$998,$E16)</f>
        <v>480683366.66666669</v>
      </c>
      <c r="Q16">
        <f>AVERAGEIFS(clean!R$2:R$998,clean!$B$2:$B$998,$A16,clean!$C$2:$C$998,$B16,clean!$D$2:$D$998,$C16,clean!$E$2:$E$998,$D16,clean!$F$2:$F$998,$E16)</f>
        <v>480763566.66666669</v>
      </c>
      <c r="R16">
        <f>AVERAGEIFS(clean!S$2:S$998,clean!$B$2:$B$998,$A16,clean!$C$2:$C$998,$B16,clean!$D$2:$D$998,$C16,clean!$E$2:$E$998,$D16,clean!$F$2:$F$998,$E16)</f>
        <v>758633.33333333337</v>
      </c>
      <c r="S16">
        <f t="shared" si="0"/>
        <v>662593599.99999988</v>
      </c>
      <c r="T16">
        <f>AVERAGEIFS(clean!T$2:T$998,clean!$B$2:$B$998,$A16,clean!$C$2:$C$998,$B16,clean!$D$2:$D$998,$C16,clean!$E$2:$E$998,$D16,clean!$F$2:$F$998,$E16)</f>
        <v>18683200</v>
      </c>
      <c r="U16">
        <f>AVERAGEIFS(clean!U$2:U$998,clean!$B$2:$B$998,$A16,clean!$C$2:$C$998,$B16,clean!$D$2:$D$998,$C16,clean!$E$2:$E$998,$D16,clean!$F$2:$F$998,$E16)</f>
        <v>2526287500</v>
      </c>
      <c r="V16">
        <f>AVERAGEIFS(clean!V$2:V$998,clean!$B$2:$B$998,$A16,clean!$C$2:$C$998,$B16,clean!$D$2:$D$998,$C16,clean!$E$2:$E$998,$D16,clean!$F$2:$F$998,$E16)</f>
        <v>3630843300</v>
      </c>
      <c r="W16">
        <f>AVERAGEIFS(clean!W$2:W$998,clean!$B$2:$B$998,$A16,clean!$C$2:$C$998,$B16,clean!$D$2:$D$998,$C16,clean!$E$2:$E$998,$D16,clean!$F$2:$F$998,$E16)</f>
        <v>155566.66666666666</v>
      </c>
      <c r="X16">
        <f t="shared" si="1"/>
        <v>1416942800.0000002</v>
      </c>
      <c r="Y16">
        <f>AVERAGEIFS(clean!X$2:X$998,clean!$B$2:$B$998,$A16,clean!$C$2:$C$998,$B16,clean!$D$2:$D$998,$C16,clean!$E$2:$E$998,$D16,clean!$F$2:$F$998,$E16)</f>
        <v>2738328866.6666665</v>
      </c>
    </row>
    <row r="17" spans="1:25" x14ac:dyDescent="0.3">
      <c r="A17">
        <v>65536</v>
      </c>
      <c r="B17">
        <v>7</v>
      </c>
      <c r="C17">
        <v>512</v>
      </c>
      <c r="D17">
        <v>0.8</v>
      </c>
      <c r="E17">
        <v>7</v>
      </c>
      <c r="F17">
        <f>AVERAGEIFS(clean!G$2:G$998,clean!$B$2:$B$998,$A17,clean!$C$2:$C$998,$B17,clean!$D$2:$D$998,$C17,clean!$E$2:$E$998,$D17,clean!$F$2:$F$998,$E17)</f>
        <v>255</v>
      </c>
      <c r="G17">
        <f>AVERAGEIFS(clean!H$2:H$998,clean!$B$2:$B$998,$A17,clean!$C$2:$C$998,$B17,clean!$D$2:$D$998,$C17,clean!$E$2:$E$998,$D17,clean!$F$2:$F$998,$E17)</f>
        <v>953.33333333333337</v>
      </c>
      <c r="H17">
        <f>AVERAGEIFS(clean!I$2:I$998,clean!$B$2:$B$998,$A17,clean!$C$2:$C$998,$B17,clean!$D$2:$D$998,$C17,clean!$E$2:$E$998,$D17,clean!$F$2:$F$998,$E17)</f>
        <v>2871223733.3333335</v>
      </c>
      <c r="I17">
        <f>AVERAGEIFS(clean!J$2:J$998,clean!$B$2:$B$998,$A17,clean!$C$2:$C$998,$B17,clean!$D$2:$D$998,$C17,clean!$E$2:$E$998,$D17,clean!$F$2:$F$998,$E17)</f>
        <v>8081230066.666667</v>
      </c>
      <c r="J17">
        <f>AVERAGEIFS(clean!K$2:K$998,clean!$B$2:$B$998,$A17,clean!$C$2:$C$998,$B17,clean!$D$2:$D$998,$C17,clean!$E$2:$E$998,$D17,clean!$F$2:$F$998,$E17)</f>
        <v>2.8169114353232234</v>
      </c>
      <c r="K17">
        <f>AVERAGEIFS(clean!L$2:L$998,clean!$B$2:$B$998,$A17,clean!$C$2:$C$998,$B17,clean!$D$2:$D$998,$C17,clean!$E$2:$E$998,$D17,clean!$F$2:$F$998,$E17)</f>
        <v>217233.33333333334</v>
      </c>
      <c r="L17">
        <f>AVERAGEIFS(clean!M$2:M$998,clean!$B$2:$B$998,$A17,clean!$C$2:$C$998,$B17,clean!$D$2:$D$998,$C17,clean!$E$2:$E$998,$D17,clean!$F$2:$F$998,$E17)</f>
        <v>1266466333.3333333</v>
      </c>
      <c r="M17">
        <f>AVERAGEIFS(clean!N$2:N$998,clean!$B$2:$B$998,$A17,clean!$C$2:$C$998,$B17,clean!$D$2:$D$998,$C17,clean!$E$2:$E$998,$D17,clean!$F$2:$F$998,$E17)</f>
        <v>415485166.66666669</v>
      </c>
      <c r="N17">
        <f>AVERAGEIFS(clean!O$2:O$998,clean!$B$2:$B$998,$A17,clean!$C$2:$C$998,$B17,clean!$D$2:$D$998,$C17,clean!$E$2:$E$998,$D17,clean!$F$2:$F$998,$E17)</f>
        <v>1681951500</v>
      </c>
      <c r="O17">
        <f>AVERAGEIFS(clean!P$2:P$998,clean!$B$2:$B$998,$A17,clean!$C$2:$C$998,$B17,clean!$D$2:$D$998,$C17,clean!$E$2:$E$998,$D17,clean!$F$2:$F$998,$E17)</f>
        <v>78100</v>
      </c>
      <c r="P17">
        <f>AVERAGEIFS(clean!Q$2:Q$998,clean!$B$2:$B$998,$A17,clean!$C$2:$C$998,$B17,clean!$D$2:$D$998,$C17,clean!$E$2:$E$998,$D17,clean!$F$2:$F$998,$E17)</f>
        <v>521200700</v>
      </c>
      <c r="Q17">
        <f>AVERAGEIFS(clean!R$2:R$998,clean!$B$2:$B$998,$A17,clean!$C$2:$C$998,$B17,clean!$D$2:$D$998,$C17,clean!$E$2:$E$998,$D17,clean!$F$2:$F$998,$E17)</f>
        <v>521278800</v>
      </c>
      <c r="R17">
        <f>AVERAGEIFS(clean!S$2:S$998,clean!$B$2:$B$998,$A17,clean!$C$2:$C$998,$B17,clean!$D$2:$D$998,$C17,clean!$E$2:$E$998,$D17,clean!$F$2:$F$998,$E17)</f>
        <v>721433.33333333337</v>
      </c>
      <c r="S17">
        <f t="shared" si="0"/>
        <v>667054766.66666663</v>
      </c>
      <c r="T17">
        <f>AVERAGEIFS(clean!T$2:T$998,clean!$B$2:$B$998,$A17,clean!$C$2:$C$998,$B17,clean!$D$2:$D$998,$C17,clean!$E$2:$E$998,$D17,clean!$F$2:$F$998,$E17)</f>
        <v>13353266.666666666</v>
      </c>
      <c r="U17">
        <f>AVERAGEIFS(clean!U$2:U$998,clean!$B$2:$B$998,$A17,clean!$C$2:$C$998,$B17,clean!$D$2:$D$998,$C17,clean!$E$2:$E$998,$D17,clean!$F$2:$F$998,$E17)</f>
        <v>2276276266.6666665</v>
      </c>
      <c r="V17">
        <f>AVERAGEIFS(clean!V$2:V$998,clean!$B$2:$B$998,$A17,clean!$C$2:$C$998,$B17,clean!$D$2:$D$998,$C17,clean!$E$2:$E$998,$D17,clean!$F$2:$F$998,$E17)</f>
        <v>4131593266.6666665</v>
      </c>
      <c r="W17">
        <f>AVERAGEIFS(clean!W$2:W$998,clean!$B$2:$B$998,$A17,clean!$C$2:$C$998,$B17,clean!$D$2:$D$998,$C17,clean!$E$2:$E$998,$D17,clean!$F$2:$F$998,$E17)</f>
        <v>156166.66666666666</v>
      </c>
      <c r="X17">
        <f t="shared" si="1"/>
        <v>1659851100.0000007</v>
      </c>
      <c r="Y17">
        <f>AVERAGEIFS(clean!X$2:X$998,clean!$B$2:$B$998,$A17,clean!$C$2:$C$998,$B17,clean!$D$2:$D$998,$C17,clean!$E$2:$E$998,$D17,clean!$F$2:$F$998,$E17)</f>
        <v>2871223733.3333335</v>
      </c>
    </row>
    <row r="18" spans="1:25" x14ac:dyDescent="0.3">
      <c r="A18">
        <v>65536</v>
      </c>
      <c r="B18">
        <v>5</v>
      </c>
      <c r="C18">
        <v>216</v>
      </c>
      <c r="D18">
        <v>0.5</v>
      </c>
      <c r="E18">
        <v>9</v>
      </c>
      <c r="F18">
        <f>AVERAGEIFS(clean!G$2:G$998,clean!$B$2:$B$998,$A18,clean!$C$2:$C$998,$B18,clean!$D$2:$D$998,$C18,clean!$E$2:$E$998,$D18,clean!$F$2:$F$998,$E18)</f>
        <v>1023</v>
      </c>
      <c r="G18">
        <f>AVERAGEIFS(clean!H$2:H$998,clean!$B$2:$B$998,$A18,clean!$C$2:$C$998,$B18,clean!$D$2:$D$998,$C18,clean!$E$2:$E$998,$D18,clean!$F$2:$F$998,$E18)</f>
        <v>19130</v>
      </c>
      <c r="H18">
        <f>AVERAGEIFS(clean!I$2:I$998,clean!$B$2:$B$998,$A18,clean!$C$2:$C$998,$B18,clean!$D$2:$D$998,$C18,clean!$E$2:$E$998,$D18,clean!$F$2:$F$998,$E18)</f>
        <v>2589492175</v>
      </c>
      <c r="I18">
        <f>AVERAGEIFS(clean!J$2:J$998,clean!$B$2:$B$998,$A18,clean!$C$2:$C$998,$B18,clean!$D$2:$D$998,$C18,clean!$E$2:$E$998,$D18,clean!$F$2:$F$998,$E18)</f>
        <v>10961730325</v>
      </c>
      <c r="J18">
        <f>AVERAGEIFS(clean!K$2:K$998,clean!$B$2:$B$998,$A18,clean!$C$2:$C$998,$B18,clean!$D$2:$D$998,$C18,clean!$E$2:$E$998,$D18,clean!$F$2:$F$998,$E18)</f>
        <v>4.2594993383834971</v>
      </c>
      <c r="K18">
        <f>AVERAGEIFS(clean!L$2:L$998,clean!$B$2:$B$998,$A18,clean!$C$2:$C$998,$B18,clean!$D$2:$D$998,$C18,clean!$E$2:$E$998,$D18,clean!$F$2:$F$998,$E18)</f>
        <v>3133300</v>
      </c>
      <c r="L18">
        <f>AVERAGEIFS(clean!M$2:M$998,clean!$B$2:$B$998,$A18,clean!$C$2:$C$998,$B18,clean!$D$2:$D$998,$C18,clean!$E$2:$E$998,$D18,clean!$F$2:$F$998,$E18)</f>
        <v>510691475</v>
      </c>
      <c r="M18">
        <f>AVERAGEIFS(clean!N$2:N$998,clean!$B$2:$B$998,$A18,clean!$C$2:$C$998,$B18,clean!$D$2:$D$998,$C18,clean!$E$2:$E$998,$D18,clean!$F$2:$F$998,$E18)</f>
        <v>1067321950</v>
      </c>
      <c r="N18">
        <f>AVERAGEIFS(clean!O$2:O$998,clean!$B$2:$B$998,$A18,clean!$C$2:$C$998,$B18,clean!$D$2:$D$998,$C18,clean!$E$2:$E$998,$D18,clean!$F$2:$F$998,$E18)</f>
        <v>1578013425</v>
      </c>
      <c r="O18">
        <f>AVERAGEIFS(clean!P$2:P$998,clean!$B$2:$B$998,$A18,clean!$C$2:$C$998,$B18,clean!$D$2:$D$998,$C18,clean!$E$2:$E$998,$D18,clean!$F$2:$F$998,$E18)</f>
        <v>100325</v>
      </c>
      <c r="P18">
        <f>AVERAGEIFS(clean!Q$2:Q$998,clean!$B$2:$B$998,$A18,clean!$C$2:$C$998,$B18,clean!$D$2:$D$998,$C18,clean!$E$2:$E$998,$D18,clean!$F$2:$F$998,$E18)</f>
        <v>639837000</v>
      </c>
      <c r="Q18">
        <f>AVERAGEIFS(clean!R$2:R$998,clean!$B$2:$B$998,$A18,clean!$C$2:$C$998,$B18,clean!$D$2:$D$998,$C18,clean!$E$2:$E$998,$D18,clean!$F$2:$F$998,$E18)</f>
        <v>639937325</v>
      </c>
      <c r="R18">
        <f>AVERAGEIFS(clean!S$2:S$998,clean!$B$2:$B$998,$A18,clean!$C$2:$C$998,$B18,clean!$D$2:$D$998,$C18,clean!$E$2:$E$998,$D18,clean!$F$2:$F$998,$E18)</f>
        <v>779175</v>
      </c>
      <c r="S18">
        <f t="shared" si="0"/>
        <v>367628950</v>
      </c>
      <c r="T18">
        <f>AVERAGEIFS(clean!T$2:T$998,clean!$B$2:$B$998,$A18,clean!$C$2:$C$998,$B18,clean!$D$2:$D$998,$C18,clean!$E$2:$E$998,$D18,clean!$F$2:$F$998,$E18)</f>
        <v>19538175</v>
      </c>
      <c r="U18">
        <f>AVERAGEIFS(clean!U$2:U$998,clean!$B$2:$B$998,$A18,clean!$C$2:$C$998,$B18,clean!$D$2:$D$998,$C18,clean!$E$2:$E$998,$D18,clean!$F$2:$F$998,$E18)</f>
        <v>5166336900</v>
      </c>
      <c r="V18">
        <f>AVERAGEIFS(clean!V$2:V$998,clean!$B$2:$B$998,$A18,clean!$C$2:$C$998,$B18,clean!$D$2:$D$998,$C18,clean!$E$2:$E$998,$D18,clean!$F$2:$F$998,$E18)</f>
        <v>4638523425</v>
      </c>
      <c r="W18">
        <f>AVERAGEIFS(clean!W$2:W$998,clean!$B$2:$B$998,$A18,clean!$C$2:$C$998,$B18,clean!$D$2:$D$998,$C18,clean!$E$2:$E$998,$D18,clean!$F$2:$F$998,$E18)</f>
        <v>165725</v>
      </c>
      <c r="X18">
        <f t="shared" si="1"/>
        <v>1137166100</v>
      </c>
      <c r="Y18">
        <f>AVERAGEIFS(clean!X$2:X$998,clean!$B$2:$B$998,$A18,clean!$C$2:$C$998,$B18,clean!$D$2:$D$998,$C18,clean!$E$2:$E$998,$D18,clean!$F$2:$F$998,$E18)</f>
        <v>2589492175</v>
      </c>
    </row>
    <row r="19" spans="1:25" x14ac:dyDescent="0.3">
      <c r="A19">
        <v>65536</v>
      </c>
      <c r="B19">
        <v>3</v>
      </c>
      <c r="C19">
        <v>64</v>
      </c>
      <c r="D19">
        <v>0.35</v>
      </c>
      <c r="E19">
        <v>10</v>
      </c>
      <c r="F19">
        <f>AVERAGEIFS(clean!G$2:G$998,clean!$B$2:$B$998,$A19,clean!$C$2:$C$998,$B19,clean!$D$2:$D$998,$C19,clean!$E$2:$E$998,$D19,clean!$F$2:$F$998,$E19)</f>
        <v>2047</v>
      </c>
      <c r="G19">
        <f>AVERAGEIFS(clean!H$2:H$998,clean!$B$2:$B$998,$A19,clean!$C$2:$C$998,$B19,clean!$D$2:$D$998,$C19,clean!$E$2:$E$998,$D19,clean!$F$2:$F$998,$E19)</f>
        <v>86474.666666666672</v>
      </c>
      <c r="H19">
        <f>AVERAGEIFS(clean!I$2:I$998,clean!$B$2:$B$998,$A19,clean!$C$2:$C$998,$B19,clean!$D$2:$D$998,$C19,clean!$E$2:$E$998,$D19,clean!$F$2:$F$998,$E19)</f>
        <v>1902845533.3333333</v>
      </c>
      <c r="I19">
        <f>AVERAGEIFS(clean!J$2:J$998,clean!$B$2:$B$998,$A19,clean!$C$2:$C$998,$B19,clean!$D$2:$D$998,$C19,clean!$E$2:$E$998,$D19,clean!$F$2:$F$998,$E19)</f>
        <v>8173434733.333333</v>
      </c>
      <c r="J19">
        <f>AVERAGEIFS(clean!K$2:K$998,clean!$B$2:$B$998,$A19,clean!$C$2:$C$998,$B19,clean!$D$2:$D$998,$C19,clean!$E$2:$E$998,$D19,clean!$F$2:$F$998,$E19)</f>
        <v>4.3020249641930901</v>
      </c>
      <c r="K19">
        <f>AVERAGEIFS(clean!L$2:L$998,clean!$B$2:$B$998,$A19,clean!$C$2:$C$998,$B19,clean!$D$2:$D$998,$C19,clean!$E$2:$E$998,$D19,clean!$F$2:$F$998,$E19)</f>
        <v>16401800</v>
      </c>
      <c r="L19">
        <f>AVERAGEIFS(clean!M$2:M$998,clean!$B$2:$B$998,$A19,clean!$C$2:$C$998,$B19,clean!$D$2:$D$998,$C19,clean!$E$2:$E$998,$D19,clean!$F$2:$F$998,$E19)</f>
        <v>141321933.33333334</v>
      </c>
      <c r="M19">
        <f>AVERAGEIFS(clean!N$2:N$998,clean!$B$2:$B$998,$A19,clean!$C$2:$C$998,$B19,clean!$D$2:$D$998,$C19,clean!$E$2:$E$998,$D19,clean!$F$2:$F$998,$E19)</f>
        <v>598120100</v>
      </c>
      <c r="N19">
        <f>AVERAGEIFS(clean!O$2:O$998,clean!$B$2:$B$998,$A19,clean!$C$2:$C$998,$B19,clean!$D$2:$D$998,$C19,clean!$E$2:$E$998,$D19,clean!$F$2:$F$998,$E19)</f>
        <v>739442033.33333337</v>
      </c>
      <c r="O19">
        <f>AVERAGEIFS(clean!P$2:P$998,clean!$B$2:$B$998,$A19,clean!$C$2:$C$998,$B19,clean!$D$2:$D$998,$C19,clean!$E$2:$E$998,$D19,clean!$F$2:$F$998,$E19)</f>
        <v>186200</v>
      </c>
      <c r="P19">
        <f>AVERAGEIFS(clean!Q$2:Q$998,clean!$B$2:$B$998,$A19,clean!$C$2:$C$998,$B19,clean!$D$2:$D$998,$C19,clean!$E$2:$E$998,$D19,clean!$F$2:$F$998,$E19)</f>
        <v>728269400</v>
      </c>
      <c r="Q19">
        <f>AVERAGEIFS(clean!R$2:R$998,clean!$B$2:$B$998,$A19,clean!$C$2:$C$998,$B19,clean!$D$2:$D$998,$C19,clean!$E$2:$E$998,$D19,clean!$F$2:$F$998,$E19)</f>
        <v>728455600</v>
      </c>
      <c r="R19">
        <f>AVERAGEIFS(clean!S$2:S$998,clean!$B$2:$B$998,$A19,clean!$C$2:$C$998,$B19,clean!$D$2:$D$998,$C19,clean!$E$2:$E$998,$D19,clean!$F$2:$F$998,$E19)</f>
        <v>876300</v>
      </c>
      <c r="S19">
        <f t="shared" si="0"/>
        <v>417669800</v>
      </c>
      <c r="T19">
        <f>AVERAGEIFS(clean!T$2:T$998,clean!$B$2:$B$998,$A19,clean!$C$2:$C$998,$B19,clean!$D$2:$D$998,$C19,clean!$E$2:$E$998,$D19,clean!$F$2:$F$998,$E19)</f>
        <v>24937633.333333332</v>
      </c>
      <c r="U19">
        <f>AVERAGEIFS(clean!U$2:U$998,clean!$B$2:$B$998,$A19,clean!$C$2:$C$998,$B19,clean!$D$2:$D$998,$C19,clean!$E$2:$E$998,$D19,clean!$F$2:$F$998,$E19)</f>
        <v>2734121300</v>
      </c>
      <c r="V19">
        <f>AVERAGEIFS(clean!V$2:V$998,clean!$B$2:$B$998,$A19,clean!$C$2:$C$998,$B19,clean!$D$2:$D$998,$C19,clean!$E$2:$E$998,$D19,clean!$F$2:$F$998,$E19)</f>
        <v>5086831133.333333</v>
      </c>
      <c r="W19">
        <f>AVERAGEIFS(clean!W$2:W$998,clean!$B$2:$B$998,$A19,clean!$C$2:$C$998,$B19,clean!$D$2:$D$998,$C19,clean!$E$2:$E$998,$D19,clean!$F$2:$F$998,$E19)</f>
        <v>142866.66666666666</v>
      </c>
      <c r="X19">
        <f t="shared" si="1"/>
        <v>327401800.0000003</v>
      </c>
      <c r="Y19">
        <f>AVERAGEIFS(clean!X$2:X$998,clean!$B$2:$B$998,$A19,clean!$C$2:$C$998,$B19,clean!$D$2:$D$998,$C19,clean!$E$2:$E$998,$D19,clean!$F$2:$F$998,$E19)</f>
        <v>1902845533.3333333</v>
      </c>
    </row>
    <row r="20" spans="1:25" x14ac:dyDescent="0.3">
      <c r="A20">
        <v>65536</v>
      </c>
      <c r="B20">
        <v>4</v>
      </c>
      <c r="C20">
        <v>125</v>
      </c>
      <c r="D20">
        <v>0.35</v>
      </c>
      <c r="E20">
        <v>10</v>
      </c>
      <c r="F20">
        <f>AVERAGEIFS(clean!G$2:G$998,clean!$B$2:$B$998,$A20,clean!$C$2:$C$998,$B20,clean!$D$2:$D$998,$C20,clean!$E$2:$E$998,$D20,clean!$F$2:$F$998,$E20)</f>
        <v>2047</v>
      </c>
      <c r="G20">
        <f>AVERAGEIFS(clean!H$2:H$998,clean!$B$2:$B$998,$A20,clean!$C$2:$C$998,$B20,clean!$D$2:$D$998,$C20,clean!$E$2:$E$998,$D20,clean!$F$2:$F$998,$E20)</f>
        <v>86525.333333333328</v>
      </c>
      <c r="H20">
        <f>AVERAGEIFS(clean!I$2:I$998,clean!$B$2:$B$998,$A20,clean!$C$2:$C$998,$B20,clean!$D$2:$D$998,$C20,clean!$E$2:$E$998,$D20,clean!$F$2:$F$998,$E20)</f>
        <v>3301471000</v>
      </c>
      <c r="I20">
        <f>AVERAGEIFS(clean!J$2:J$998,clean!$B$2:$B$998,$A20,clean!$C$2:$C$998,$B20,clean!$D$2:$D$998,$C20,clean!$E$2:$E$998,$D20,clean!$F$2:$F$998,$E20)</f>
        <v>16211401533.333334</v>
      </c>
      <c r="J20">
        <f>AVERAGEIFS(clean!K$2:K$998,clean!$B$2:$B$998,$A20,clean!$C$2:$C$998,$B20,clean!$D$2:$D$998,$C20,clean!$E$2:$E$998,$D20,clean!$F$2:$F$998,$E20)</f>
        <v>4.9120029823176763</v>
      </c>
      <c r="K20">
        <f>AVERAGEIFS(clean!L$2:L$998,clean!$B$2:$B$998,$A20,clean!$C$2:$C$998,$B20,clean!$D$2:$D$998,$C20,clean!$E$2:$E$998,$D20,clean!$F$2:$F$998,$E20)</f>
        <v>16442400</v>
      </c>
      <c r="L20">
        <f>AVERAGEIFS(clean!M$2:M$998,clean!$B$2:$B$998,$A20,clean!$C$2:$C$998,$B20,clean!$D$2:$D$998,$C20,clean!$E$2:$E$998,$D20,clean!$F$2:$F$998,$E20)</f>
        <v>290709633.33333331</v>
      </c>
      <c r="M20">
        <f>AVERAGEIFS(clean!N$2:N$998,clean!$B$2:$B$998,$A20,clean!$C$2:$C$998,$B20,clean!$D$2:$D$998,$C20,clean!$E$2:$E$998,$D20,clean!$F$2:$F$998,$E20)</f>
        <v>1786360966.6666667</v>
      </c>
      <c r="N20">
        <f>AVERAGEIFS(clean!O$2:O$998,clean!$B$2:$B$998,$A20,clean!$C$2:$C$998,$B20,clean!$D$2:$D$998,$C20,clean!$E$2:$E$998,$D20,clean!$F$2:$F$998,$E20)</f>
        <v>2077070600</v>
      </c>
      <c r="O20">
        <f>AVERAGEIFS(clean!P$2:P$998,clean!$B$2:$B$998,$A20,clean!$C$2:$C$998,$B20,clean!$D$2:$D$998,$C20,clean!$E$2:$E$998,$D20,clean!$F$2:$F$998,$E20)</f>
        <v>184966.66666666666</v>
      </c>
      <c r="P20">
        <f>AVERAGEIFS(clean!Q$2:Q$998,clean!$B$2:$B$998,$A20,clean!$C$2:$C$998,$B20,clean!$D$2:$D$998,$C20,clean!$E$2:$E$998,$D20,clean!$F$2:$F$998,$E20)</f>
        <v>754376300</v>
      </c>
      <c r="Q20">
        <f>AVERAGEIFS(clean!R$2:R$998,clean!$B$2:$B$998,$A20,clean!$C$2:$C$998,$B20,clean!$D$2:$D$998,$C20,clean!$E$2:$E$998,$D20,clean!$F$2:$F$998,$E20)</f>
        <v>754561266.66666663</v>
      </c>
      <c r="R20">
        <f>AVERAGEIFS(clean!S$2:S$998,clean!$B$2:$B$998,$A20,clean!$C$2:$C$998,$B20,clean!$D$2:$D$998,$C20,clean!$E$2:$E$998,$D20,clean!$F$2:$F$998,$E20)</f>
        <v>702733.33333333337</v>
      </c>
      <c r="S20">
        <f t="shared" si="0"/>
        <v>452694000.00000006</v>
      </c>
      <c r="T20">
        <f>AVERAGEIFS(clean!T$2:T$998,clean!$B$2:$B$998,$A20,clean!$C$2:$C$998,$B20,clean!$D$2:$D$998,$C20,clean!$E$2:$E$998,$D20,clean!$F$2:$F$998,$E20)</f>
        <v>21114500</v>
      </c>
      <c r="U20">
        <f>AVERAGEIFS(clean!U$2:U$998,clean!$B$2:$B$998,$A20,clean!$C$2:$C$998,$B20,clean!$D$2:$D$998,$C20,clean!$E$2:$E$998,$D20,clean!$F$2:$F$998,$E20)</f>
        <v>10327518200</v>
      </c>
      <c r="V20">
        <f>AVERAGEIFS(clean!V$2:V$998,clean!$B$2:$B$998,$A20,clean!$C$2:$C$998,$B20,clean!$D$2:$D$998,$C20,clean!$E$2:$E$998,$D20,clean!$F$2:$F$998,$E20)</f>
        <v>5096835533.333333</v>
      </c>
      <c r="W20">
        <f>AVERAGEIFS(clean!W$2:W$998,clean!$B$2:$B$998,$A20,clean!$C$2:$C$998,$B20,clean!$D$2:$D$998,$C20,clean!$E$2:$E$998,$D20,clean!$F$2:$F$998,$E20)</f>
        <v>153400</v>
      </c>
      <c r="X20">
        <f t="shared" si="1"/>
        <v>765779900.00000095</v>
      </c>
      <c r="Y20">
        <f>AVERAGEIFS(clean!X$2:X$998,clean!$B$2:$B$998,$A20,clean!$C$2:$C$998,$B20,clean!$D$2:$D$998,$C20,clean!$E$2:$E$998,$D20,clean!$F$2:$F$998,$E20)</f>
        <v>3301471000</v>
      </c>
    </row>
    <row r="21" spans="1:25" x14ac:dyDescent="0.3">
      <c r="A21">
        <v>65536</v>
      </c>
      <c r="B21">
        <v>7</v>
      </c>
      <c r="C21">
        <v>512</v>
      </c>
      <c r="D21">
        <v>0.65</v>
      </c>
      <c r="E21">
        <v>7</v>
      </c>
      <c r="F21">
        <f>AVERAGEIFS(clean!G$2:G$998,clean!$B$2:$B$998,$A21,clean!$C$2:$C$998,$B21,clean!$D$2:$D$998,$C21,clean!$E$2:$E$998,$D21,clean!$F$2:$F$998,$E21)</f>
        <v>255</v>
      </c>
      <c r="G21">
        <f>AVERAGEIFS(clean!H$2:H$998,clean!$B$2:$B$998,$A21,clean!$C$2:$C$998,$B21,clean!$D$2:$D$998,$C21,clean!$E$2:$E$998,$D21,clean!$F$2:$F$998,$E21)</f>
        <v>1408</v>
      </c>
      <c r="H21">
        <f>AVERAGEIFS(clean!I$2:I$998,clean!$B$2:$B$998,$A21,clean!$C$2:$C$998,$B21,clean!$D$2:$D$998,$C21,clean!$E$2:$E$998,$D21,clean!$F$2:$F$998,$E21)</f>
        <v>3117396166.6666665</v>
      </c>
      <c r="I21">
        <f>AVERAGEIFS(clean!J$2:J$998,clean!$B$2:$B$998,$A21,clean!$C$2:$C$998,$B21,clean!$D$2:$D$998,$C21,clean!$E$2:$E$998,$D21,clean!$F$2:$F$998,$E21)</f>
        <v>11112009233.333334</v>
      </c>
      <c r="J21">
        <f>AVERAGEIFS(clean!K$2:K$998,clean!$B$2:$B$998,$A21,clean!$C$2:$C$998,$B21,clean!$D$2:$D$998,$C21,clean!$E$2:$E$998,$D21,clean!$F$2:$F$998,$E21)</f>
        <v>3.5713177966566136</v>
      </c>
      <c r="K21">
        <f>AVERAGEIFS(clean!L$2:L$998,clean!$B$2:$B$998,$A21,clean!$C$2:$C$998,$B21,clean!$D$2:$D$998,$C21,clean!$E$2:$E$998,$D21,clean!$F$2:$F$998,$E21)</f>
        <v>328266.66666666669</v>
      </c>
      <c r="L21">
        <f>AVERAGEIFS(clean!M$2:M$998,clean!$B$2:$B$998,$A21,clean!$C$2:$C$998,$B21,clean!$D$2:$D$998,$C21,clean!$E$2:$E$998,$D21,clean!$F$2:$F$998,$E21)</f>
        <v>1267152166.6666667</v>
      </c>
      <c r="M21">
        <f>AVERAGEIFS(clean!N$2:N$998,clean!$B$2:$B$998,$A21,clean!$C$2:$C$998,$B21,clean!$D$2:$D$998,$C21,clean!$E$2:$E$998,$D21,clean!$F$2:$F$998,$E21)</f>
        <v>591385000</v>
      </c>
      <c r="N21">
        <f>AVERAGEIFS(clean!O$2:O$998,clean!$B$2:$B$998,$A21,clean!$C$2:$C$998,$B21,clean!$D$2:$D$998,$C21,clean!$E$2:$E$998,$D21,clean!$F$2:$F$998,$E21)</f>
        <v>1858537166.6666667</v>
      </c>
      <c r="O21">
        <f>AVERAGEIFS(clean!P$2:P$998,clean!$B$2:$B$998,$A21,clean!$C$2:$C$998,$B21,clean!$D$2:$D$998,$C21,clean!$E$2:$E$998,$D21,clean!$F$2:$F$998,$E21)</f>
        <v>90266.666666666672</v>
      </c>
      <c r="P21">
        <f>AVERAGEIFS(clean!Q$2:Q$998,clean!$B$2:$B$998,$A21,clean!$C$2:$C$998,$B21,clean!$D$2:$D$998,$C21,clean!$E$2:$E$998,$D21,clean!$F$2:$F$998,$E21)</f>
        <v>766461766.66666663</v>
      </c>
      <c r="Q21">
        <f>AVERAGEIFS(clean!R$2:R$998,clean!$B$2:$B$998,$A21,clean!$C$2:$C$998,$B21,clean!$D$2:$D$998,$C21,clean!$E$2:$E$998,$D21,clean!$F$2:$F$998,$E21)</f>
        <v>766552033.33333337</v>
      </c>
      <c r="R21">
        <f>AVERAGEIFS(clean!S$2:S$998,clean!$B$2:$B$998,$A21,clean!$C$2:$C$998,$B21,clean!$D$2:$D$998,$C21,clean!$E$2:$E$998,$D21,clean!$F$2:$F$998,$E21)</f>
        <v>696666.66666666663</v>
      </c>
      <c r="S21">
        <f t="shared" si="0"/>
        <v>491282033.33333319</v>
      </c>
      <c r="T21">
        <f>AVERAGEIFS(clean!T$2:T$998,clean!$B$2:$B$998,$A21,clean!$C$2:$C$998,$B21,clean!$D$2:$D$998,$C21,clean!$E$2:$E$998,$D21,clean!$F$2:$F$998,$E21)</f>
        <v>11838266.666666666</v>
      </c>
      <c r="U21">
        <f>AVERAGEIFS(clean!U$2:U$998,clean!$B$2:$B$998,$A21,clean!$C$2:$C$998,$B21,clean!$D$2:$D$998,$C21,clean!$E$2:$E$998,$D21,clean!$F$2:$F$998,$E21)</f>
        <v>3155311666.6666665</v>
      </c>
      <c r="V21">
        <f>AVERAGEIFS(clean!V$2:V$998,clean!$B$2:$B$998,$A21,clean!$C$2:$C$998,$B21,clean!$D$2:$D$998,$C21,clean!$E$2:$E$998,$D21,clean!$F$2:$F$998,$E21)</f>
        <v>6127775466.666667</v>
      </c>
      <c r="W21">
        <f>AVERAGEIFS(clean!W$2:W$998,clean!$B$2:$B$998,$A21,clean!$C$2:$C$998,$B21,clean!$D$2:$D$998,$C21,clean!$E$2:$E$998,$D21,clean!$F$2:$F$998,$E21)</f>
        <v>195300</v>
      </c>
      <c r="X21">
        <f t="shared" si="1"/>
        <v>1816888533.3333349</v>
      </c>
      <c r="Y21">
        <f>AVERAGEIFS(clean!X$2:X$998,clean!$B$2:$B$998,$A21,clean!$C$2:$C$998,$B21,clean!$D$2:$D$998,$C21,clean!$E$2:$E$998,$D21,clean!$F$2:$F$998,$E21)</f>
        <v>3117396166.6666665</v>
      </c>
    </row>
    <row r="22" spans="1:25" x14ac:dyDescent="0.3">
      <c r="A22">
        <v>65536</v>
      </c>
      <c r="B22">
        <v>6</v>
      </c>
      <c r="C22">
        <v>343</v>
      </c>
      <c r="D22">
        <v>0.5</v>
      </c>
      <c r="E22">
        <v>8</v>
      </c>
      <c r="F22">
        <f>AVERAGEIFS(clean!G$2:G$998,clean!$B$2:$B$998,$A22,clean!$C$2:$C$998,$B22,clean!$D$2:$D$998,$C22,clean!$E$2:$E$998,$D22,clean!$F$2:$F$998,$E22)</f>
        <v>511</v>
      </c>
      <c r="G22">
        <f>AVERAGEIFS(clean!H$2:H$998,clean!$B$2:$B$998,$A22,clean!$C$2:$C$998,$B22,clean!$D$2:$D$998,$C22,clean!$E$2:$E$998,$D22,clean!$F$2:$F$998,$E22)</f>
        <v>8932</v>
      </c>
      <c r="H22">
        <f>AVERAGEIFS(clean!I$2:I$998,clean!$B$2:$B$998,$A22,clean!$C$2:$C$998,$B22,clean!$D$2:$D$998,$C22,clean!$E$2:$E$998,$D22,clean!$F$2:$F$998,$E22)</f>
        <v>3642004525</v>
      </c>
      <c r="I22">
        <f>AVERAGEIFS(clean!J$2:J$998,clean!$B$2:$B$998,$A22,clean!$C$2:$C$998,$B22,clean!$D$2:$D$998,$C22,clean!$E$2:$E$998,$D22,clean!$F$2:$F$998,$E22)</f>
        <v>15171093900</v>
      </c>
      <c r="J22">
        <f>AVERAGEIFS(clean!K$2:K$998,clean!$B$2:$B$998,$A22,clean!$C$2:$C$998,$B22,clean!$D$2:$D$998,$C22,clean!$E$2:$E$998,$D22,clean!$F$2:$F$998,$E22)</f>
        <v>4.1776124340477345</v>
      </c>
      <c r="K22">
        <f>AVERAGEIFS(clean!L$2:L$998,clean!$B$2:$B$998,$A22,clean!$C$2:$C$998,$B22,clean!$D$2:$D$998,$C22,clean!$E$2:$E$998,$D22,clean!$F$2:$F$998,$E22)</f>
        <v>1415100</v>
      </c>
      <c r="L22">
        <f>AVERAGEIFS(clean!M$2:M$998,clean!$B$2:$B$998,$A22,clean!$C$2:$C$998,$B22,clean!$D$2:$D$998,$C22,clean!$E$2:$E$998,$D22,clean!$F$2:$F$998,$E22)</f>
        <v>1051702350</v>
      </c>
      <c r="M22">
        <f>AVERAGEIFS(clean!N$2:N$998,clean!$B$2:$B$998,$A22,clean!$C$2:$C$998,$B22,clean!$D$2:$D$998,$C22,clean!$E$2:$E$998,$D22,clean!$F$2:$F$998,$E22)</f>
        <v>996323200</v>
      </c>
      <c r="N22">
        <f>AVERAGEIFS(clean!O$2:O$998,clean!$B$2:$B$998,$A22,clean!$C$2:$C$998,$B22,clean!$D$2:$D$998,$C22,clean!$E$2:$E$998,$D22,clean!$F$2:$F$998,$E22)</f>
        <v>2048025550</v>
      </c>
      <c r="O22">
        <f>AVERAGEIFS(clean!P$2:P$998,clean!$B$2:$B$998,$A22,clean!$C$2:$C$998,$B22,clean!$D$2:$D$998,$C22,clean!$E$2:$E$998,$D22,clean!$F$2:$F$998,$E22)</f>
        <v>82075</v>
      </c>
      <c r="P22">
        <f>AVERAGEIFS(clean!Q$2:Q$998,clean!$B$2:$B$998,$A22,clean!$C$2:$C$998,$B22,clean!$D$2:$D$998,$C22,clean!$E$2:$E$998,$D22,clean!$F$2:$F$998,$E22)</f>
        <v>1201412925</v>
      </c>
      <c r="Q22">
        <f>AVERAGEIFS(clean!R$2:R$998,clean!$B$2:$B$998,$A22,clean!$C$2:$C$998,$B22,clean!$D$2:$D$998,$C22,clean!$E$2:$E$998,$D22,clean!$F$2:$F$998,$E22)</f>
        <v>1201495000</v>
      </c>
      <c r="R22">
        <f>AVERAGEIFS(clean!S$2:S$998,clean!$B$2:$B$998,$A22,clean!$C$2:$C$998,$B22,clean!$D$2:$D$998,$C22,clean!$E$2:$E$998,$D22,clean!$F$2:$F$998,$E22)</f>
        <v>745975</v>
      </c>
      <c r="S22">
        <f t="shared" si="0"/>
        <v>390322900</v>
      </c>
      <c r="T22">
        <f>AVERAGEIFS(clean!T$2:T$998,clean!$B$2:$B$998,$A22,clean!$C$2:$C$998,$B22,clean!$D$2:$D$998,$C22,clean!$E$2:$E$998,$D22,clean!$F$2:$F$998,$E22)</f>
        <v>18734725</v>
      </c>
      <c r="U22">
        <f>AVERAGEIFS(clean!U$2:U$998,clean!$B$2:$B$998,$A22,clean!$C$2:$C$998,$B22,clean!$D$2:$D$998,$C22,clean!$E$2:$E$998,$D22,clean!$F$2:$F$998,$E22)</f>
        <v>4705732400</v>
      </c>
      <c r="V22">
        <f>AVERAGEIFS(clean!V$2:V$998,clean!$B$2:$B$998,$A22,clean!$C$2:$C$998,$B22,clean!$D$2:$D$998,$C22,clean!$E$2:$E$998,$D22,clean!$F$2:$F$998,$E22)</f>
        <v>9149021175</v>
      </c>
      <c r="W22">
        <f>AVERAGEIFS(clean!W$2:W$998,clean!$B$2:$B$998,$A22,clean!$C$2:$C$998,$B22,clean!$D$2:$D$998,$C22,clean!$E$2:$E$998,$D22,clean!$F$2:$F$998,$E22)</f>
        <v>158250</v>
      </c>
      <c r="X22">
        <f t="shared" si="1"/>
        <v>1297447350</v>
      </c>
      <c r="Y22">
        <f>AVERAGEIFS(clean!X$2:X$998,clean!$B$2:$B$998,$A22,clean!$C$2:$C$998,$B22,clean!$D$2:$D$998,$C22,clean!$E$2:$E$998,$D22,clean!$F$2:$F$998,$E22)</f>
        <v>3642004525</v>
      </c>
    </row>
    <row r="23" spans="1:25" x14ac:dyDescent="0.3">
      <c r="A23">
        <v>65536</v>
      </c>
      <c r="B23">
        <v>5</v>
      </c>
      <c r="C23">
        <v>216</v>
      </c>
      <c r="D23">
        <v>0.35</v>
      </c>
      <c r="E23">
        <v>9</v>
      </c>
      <c r="F23">
        <f>AVERAGEIFS(clean!G$2:G$998,clean!$B$2:$B$998,$A23,clean!$C$2:$C$998,$B23,clean!$D$2:$D$998,$C23,clean!$E$2:$E$998,$D23,clean!$F$2:$F$998,$E23)</f>
        <v>1023</v>
      </c>
      <c r="G23">
        <f>AVERAGEIFS(clean!H$2:H$998,clean!$B$2:$B$998,$A23,clean!$C$2:$C$998,$B23,clean!$D$2:$D$998,$C23,clean!$E$2:$E$998,$D23,clean!$F$2:$F$998,$E23)</f>
        <v>48737.333333333336</v>
      </c>
      <c r="H23">
        <f>AVERAGEIFS(clean!I$2:I$998,clean!$B$2:$B$998,$A23,clean!$C$2:$C$998,$B23,clean!$D$2:$D$998,$C23,clean!$E$2:$E$998,$D23,clean!$F$2:$F$998,$E23)</f>
        <v>4479958533.333333</v>
      </c>
      <c r="I23">
        <f>AVERAGEIFS(clean!J$2:J$998,clean!$B$2:$B$998,$A23,clean!$C$2:$C$998,$B23,clean!$D$2:$D$998,$C23,clean!$E$2:$E$998,$D23,clean!$F$2:$F$998,$E23)</f>
        <v>21936738300</v>
      </c>
      <c r="J23">
        <f>AVERAGEIFS(clean!K$2:K$998,clean!$B$2:$B$998,$A23,clean!$C$2:$C$998,$B23,clean!$D$2:$D$998,$C23,clean!$E$2:$E$998,$D23,clean!$F$2:$F$998,$E23)</f>
        <v>4.8976802000004103</v>
      </c>
      <c r="K23">
        <f>AVERAGEIFS(clean!L$2:L$998,clean!$B$2:$B$998,$A23,clean!$C$2:$C$998,$B23,clean!$D$2:$D$998,$C23,clean!$E$2:$E$998,$D23,clean!$F$2:$F$998,$E23)</f>
        <v>6784100</v>
      </c>
      <c r="L23">
        <f>AVERAGEIFS(clean!M$2:M$998,clean!$B$2:$B$998,$A23,clean!$C$2:$C$998,$B23,clean!$D$2:$D$998,$C23,clean!$E$2:$E$998,$D23,clean!$F$2:$F$998,$E23)</f>
        <v>511401866.66666669</v>
      </c>
      <c r="M23">
        <f>AVERAGEIFS(clean!N$2:N$998,clean!$B$2:$B$998,$A23,clean!$C$2:$C$998,$B23,clean!$D$2:$D$998,$C23,clean!$E$2:$E$998,$D23,clean!$F$2:$F$998,$E23)</f>
        <v>1863880266.6666667</v>
      </c>
      <c r="N23">
        <f>AVERAGEIFS(clean!O$2:O$998,clean!$B$2:$B$998,$A23,clean!$C$2:$C$998,$B23,clean!$D$2:$D$998,$C23,clean!$E$2:$E$998,$D23,clean!$F$2:$F$998,$E23)</f>
        <v>2375282133.3333335</v>
      </c>
      <c r="O23">
        <f>AVERAGEIFS(clean!P$2:P$998,clean!$B$2:$B$998,$A23,clean!$C$2:$C$998,$B23,clean!$D$2:$D$998,$C23,clean!$E$2:$E$998,$D23,clean!$F$2:$F$998,$E23)</f>
        <v>131533.33333333334</v>
      </c>
      <c r="P23">
        <f>AVERAGEIFS(clean!Q$2:Q$998,clean!$B$2:$B$998,$A23,clean!$C$2:$C$998,$B23,clean!$D$2:$D$998,$C23,clean!$E$2:$E$998,$D23,clean!$F$2:$F$998,$E23)</f>
        <v>1626856900</v>
      </c>
      <c r="Q23">
        <f>AVERAGEIFS(clean!R$2:R$998,clean!$B$2:$B$998,$A23,clean!$C$2:$C$998,$B23,clean!$D$2:$D$998,$C23,clean!$E$2:$E$998,$D23,clean!$F$2:$F$998,$E23)</f>
        <v>1626988433.3333333</v>
      </c>
      <c r="R23">
        <f>AVERAGEIFS(clean!S$2:S$998,clean!$B$2:$B$998,$A23,clean!$C$2:$C$998,$B23,clean!$D$2:$D$998,$C23,clean!$E$2:$E$998,$D23,clean!$F$2:$F$998,$E23)</f>
        <v>741200</v>
      </c>
      <c r="S23">
        <f t="shared" si="0"/>
        <v>470162666.66666627</v>
      </c>
      <c r="T23">
        <f>AVERAGEIFS(clean!T$2:T$998,clean!$B$2:$B$998,$A23,clean!$C$2:$C$998,$B23,clean!$D$2:$D$998,$C23,clean!$E$2:$E$998,$D23,clean!$F$2:$F$998,$E23)</f>
        <v>16764166.666666666</v>
      </c>
      <c r="U23">
        <f>AVERAGEIFS(clean!U$2:U$998,clean!$B$2:$B$998,$A23,clean!$C$2:$C$998,$B23,clean!$D$2:$D$998,$C23,clean!$E$2:$E$998,$D23,clean!$F$2:$F$998,$E23)</f>
        <v>8946639600</v>
      </c>
      <c r="V23">
        <f>AVERAGEIFS(clean!V$2:V$998,clean!$B$2:$B$998,$A23,clean!$C$2:$C$998,$B23,clean!$D$2:$D$998,$C23,clean!$E$2:$E$998,$D23,clean!$F$2:$F$998,$E23)</f>
        <v>11822253333.333334</v>
      </c>
      <c r="W23">
        <f>AVERAGEIFS(clean!W$2:W$998,clean!$B$2:$B$998,$A23,clean!$C$2:$C$998,$B23,clean!$D$2:$D$998,$C23,clean!$E$2:$E$998,$D23,clean!$F$2:$F$998,$E23)</f>
        <v>156633.33333333334</v>
      </c>
      <c r="X23">
        <f t="shared" si="1"/>
        <v>1150924566.6666648</v>
      </c>
      <c r="Y23">
        <f>AVERAGEIFS(clean!X$2:X$998,clean!$B$2:$B$998,$A23,clean!$C$2:$C$998,$B23,clean!$D$2:$D$998,$C23,clean!$E$2:$E$998,$D23,clean!$F$2:$F$998,$E23)</f>
        <v>4479958533.333333</v>
      </c>
    </row>
    <row r="24" spans="1:25" x14ac:dyDescent="0.3">
      <c r="A24">
        <v>65536</v>
      </c>
      <c r="B24">
        <v>7</v>
      </c>
      <c r="C24">
        <v>512</v>
      </c>
      <c r="D24">
        <v>0.5</v>
      </c>
      <c r="E24">
        <v>7</v>
      </c>
      <c r="F24">
        <f>AVERAGEIFS(clean!G$2:G$998,clean!$B$2:$B$998,$A24,clean!$C$2:$C$998,$B24,clean!$D$2:$D$998,$C24,clean!$E$2:$E$998,$D24,clean!$F$2:$F$998,$E24)</f>
        <v>255</v>
      </c>
      <c r="G24">
        <f>AVERAGEIFS(clean!H$2:H$998,clean!$B$2:$B$998,$A24,clean!$C$2:$C$998,$B24,clean!$D$2:$D$998,$C24,clean!$E$2:$E$998,$D24,clean!$F$2:$F$998,$E24)</f>
        <v>3398</v>
      </c>
      <c r="H24">
        <f>AVERAGEIFS(clean!I$2:I$998,clean!$B$2:$B$998,$A24,clean!$C$2:$C$998,$B24,clean!$D$2:$D$998,$C24,clean!$E$2:$E$998,$D24,clean!$F$2:$F$998,$E24)</f>
        <v>4387986650</v>
      </c>
      <c r="I24">
        <f>AVERAGEIFS(clean!J$2:J$998,clean!$B$2:$B$998,$A24,clean!$C$2:$C$998,$B24,clean!$D$2:$D$998,$C24,clean!$E$2:$E$998,$D24,clean!$F$2:$F$998,$E24)</f>
        <v>21273166075</v>
      </c>
      <c r="J24">
        <f>AVERAGEIFS(clean!K$2:K$998,clean!$B$2:$B$998,$A24,clean!$C$2:$C$998,$B24,clean!$D$2:$D$998,$C24,clean!$E$2:$E$998,$D24,clean!$F$2:$F$998,$E24)</f>
        <v>4.8579312874144849</v>
      </c>
      <c r="K24">
        <f>AVERAGEIFS(clean!L$2:L$998,clean!$B$2:$B$998,$A24,clean!$C$2:$C$998,$B24,clean!$D$2:$D$998,$C24,clean!$E$2:$E$998,$D24,clean!$F$2:$F$998,$E24)</f>
        <v>573625</v>
      </c>
      <c r="L24">
        <f>AVERAGEIFS(clean!M$2:M$998,clean!$B$2:$B$998,$A24,clean!$C$2:$C$998,$B24,clean!$D$2:$D$998,$C24,clean!$E$2:$E$998,$D24,clean!$F$2:$F$998,$E24)</f>
        <v>1271878700</v>
      </c>
      <c r="M24">
        <f>AVERAGEIFS(clean!N$2:N$998,clean!$B$2:$B$998,$A24,clean!$C$2:$C$998,$B24,clean!$D$2:$D$998,$C24,clean!$E$2:$E$998,$D24,clean!$F$2:$F$998,$E24)</f>
        <v>887710525</v>
      </c>
      <c r="N24">
        <f>AVERAGEIFS(clean!O$2:O$998,clean!$B$2:$B$998,$A24,clean!$C$2:$C$998,$B24,clean!$D$2:$D$998,$C24,clean!$E$2:$E$998,$D24,clean!$F$2:$F$998,$E24)</f>
        <v>2159589225</v>
      </c>
      <c r="O24">
        <f>AVERAGEIFS(clean!P$2:P$998,clean!$B$2:$B$998,$A24,clean!$C$2:$C$998,$B24,clean!$D$2:$D$998,$C24,clean!$E$2:$E$998,$D24,clean!$F$2:$F$998,$E24)</f>
        <v>92600</v>
      </c>
      <c r="P24">
        <f>AVERAGEIFS(clean!Q$2:Q$998,clean!$B$2:$B$998,$A24,clean!$C$2:$C$998,$B24,clean!$D$2:$D$998,$C24,clean!$E$2:$E$998,$D24,clean!$F$2:$F$998,$E24)</f>
        <v>1836563100</v>
      </c>
      <c r="Q24">
        <f>AVERAGEIFS(clean!R$2:R$998,clean!$B$2:$B$998,$A24,clean!$C$2:$C$998,$B24,clean!$D$2:$D$998,$C24,clean!$E$2:$E$998,$D24,clean!$F$2:$F$998,$E24)</f>
        <v>1836655700</v>
      </c>
      <c r="R24">
        <f>AVERAGEIFS(clean!S$2:S$998,clean!$B$2:$B$998,$A24,clean!$C$2:$C$998,$B24,clean!$D$2:$D$998,$C24,clean!$E$2:$E$998,$D24,clean!$F$2:$F$998,$E24)</f>
        <v>759725</v>
      </c>
      <c r="S24">
        <f t="shared" si="0"/>
        <v>390408375</v>
      </c>
      <c r="T24">
        <f>AVERAGEIFS(clean!T$2:T$998,clean!$B$2:$B$998,$A24,clean!$C$2:$C$998,$B24,clean!$D$2:$D$998,$C24,clean!$E$2:$E$998,$D24,clean!$F$2:$F$998,$E24)</f>
        <v>18728850</v>
      </c>
      <c r="U24">
        <f>AVERAGEIFS(clean!U$2:U$998,clean!$B$2:$B$998,$A24,clean!$C$2:$C$998,$B24,clean!$D$2:$D$998,$C24,clean!$E$2:$E$998,$D24,clean!$F$2:$F$998,$E24)</f>
        <v>4823283700</v>
      </c>
      <c r="V24">
        <f>AVERAGEIFS(clean!V$2:V$998,clean!$B$2:$B$998,$A24,clean!$C$2:$C$998,$B24,clean!$D$2:$D$998,$C24,clean!$E$2:$E$998,$D24,clean!$F$2:$F$998,$E24)</f>
        <v>14868157975</v>
      </c>
      <c r="W24">
        <f>AVERAGEIFS(clean!W$2:W$998,clean!$B$2:$B$998,$A24,clean!$C$2:$C$998,$B24,clean!$D$2:$D$998,$C24,clean!$E$2:$E$998,$D24,clean!$F$2:$F$998,$E24)</f>
        <v>160675</v>
      </c>
      <c r="X24">
        <f t="shared" si="1"/>
        <v>1562834875</v>
      </c>
      <c r="Y24">
        <f>AVERAGEIFS(clean!X$2:X$998,clean!$B$2:$B$998,$A24,clean!$C$2:$C$998,$B24,clean!$D$2:$D$998,$C24,clean!$E$2:$E$998,$D24,clean!$F$2:$F$998,$E24)</f>
        <v>4387986650</v>
      </c>
    </row>
    <row r="25" spans="1:25" x14ac:dyDescent="0.3">
      <c r="A25">
        <v>65536</v>
      </c>
      <c r="B25">
        <v>6</v>
      </c>
      <c r="C25">
        <v>343</v>
      </c>
      <c r="D25">
        <v>0.35</v>
      </c>
      <c r="E25">
        <v>8</v>
      </c>
      <c r="F25">
        <f>AVERAGEIFS(clean!G$2:G$998,clean!$B$2:$B$998,$A25,clean!$C$2:$C$998,$B25,clean!$D$2:$D$998,$C25,clean!$E$2:$E$998,$D25,clean!$F$2:$F$998,$E25)</f>
        <v>511</v>
      </c>
      <c r="G25">
        <f>AVERAGEIFS(clean!H$2:H$998,clean!$B$2:$B$998,$A25,clean!$C$2:$C$998,$B25,clean!$D$2:$D$998,$C25,clean!$E$2:$E$998,$D25,clean!$F$2:$F$998,$E25)</f>
        <v>19485.333333333332</v>
      </c>
      <c r="H25">
        <f>AVERAGEIFS(clean!I$2:I$998,clean!$B$2:$B$998,$A25,clean!$C$2:$C$998,$B25,clean!$D$2:$D$998,$C25,clean!$E$2:$E$998,$D25,clean!$F$2:$F$998,$E25)</f>
        <v>5971704600</v>
      </c>
      <c r="I25">
        <f>AVERAGEIFS(clean!J$2:J$998,clean!$B$2:$B$998,$A25,clean!$C$2:$C$998,$B25,clean!$D$2:$D$998,$C25,clean!$E$2:$E$998,$D25,clean!$F$2:$F$998,$E25)</f>
        <v>30062729400</v>
      </c>
      <c r="J25">
        <f>AVERAGEIFS(clean!K$2:K$998,clean!$B$2:$B$998,$A25,clean!$C$2:$C$998,$B25,clean!$D$2:$D$998,$C25,clean!$E$2:$E$998,$D25,clean!$F$2:$F$998,$E25)</f>
        <v>5.0353270531508523</v>
      </c>
      <c r="K25">
        <f>AVERAGEIFS(clean!L$2:L$998,clean!$B$2:$B$998,$A25,clean!$C$2:$C$998,$B25,clean!$D$2:$D$998,$C25,clean!$E$2:$E$998,$D25,clean!$F$2:$F$998,$E25)</f>
        <v>2797633.3333333335</v>
      </c>
      <c r="L25">
        <f>AVERAGEIFS(clean!M$2:M$998,clean!$B$2:$B$998,$A25,clean!$C$2:$C$998,$B25,clean!$D$2:$D$998,$C25,clean!$E$2:$E$998,$D25,clean!$F$2:$F$998,$E25)</f>
        <v>1053441966.6666666</v>
      </c>
      <c r="M25">
        <f>AVERAGEIFS(clean!N$2:N$998,clean!$B$2:$B$998,$A25,clean!$C$2:$C$998,$B25,clean!$D$2:$D$998,$C25,clean!$E$2:$E$998,$D25,clean!$F$2:$F$998,$E25)</f>
        <v>1817565766.6666667</v>
      </c>
      <c r="N25">
        <f>AVERAGEIFS(clean!O$2:O$998,clean!$B$2:$B$998,$A25,clean!$C$2:$C$998,$B25,clean!$D$2:$D$998,$C25,clean!$E$2:$E$998,$D25,clean!$F$2:$F$998,$E25)</f>
        <v>2871007733.3333335</v>
      </c>
      <c r="O25">
        <f>AVERAGEIFS(clean!P$2:P$998,clean!$B$2:$B$998,$A25,clean!$C$2:$C$998,$B25,clean!$D$2:$D$998,$C25,clean!$E$2:$E$998,$D25,clean!$F$2:$F$998,$E25)</f>
        <v>93100</v>
      </c>
      <c r="P25">
        <f>AVERAGEIFS(clean!Q$2:Q$998,clean!$B$2:$B$998,$A25,clean!$C$2:$C$998,$B25,clean!$D$2:$D$998,$C25,clean!$E$2:$E$998,$D25,clean!$F$2:$F$998,$E25)</f>
        <v>2609693800</v>
      </c>
      <c r="Q25">
        <f>AVERAGEIFS(clean!R$2:R$998,clean!$B$2:$B$998,$A25,clean!$C$2:$C$998,$B25,clean!$D$2:$D$998,$C25,clean!$E$2:$E$998,$D25,clean!$F$2:$F$998,$E25)</f>
        <v>2609786900</v>
      </c>
      <c r="R25">
        <f>AVERAGEIFS(clean!S$2:S$998,clean!$B$2:$B$998,$A25,clean!$C$2:$C$998,$B25,clean!$D$2:$D$998,$C25,clean!$E$2:$E$998,$D25,clean!$F$2:$F$998,$E25)</f>
        <v>682433.33333333337</v>
      </c>
      <c r="S25">
        <f t="shared" si="0"/>
        <v>487429900.00000018</v>
      </c>
      <c r="T25">
        <f>AVERAGEIFS(clean!T$2:T$998,clean!$B$2:$B$998,$A25,clean!$C$2:$C$998,$B25,clean!$D$2:$D$998,$C25,clean!$E$2:$E$998,$D25,clean!$F$2:$F$998,$E25)</f>
        <v>12706033.333333334</v>
      </c>
      <c r="U25">
        <f>AVERAGEIFS(clean!U$2:U$998,clean!$B$2:$B$998,$A25,clean!$C$2:$C$998,$B25,clean!$D$2:$D$998,$C25,clean!$E$2:$E$998,$D25,clean!$F$2:$F$998,$E25)</f>
        <v>8670943966.666666</v>
      </c>
      <c r="V25">
        <f>AVERAGEIFS(clean!V$2:V$998,clean!$B$2:$B$998,$A25,clean!$C$2:$C$998,$B25,clean!$D$2:$D$998,$C25,clean!$E$2:$E$998,$D25,clean!$F$2:$F$998,$E25)</f>
        <v>19874594900</v>
      </c>
      <c r="W25">
        <f>AVERAGEIFS(clean!W$2:W$998,clean!$B$2:$B$998,$A25,clean!$C$2:$C$998,$B25,clean!$D$2:$D$998,$C25,clean!$E$2:$E$998,$D25,clean!$F$2:$F$998,$E25)</f>
        <v>162633.33333333334</v>
      </c>
      <c r="X25">
        <f t="shared" si="1"/>
        <v>1504321866.6666667</v>
      </c>
      <c r="Y25">
        <f>AVERAGEIFS(clean!X$2:X$998,clean!$B$2:$B$998,$A25,clean!$C$2:$C$998,$B25,clean!$D$2:$D$998,$C25,clean!$E$2:$E$998,$D25,clean!$F$2:$F$998,$E25)</f>
        <v>5971704600</v>
      </c>
    </row>
    <row r="26" spans="1:25" x14ac:dyDescent="0.3">
      <c r="A26">
        <v>65536</v>
      </c>
      <c r="B26">
        <v>3</v>
      </c>
      <c r="C26">
        <v>64</v>
      </c>
      <c r="D26">
        <v>0.2</v>
      </c>
      <c r="E26">
        <v>10</v>
      </c>
      <c r="F26">
        <f>AVERAGEIFS(clean!G$2:G$998,clean!$B$2:$B$998,$A26,clean!$C$2:$C$998,$B26,clean!$D$2:$D$998,$C26,clean!$E$2:$E$998,$D26,clean!$F$2:$F$998,$E26)</f>
        <v>2047</v>
      </c>
      <c r="G26">
        <f>AVERAGEIFS(clean!H$2:H$998,clean!$B$2:$B$998,$A26,clean!$C$2:$C$998,$B26,clean!$D$2:$D$998,$C26,clean!$E$2:$E$998,$D26,clean!$F$2:$F$998,$E26)</f>
        <v>322162.66666666669</v>
      </c>
      <c r="H26">
        <f>AVERAGEIFS(clean!I$2:I$998,clean!$B$2:$B$998,$A26,clean!$C$2:$C$998,$B26,clean!$D$2:$D$998,$C26,clean!$E$2:$E$998,$D26,clean!$F$2:$F$998,$E26)</f>
        <v>4609839300</v>
      </c>
      <c r="I26">
        <f>AVERAGEIFS(clean!J$2:J$998,clean!$B$2:$B$998,$A26,clean!$C$2:$C$998,$B26,clean!$D$2:$D$998,$C26,clean!$E$2:$E$998,$D26,clean!$F$2:$F$998,$E26)</f>
        <v>26278557433.333332</v>
      </c>
      <c r="J26">
        <f>AVERAGEIFS(clean!K$2:K$998,clean!$B$2:$B$998,$A26,clean!$C$2:$C$998,$B26,clean!$D$2:$D$998,$C26,clean!$E$2:$E$998,$D26,clean!$F$2:$F$998,$E26)</f>
        <v>5.7044761655169465</v>
      </c>
      <c r="K26">
        <f>AVERAGEIFS(clean!L$2:L$998,clean!$B$2:$B$998,$A26,clean!$C$2:$C$998,$B26,clean!$D$2:$D$998,$C26,clean!$E$2:$E$998,$D26,clean!$F$2:$F$998,$E26)</f>
        <v>52316500</v>
      </c>
      <c r="L26">
        <f>AVERAGEIFS(clean!M$2:M$998,clean!$B$2:$B$998,$A26,clean!$C$2:$C$998,$B26,clean!$D$2:$D$998,$C26,clean!$E$2:$E$998,$D26,clean!$F$2:$F$998,$E26)</f>
        <v>141562833.33333334</v>
      </c>
      <c r="M26">
        <f>AVERAGEIFS(clean!N$2:N$998,clean!$B$2:$B$998,$A26,clean!$C$2:$C$998,$B26,clean!$D$2:$D$998,$C26,clean!$E$2:$E$998,$D26,clean!$F$2:$F$998,$E26)</f>
        <v>1373503966.6666667</v>
      </c>
      <c r="N26">
        <f>AVERAGEIFS(clean!O$2:O$998,clean!$B$2:$B$998,$A26,clean!$C$2:$C$998,$B26,clean!$D$2:$D$998,$C26,clean!$E$2:$E$998,$D26,clean!$F$2:$F$998,$E26)</f>
        <v>1515066800</v>
      </c>
      <c r="O26">
        <f>AVERAGEIFS(clean!P$2:P$998,clean!$B$2:$B$998,$A26,clean!$C$2:$C$998,$B26,clean!$D$2:$D$998,$C26,clean!$E$2:$E$998,$D26,clean!$F$2:$F$998,$E26)</f>
        <v>848533.33333333337</v>
      </c>
      <c r="P26">
        <f>AVERAGEIFS(clean!Q$2:Q$998,clean!$B$2:$B$998,$A26,clean!$C$2:$C$998,$B26,clean!$D$2:$D$998,$C26,clean!$E$2:$E$998,$D26,clean!$F$2:$F$998,$E26)</f>
        <v>2721066766.6666665</v>
      </c>
      <c r="Q26">
        <f>AVERAGEIFS(clean!R$2:R$998,clean!$B$2:$B$998,$A26,clean!$C$2:$C$998,$B26,clean!$D$2:$D$998,$C26,clean!$E$2:$E$998,$D26,clean!$F$2:$F$998,$E26)</f>
        <v>2721915300</v>
      </c>
      <c r="R26">
        <f>AVERAGEIFS(clean!S$2:S$998,clean!$B$2:$B$998,$A26,clean!$C$2:$C$998,$B26,clean!$D$2:$D$998,$C26,clean!$E$2:$E$998,$D26,clean!$F$2:$F$998,$E26)</f>
        <v>757166.66666666663</v>
      </c>
      <c r="S26">
        <f t="shared" si="0"/>
        <v>319783533.33333331</v>
      </c>
      <c r="T26">
        <f>AVERAGEIFS(clean!T$2:T$998,clean!$B$2:$B$998,$A26,clean!$C$2:$C$998,$B26,clean!$D$2:$D$998,$C26,clean!$E$2:$E$998,$D26,clean!$F$2:$F$998,$E26)</f>
        <v>24437233.333333332</v>
      </c>
      <c r="U26">
        <f>AVERAGEIFS(clean!U$2:U$998,clean!$B$2:$B$998,$A26,clean!$C$2:$C$998,$B26,clean!$D$2:$D$998,$C26,clean!$E$2:$E$998,$D26,clean!$F$2:$F$998,$E26)</f>
        <v>6829211266.666667</v>
      </c>
      <c r="V26">
        <f>AVERAGEIFS(clean!V$2:V$998,clean!$B$2:$B$998,$A26,clean!$C$2:$C$998,$B26,clean!$D$2:$D$998,$C26,clean!$E$2:$E$998,$D26,clean!$F$2:$F$998,$E26)</f>
        <v>19071434500</v>
      </c>
      <c r="W26">
        <f>AVERAGEIFS(clean!W$2:W$998,clean!$B$2:$B$998,$A26,clean!$C$2:$C$998,$B26,clean!$D$2:$D$998,$C26,clean!$E$2:$E$998,$D26,clean!$F$2:$F$998,$E26)</f>
        <v>148466.66666666666</v>
      </c>
      <c r="X26">
        <f t="shared" si="1"/>
        <v>353325966.66666538</v>
      </c>
      <c r="Y26">
        <f>AVERAGEIFS(clean!X$2:X$998,clean!$B$2:$B$998,$A26,clean!$C$2:$C$998,$B26,clean!$D$2:$D$998,$C26,clean!$E$2:$E$998,$D26,clean!$F$2:$F$998,$E26)</f>
        <v>4609839300</v>
      </c>
    </row>
    <row r="27" spans="1:25" x14ac:dyDescent="0.3">
      <c r="A27">
        <v>65536</v>
      </c>
      <c r="B27">
        <v>4</v>
      </c>
      <c r="C27">
        <v>125</v>
      </c>
      <c r="D27">
        <v>0.2</v>
      </c>
      <c r="E27">
        <v>10</v>
      </c>
      <c r="F27">
        <f>AVERAGEIFS(clean!G$2:G$998,clean!$B$2:$B$998,$A27,clean!$C$2:$C$998,$B27,clean!$D$2:$D$998,$C27,clean!$E$2:$E$998,$D27,clean!$F$2:$F$998,$E27)</f>
        <v>2047</v>
      </c>
      <c r="G27">
        <f>AVERAGEIFS(clean!H$2:H$998,clean!$B$2:$B$998,$A27,clean!$C$2:$C$998,$B27,clean!$D$2:$D$998,$C27,clean!$E$2:$E$998,$D27,clean!$F$2:$F$998,$E27)</f>
        <v>322156</v>
      </c>
      <c r="H27">
        <f>AVERAGEIFS(clean!I$2:I$998,clean!$B$2:$B$998,$A27,clean!$C$2:$C$998,$B27,clean!$D$2:$D$998,$C27,clean!$E$2:$E$998,$D27,clean!$F$2:$F$998,$E27)</f>
        <v>7578434366.666667</v>
      </c>
      <c r="I27">
        <f>AVERAGEIFS(clean!J$2:J$998,clean!$B$2:$B$998,$A27,clean!$C$2:$C$998,$B27,clean!$D$2:$D$998,$C27,clean!$E$2:$E$998,$D27,clean!$F$2:$F$998,$E27)</f>
        <v>45013865433.333336</v>
      </c>
      <c r="J27">
        <f>AVERAGEIFS(clean!K$2:K$998,clean!$B$2:$B$998,$A27,clean!$C$2:$C$998,$B27,clean!$D$2:$D$998,$C27,clean!$E$2:$E$998,$D27,clean!$F$2:$F$998,$E27)</f>
        <v>5.9399470467510769</v>
      </c>
      <c r="K27">
        <f>AVERAGEIFS(clean!L$2:L$998,clean!$B$2:$B$998,$A27,clean!$C$2:$C$998,$B27,clean!$D$2:$D$998,$C27,clean!$E$2:$E$998,$D27,clean!$F$2:$F$998,$E27)</f>
        <v>56560600</v>
      </c>
      <c r="L27">
        <f>AVERAGEIFS(clean!M$2:M$998,clean!$B$2:$B$998,$A27,clean!$C$2:$C$998,$B27,clean!$D$2:$D$998,$C27,clean!$E$2:$E$998,$D27,clean!$F$2:$F$998,$E27)</f>
        <v>318376166.66666669</v>
      </c>
      <c r="M27">
        <f>AVERAGEIFS(clean!N$2:N$998,clean!$B$2:$B$998,$A27,clean!$C$2:$C$998,$B27,clean!$D$2:$D$998,$C27,clean!$E$2:$E$998,$D27,clean!$F$2:$F$998,$E27)</f>
        <v>4334183866.666667</v>
      </c>
      <c r="N27">
        <f>AVERAGEIFS(clean!O$2:O$998,clean!$B$2:$B$998,$A27,clean!$C$2:$C$998,$B27,clean!$D$2:$D$998,$C27,clean!$E$2:$E$998,$D27,clean!$F$2:$F$998,$E27)</f>
        <v>4652560033.333333</v>
      </c>
      <c r="O27">
        <f>AVERAGEIFS(clean!P$2:P$998,clean!$B$2:$B$998,$A27,clean!$C$2:$C$998,$B27,clean!$D$2:$D$998,$C27,clean!$E$2:$E$998,$D27,clean!$F$2:$F$998,$E27)</f>
        <v>2552266.6666666665</v>
      </c>
      <c r="P27">
        <f>AVERAGEIFS(clean!Q$2:Q$998,clean!$B$2:$B$998,$A27,clean!$C$2:$C$998,$B27,clean!$D$2:$D$998,$C27,clean!$E$2:$E$998,$D27,clean!$F$2:$F$998,$E27)</f>
        <v>2812128566.6666665</v>
      </c>
      <c r="Q27">
        <f>AVERAGEIFS(clean!R$2:R$998,clean!$B$2:$B$998,$A27,clean!$C$2:$C$998,$B27,clean!$D$2:$D$998,$C27,clean!$E$2:$E$998,$D27,clean!$F$2:$F$998,$E27)</f>
        <v>2814680833.3333335</v>
      </c>
      <c r="R27">
        <f>AVERAGEIFS(clean!S$2:S$998,clean!$B$2:$B$998,$A27,clean!$C$2:$C$998,$B27,clean!$D$2:$D$998,$C27,clean!$E$2:$E$998,$D27,clean!$F$2:$F$998,$E27)</f>
        <v>696033.33333333337</v>
      </c>
      <c r="S27">
        <f t="shared" si="0"/>
        <v>53936866.666667141</v>
      </c>
      <c r="T27">
        <f>AVERAGEIFS(clean!T$2:T$998,clean!$B$2:$B$998,$A27,clean!$C$2:$C$998,$B27,clean!$D$2:$D$998,$C27,clean!$E$2:$E$998,$D27,clean!$F$2:$F$998,$E27)</f>
        <v>131028766.66666667</v>
      </c>
      <c r="U27">
        <f>AVERAGEIFS(clean!U$2:U$998,clean!$B$2:$B$998,$A27,clean!$C$2:$C$998,$B27,clean!$D$2:$D$998,$C27,clean!$E$2:$E$998,$D27,clean!$F$2:$F$998,$E27)</f>
        <v>25151748933.333332</v>
      </c>
      <c r="V27">
        <f>AVERAGEIFS(clean!V$2:V$998,clean!$B$2:$B$998,$A27,clean!$C$2:$C$998,$B27,clean!$D$2:$D$998,$C27,clean!$E$2:$E$998,$D27,clean!$F$2:$F$998,$E27)</f>
        <v>18954127200</v>
      </c>
      <c r="W27">
        <f>AVERAGEIFS(clean!W$2:W$998,clean!$B$2:$B$998,$A27,clean!$C$2:$C$998,$B27,clean!$D$2:$D$998,$C27,clean!$E$2:$E$998,$D27,clean!$F$2:$F$998,$E27)</f>
        <v>145266.66666666666</v>
      </c>
      <c r="X27">
        <f t="shared" si="1"/>
        <v>776815266.66667306</v>
      </c>
      <c r="Y27">
        <f>AVERAGEIFS(clean!X$2:X$998,clean!$B$2:$B$998,$A27,clean!$C$2:$C$998,$B27,clean!$D$2:$D$998,$C27,clean!$E$2:$E$998,$D27,clean!$F$2:$F$998,$E27)</f>
        <v>7578434366.666667</v>
      </c>
    </row>
    <row r="28" spans="1:25" x14ac:dyDescent="0.3">
      <c r="A28">
        <v>65536</v>
      </c>
      <c r="B28">
        <v>7</v>
      </c>
      <c r="C28">
        <v>512</v>
      </c>
      <c r="D28">
        <v>0.35</v>
      </c>
      <c r="E28">
        <v>7</v>
      </c>
      <c r="F28">
        <f>AVERAGEIFS(clean!G$2:G$998,clean!$B$2:$B$998,$A28,clean!$C$2:$C$998,$B28,clean!$D$2:$D$998,$C28,clean!$E$2:$E$998,$D28,clean!$F$2:$F$998,$E28)</f>
        <v>255</v>
      </c>
      <c r="G28">
        <f>AVERAGEIFS(clean!H$2:H$998,clean!$B$2:$B$998,$A28,clean!$C$2:$C$998,$B28,clean!$D$2:$D$998,$C28,clean!$E$2:$E$998,$D28,clean!$F$2:$F$998,$E28)</f>
        <v>7580</v>
      </c>
      <c r="H28">
        <f>AVERAGEIFS(clean!I$2:I$998,clean!$B$2:$B$998,$A28,clean!$C$2:$C$998,$B28,clean!$D$2:$D$998,$C28,clean!$E$2:$E$998,$D28,clean!$F$2:$F$998,$E28)</f>
        <v>7212967633.333333</v>
      </c>
      <c r="I28">
        <f>AVERAGEIFS(clean!J$2:J$998,clean!$B$2:$B$998,$A28,clean!$C$2:$C$998,$B28,clean!$D$2:$D$998,$C28,clean!$E$2:$E$998,$D28,clean!$F$2:$F$998,$E28)</f>
        <v>41870796900</v>
      </c>
      <c r="J28">
        <f>AVERAGEIFS(clean!K$2:K$998,clean!$B$2:$B$998,$A28,clean!$C$2:$C$998,$B28,clean!$D$2:$D$998,$C28,clean!$E$2:$E$998,$D28,clean!$F$2:$F$998,$E28)</f>
        <v>5.8088667679617565</v>
      </c>
      <c r="K28">
        <f>AVERAGEIFS(clean!L$2:L$998,clean!$B$2:$B$998,$A28,clean!$C$2:$C$998,$B28,clean!$D$2:$D$998,$C28,clean!$E$2:$E$998,$D28,clean!$F$2:$F$998,$E28)</f>
        <v>2861500</v>
      </c>
      <c r="L28">
        <f>AVERAGEIFS(clean!M$2:M$998,clean!$B$2:$B$998,$A28,clean!$C$2:$C$998,$B28,clean!$D$2:$D$998,$C28,clean!$E$2:$E$998,$D28,clean!$F$2:$F$998,$E28)</f>
        <v>1264223233.3333333</v>
      </c>
      <c r="M28">
        <f>AVERAGEIFS(clean!N$2:N$998,clean!$B$2:$B$998,$A28,clean!$C$2:$C$998,$B28,clean!$D$2:$D$998,$C28,clean!$E$2:$E$998,$D28,clean!$F$2:$F$998,$E28)</f>
        <v>1346338400</v>
      </c>
      <c r="N28">
        <f>AVERAGEIFS(clean!O$2:O$998,clean!$B$2:$B$998,$A28,clean!$C$2:$C$998,$B28,clean!$D$2:$D$998,$C28,clean!$E$2:$E$998,$D28,clean!$F$2:$F$998,$E28)</f>
        <v>2610561633.3333335</v>
      </c>
      <c r="O28">
        <f>AVERAGEIFS(clean!P$2:P$998,clean!$B$2:$B$998,$A28,clean!$C$2:$C$998,$B28,clean!$D$2:$D$998,$C28,clean!$E$2:$E$998,$D28,clean!$F$2:$F$998,$E28)</f>
        <v>77933.333333333328</v>
      </c>
      <c r="P28">
        <f>AVERAGEIFS(clean!Q$2:Q$998,clean!$B$2:$B$998,$A28,clean!$C$2:$C$998,$B28,clean!$D$2:$D$998,$C28,clean!$E$2:$E$998,$D28,clean!$F$2:$F$998,$E28)</f>
        <v>4105494600</v>
      </c>
      <c r="Q28">
        <f>AVERAGEIFS(clean!R$2:R$998,clean!$B$2:$B$998,$A28,clean!$C$2:$C$998,$B28,clean!$D$2:$D$998,$C28,clean!$E$2:$E$998,$D28,clean!$F$2:$F$998,$E28)</f>
        <v>4105572533.3333335</v>
      </c>
      <c r="R28">
        <f>AVERAGEIFS(clean!S$2:S$998,clean!$B$2:$B$998,$A28,clean!$C$2:$C$998,$B28,clean!$D$2:$D$998,$C28,clean!$E$2:$E$998,$D28,clean!$F$2:$F$998,$E28)</f>
        <v>698133.33333333337</v>
      </c>
      <c r="S28">
        <f t="shared" si="0"/>
        <v>493273833.33333319</v>
      </c>
      <c r="T28">
        <f>AVERAGEIFS(clean!T$2:T$998,clean!$B$2:$B$998,$A28,clean!$C$2:$C$998,$B28,clean!$D$2:$D$998,$C28,clean!$E$2:$E$998,$D28,clean!$F$2:$F$998,$E28)</f>
        <v>15092000</v>
      </c>
      <c r="U28">
        <f>AVERAGEIFS(clean!U$2:U$998,clean!$B$2:$B$998,$A28,clean!$C$2:$C$998,$B28,clean!$D$2:$D$998,$C28,clean!$E$2:$E$998,$D28,clean!$F$2:$F$998,$E28)</f>
        <v>7187252900</v>
      </c>
      <c r="V28">
        <f>AVERAGEIFS(clean!V$2:V$998,clean!$B$2:$B$998,$A28,clean!$C$2:$C$998,$B28,clean!$D$2:$D$998,$C28,clean!$E$2:$E$998,$D28,clean!$F$2:$F$998,$E28)</f>
        <v>33000440766.666668</v>
      </c>
      <c r="W28">
        <f>AVERAGEIFS(clean!W$2:W$998,clean!$B$2:$B$998,$A28,clean!$C$2:$C$998,$B28,clean!$D$2:$D$998,$C28,clean!$E$2:$E$998,$D28,clean!$F$2:$F$998,$E28)</f>
        <v>186133.33333333334</v>
      </c>
      <c r="X28">
        <f t="shared" si="1"/>
        <v>1667825099.9999988</v>
      </c>
      <c r="Y28">
        <f>AVERAGEIFS(clean!X$2:X$998,clean!$B$2:$B$998,$A28,clean!$C$2:$C$998,$B28,clean!$D$2:$D$998,$C28,clean!$E$2:$E$998,$D28,clean!$F$2:$F$998,$E28)</f>
        <v>7212967633.333333</v>
      </c>
    </row>
    <row r="29" spans="1:25" x14ac:dyDescent="0.3">
      <c r="A29">
        <v>65536</v>
      </c>
      <c r="B29">
        <v>5</v>
      </c>
      <c r="C29">
        <v>216</v>
      </c>
      <c r="D29">
        <v>0.2</v>
      </c>
      <c r="E29">
        <v>9</v>
      </c>
      <c r="F29">
        <f>AVERAGEIFS(clean!G$2:G$998,clean!$B$2:$B$998,$A29,clean!$C$2:$C$998,$B29,clean!$D$2:$D$998,$C29,clean!$E$2:$E$998,$D29,clean!$F$2:$F$998,$E29)</f>
        <v>1023</v>
      </c>
      <c r="G29">
        <f>AVERAGEIFS(clean!H$2:H$998,clean!$B$2:$B$998,$A29,clean!$C$2:$C$998,$B29,clean!$D$2:$D$998,$C29,clean!$E$2:$E$998,$D29,clean!$F$2:$F$998,$E29)</f>
        <v>161638.66666666666</v>
      </c>
      <c r="H29">
        <f>AVERAGEIFS(clean!I$2:I$998,clean!$B$2:$B$998,$A29,clean!$C$2:$C$998,$B29,clean!$D$2:$D$998,$C29,clean!$E$2:$E$998,$D29,clean!$F$2:$F$998,$E29)</f>
        <v>9038576033.333334</v>
      </c>
      <c r="I29">
        <f>AVERAGEIFS(clean!J$2:J$998,clean!$B$2:$B$998,$A29,clean!$C$2:$C$998,$B29,clean!$D$2:$D$998,$C29,clean!$E$2:$E$998,$D29,clean!$F$2:$F$998,$E29)</f>
        <v>53978159733.333336</v>
      </c>
      <c r="J29">
        <f>AVERAGEIFS(clean!K$2:K$998,clean!$B$2:$B$998,$A29,clean!$C$2:$C$998,$B29,clean!$D$2:$D$998,$C29,clean!$E$2:$E$998,$D29,clean!$F$2:$F$998,$E29)</f>
        <v>5.9743487365518329</v>
      </c>
      <c r="K29">
        <f>AVERAGEIFS(clean!L$2:L$998,clean!$B$2:$B$998,$A29,clean!$C$2:$C$998,$B29,clean!$D$2:$D$998,$C29,clean!$E$2:$E$998,$D29,clean!$F$2:$F$998,$E29)</f>
        <v>24014033.333333332</v>
      </c>
      <c r="L29">
        <f>AVERAGEIFS(clean!M$2:M$998,clean!$B$2:$B$998,$A29,clean!$C$2:$C$998,$B29,clean!$D$2:$D$998,$C29,clean!$E$2:$E$998,$D29,clean!$F$2:$F$998,$E29)</f>
        <v>536788466.66666669</v>
      </c>
      <c r="M29">
        <f>AVERAGEIFS(clean!N$2:N$998,clean!$B$2:$B$998,$A29,clean!$C$2:$C$998,$B29,clean!$D$2:$D$998,$C29,clean!$E$2:$E$998,$D29,clean!$F$2:$F$998,$E29)</f>
        <v>2854343633.3333335</v>
      </c>
      <c r="N29">
        <f>AVERAGEIFS(clean!O$2:O$998,clean!$B$2:$B$998,$A29,clean!$C$2:$C$998,$B29,clean!$D$2:$D$998,$C29,clean!$E$2:$E$998,$D29,clean!$F$2:$F$998,$E29)</f>
        <v>3391132100</v>
      </c>
      <c r="O29">
        <f>AVERAGEIFS(clean!P$2:P$998,clean!$B$2:$B$998,$A29,clean!$C$2:$C$998,$B29,clean!$D$2:$D$998,$C29,clean!$E$2:$E$998,$D29,clean!$F$2:$F$998,$E29)</f>
        <v>495933.33333333331</v>
      </c>
      <c r="P29">
        <f>AVERAGEIFS(clean!Q$2:Q$998,clean!$B$2:$B$998,$A29,clean!$C$2:$C$998,$B29,clean!$D$2:$D$998,$C29,clean!$E$2:$E$998,$D29,clean!$F$2:$F$998,$E29)</f>
        <v>5400274766.666667</v>
      </c>
      <c r="Q29">
        <f>AVERAGEIFS(clean!R$2:R$998,clean!$B$2:$B$998,$A29,clean!$C$2:$C$998,$B29,clean!$D$2:$D$998,$C29,clean!$E$2:$E$998,$D29,clean!$F$2:$F$998,$E29)</f>
        <v>5400770700</v>
      </c>
      <c r="R29">
        <f>AVERAGEIFS(clean!S$2:S$998,clean!$B$2:$B$998,$A29,clean!$C$2:$C$998,$B29,clean!$D$2:$D$998,$C29,clean!$E$2:$E$998,$D29,clean!$F$2:$F$998,$E29)</f>
        <v>763233.33333333337</v>
      </c>
      <c r="S29">
        <f t="shared" si="0"/>
        <v>221895966.66666666</v>
      </c>
      <c r="T29">
        <f>AVERAGEIFS(clean!T$2:T$998,clean!$B$2:$B$998,$A29,clean!$C$2:$C$998,$B29,clean!$D$2:$D$998,$C29,clean!$E$2:$E$998,$D29,clean!$F$2:$F$998,$E29)</f>
        <v>18055333.333333332</v>
      </c>
      <c r="U29">
        <f>AVERAGEIFS(clean!U$2:U$998,clean!$B$2:$B$998,$A29,clean!$C$2:$C$998,$B29,clean!$D$2:$D$998,$C29,clean!$E$2:$E$998,$D29,clean!$F$2:$F$998,$E29)</f>
        <v>13659145800</v>
      </c>
      <c r="V29">
        <f>AVERAGEIFS(clean!V$2:V$998,clean!$B$2:$B$998,$A29,clean!$C$2:$C$998,$B29,clean!$D$2:$D$998,$C29,clean!$E$2:$E$998,$D29,clean!$F$2:$F$998,$E29)</f>
        <v>39145319400</v>
      </c>
      <c r="W29">
        <f>AVERAGEIFS(clean!W$2:W$998,clean!$B$2:$B$998,$A29,clean!$C$2:$C$998,$B29,clean!$D$2:$D$998,$C29,clean!$E$2:$E$998,$D29,clean!$F$2:$F$998,$E29)</f>
        <v>161300</v>
      </c>
      <c r="X29">
        <f t="shared" si="1"/>
        <v>1155477900</v>
      </c>
      <c r="Y29">
        <f>AVERAGEIFS(clean!X$2:X$998,clean!$B$2:$B$998,$A29,clean!$C$2:$C$998,$B29,clean!$D$2:$D$998,$C29,clean!$E$2:$E$998,$D29,clean!$F$2:$F$998,$E29)</f>
        <v>9038576033.333334</v>
      </c>
    </row>
    <row r="30" spans="1:25" x14ac:dyDescent="0.3">
      <c r="A30">
        <v>65536</v>
      </c>
      <c r="B30">
        <v>6</v>
      </c>
      <c r="C30">
        <v>343</v>
      </c>
      <c r="D30">
        <v>0.2</v>
      </c>
      <c r="E30">
        <v>8</v>
      </c>
      <c r="F30">
        <f>AVERAGEIFS(clean!G$2:G$998,clean!$B$2:$B$998,$A30,clean!$C$2:$C$998,$B30,clean!$D$2:$D$998,$C30,clean!$E$2:$E$998,$D30,clean!$F$2:$F$998,$E30)</f>
        <v>511</v>
      </c>
      <c r="G30">
        <f>AVERAGEIFS(clean!H$2:H$998,clean!$B$2:$B$998,$A30,clean!$C$2:$C$998,$B30,clean!$D$2:$D$998,$C30,clean!$E$2:$E$998,$D30,clean!$F$2:$F$998,$E30)</f>
        <v>56110.666666666664</v>
      </c>
      <c r="H30">
        <f>AVERAGEIFS(clean!I$2:I$998,clean!$B$2:$B$998,$A30,clean!$C$2:$C$998,$B30,clean!$D$2:$D$998,$C30,clean!$E$2:$E$998,$D30,clean!$F$2:$F$998,$E30)</f>
        <v>9743496533.333334</v>
      </c>
      <c r="I30">
        <f>AVERAGEIFS(clean!J$2:J$998,clean!$B$2:$B$998,$A30,clean!$C$2:$C$998,$B30,clean!$D$2:$D$998,$C30,clean!$E$2:$E$998,$D30,clean!$F$2:$F$998,$E30)</f>
        <v>62716126633.333336</v>
      </c>
      <c r="J30">
        <f>AVERAGEIFS(clean!K$2:K$998,clean!$B$2:$B$998,$A30,clean!$C$2:$C$998,$B30,clean!$D$2:$D$998,$C30,clean!$E$2:$E$998,$D30,clean!$F$2:$F$998,$E30)</f>
        <v>6.4395326398205066</v>
      </c>
      <c r="K30">
        <f>AVERAGEIFS(clean!L$2:L$998,clean!$B$2:$B$998,$A30,clean!$C$2:$C$998,$B30,clean!$D$2:$D$998,$C30,clean!$E$2:$E$998,$D30,clean!$F$2:$F$998,$E30)</f>
        <v>6186566.666666667</v>
      </c>
      <c r="L30">
        <f>AVERAGEIFS(clean!M$2:M$998,clean!$B$2:$B$998,$A30,clean!$C$2:$C$998,$B30,clean!$D$2:$D$998,$C30,clean!$E$2:$E$998,$D30,clean!$F$2:$F$998,$E30)</f>
        <v>1101902933.3333333</v>
      </c>
      <c r="M30">
        <f>AVERAGEIFS(clean!N$2:N$998,clean!$B$2:$B$998,$A30,clean!$C$2:$C$998,$B30,clean!$D$2:$D$998,$C30,clean!$E$2:$E$998,$D30,clean!$F$2:$F$998,$E30)</f>
        <v>833323800</v>
      </c>
      <c r="N30">
        <f>AVERAGEIFS(clean!O$2:O$998,clean!$B$2:$B$998,$A30,clean!$C$2:$C$998,$B30,clean!$D$2:$D$998,$C30,clean!$E$2:$E$998,$D30,clean!$F$2:$F$998,$E30)</f>
        <v>1935226733.3333333</v>
      </c>
      <c r="O30">
        <f>AVERAGEIFS(clean!P$2:P$998,clean!$B$2:$B$998,$A30,clean!$C$2:$C$998,$B30,clean!$D$2:$D$998,$C30,clean!$E$2:$E$998,$D30,clean!$F$2:$F$998,$E30)</f>
        <v>148233.33333333334</v>
      </c>
      <c r="P30">
        <f>AVERAGEIFS(clean!Q$2:Q$998,clean!$B$2:$B$998,$A30,clean!$C$2:$C$998,$B30,clean!$D$2:$D$998,$C30,clean!$E$2:$E$998,$D30,clean!$F$2:$F$998,$E30)</f>
        <v>7550143300</v>
      </c>
      <c r="Q30">
        <f>AVERAGEIFS(clean!R$2:R$998,clean!$B$2:$B$998,$A30,clean!$C$2:$C$998,$B30,clean!$D$2:$D$998,$C30,clean!$E$2:$E$998,$D30,clean!$F$2:$F$998,$E30)</f>
        <v>7550291533.333333</v>
      </c>
      <c r="R30">
        <f>AVERAGEIFS(clean!S$2:S$998,clean!$B$2:$B$998,$A30,clean!$C$2:$C$998,$B30,clean!$D$2:$D$998,$C30,clean!$E$2:$E$998,$D30,clean!$F$2:$F$998,$E30)</f>
        <v>784700</v>
      </c>
      <c r="S30">
        <f t="shared" si="0"/>
        <v>251007000.00000191</v>
      </c>
      <c r="T30">
        <f>AVERAGEIFS(clean!T$2:T$998,clean!$B$2:$B$998,$A30,clean!$C$2:$C$998,$B30,clean!$D$2:$D$998,$C30,clean!$E$2:$E$998,$D30,clean!$F$2:$F$998,$E30)</f>
        <v>17340700</v>
      </c>
      <c r="U30">
        <f>AVERAGEIFS(clean!U$2:U$998,clean!$B$2:$B$998,$A30,clean!$C$2:$C$998,$B30,clean!$D$2:$D$998,$C30,clean!$E$2:$E$998,$D30,clean!$F$2:$F$998,$E30)</f>
        <v>3957610600</v>
      </c>
      <c r="V30">
        <f>AVERAGEIFS(clean!V$2:V$998,clean!$B$2:$B$998,$A30,clean!$C$2:$C$998,$B30,clean!$D$2:$D$998,$C30,clean!$E$2:$E$998,$D30,clean!$F$2:$F$998,$E30)</f>
        <v>57333202800</v>
      </c>
      <c r="W30">
        <f>AVERAGEIFS(clean!W$2:W$998,clean!$B$2:$B$998,$A30,clean!$C$2:$C$998,$B30,clean!$D$2:$D$998,$C30,clean!$E$2:$E$998,$D30,clean!$F$2:$F$998,$E30)</f>
        <v>156700</v>
      </c>
      <c r="X30">
        <f t="shared" si="1"/>
        <v>1407815833.3333359</v>
      </c>
      <c r="Y30">
        <f>AVERAGEIFS(clean!X$2:X$998,clean!$B$2:$B$998,$A30,clean!$C$2:$C$998,$B30,clean!$D$2:$D$998,$C30,clean!$E$2:$E$998,$D30,clean!$F$2:$F$998,$E30)</f>
        <v>9743496533.333334</v>
      </c>
    </row>
    <row r="31" spans="1:25" x14ac:dyDescent="0.3">
      <c r="A31">
        <v>65536</v>
      </c>
      <c r="B31">
        <v>7</v>
      </c>
      <c r="C31">
        <v>512</v>
      </c>
      <c r="D31">
        <v>0.2</v>
      </c>
      <c r="E31">
        <v>7</v>
      </c>
      <c r="F31">
        <f>AVERAGEIFS(clean!G$2:G$998,clean!$B$2:$B$998,$A31,clean!$C$2:$C$998,$B31,clean!$D$2:$D$998,$C31,clean!$E$2:$E$998,$D31,clean!$F$2:$F$998,$E31)</f>
        <v>255</v>
      </c>
      <c r="G31">
        <f>AVERAGEIFS(clean!H$2:H$998,clean!$B$2:$B$998,$A31,clean!$C$2:$C$998,$B31,clean!$D$2:$D$998,$C31,clean!$E$2:$E$998,$D31,clean!$F$2:$F$998,$E31)</f>
        <v>15781.333333333334</v>
      </c>
      <c r="H31">
        <f>AVERAGEIFS(clean!I$2:I$998,clean!$B$2:$B$998,$A31,clean!$C$2:$C$998,$B31,clean!$D$2:$D$998,$C31,clean!$E$2:$E$998,$D31,clean!$F$2:$F$998,$E31)</f>
        <v>10202870800</v>
      </c>
      <c r="I31">
        <f>AVERAGEIFS(clean!J$2:J$998,clean!$B$2:$B$998,$A31,clean!$C$2:$C$998,$B31,clean!$D$2:$D$998,$C31,clean!$E$2:$E$998,$D31,clean!$F$2:$F$998,$E31)</f>
        <v>69069033200</v>
      </c>
      <c r="J31">
        <f>AVERAGEIFS(clean!K$2:K$998,clean!$B$2:$B$998,$A31,clean!$C$2:$C$998,$B31,clean!$D$2:$D$998,$C31,clean!$E$2:$E$998,$D31,clean!$F$2:$F$998,$E31)</f>
        <v>6.7700990085421537</v>
      </c>
      <c r="K31">
        <f>AVERAGEIFS(clean!L$2:L$998,clean!$B$2:$B$998,$A31,clean!$C$2:$C$998,$B31,clean!$D$2:$D$998,$C31,clean!$E$2:$E$998,$D31,clean!$F$2:$F$998,$E31)</f>
        <v>1639533.3333333333</v>
      </c>
      <c r="L31">
        <f>AVERAGEIFS(clean!M$2:M$998,clean!$B$2:$B$998,$A31,clean!$C$2:$C$998,$B31,clean!$D$2:$D$998,$C31,clean!$E$2:$E$998,$D31,clean!$F$2:$F$998,$E31)</f>
        <v>1302739600</v>
      </c>
      <c r="M31">
        <f>AVERAGEIFS(clean!N$2:N$998,clean!$B$2:$B$998,$A31,clean!$C$2:$C$998,$B31,clean!$D$2:$D$998,$C31,clean!$E$2:$E$998,$D31,clean!$F$2:$F$998,$E31)</f>
        <v>147498366.66666666</v>
      </c>
      <c r="N31">
        <f>AVERAGEIFS(clean!O$2:O$998,clean!$B$2:$B$998,$A31,clean!$C$2:$C$998,$B31,clean!$D$2:$D$998,$C31,clean!$E$2:$E$998,$D31,clean!$F$2:$F$998,$E31)</f>
        <v>1450237966.6666667</v>
      </c>
      <c r="O31">
        <f>AVERAGEIFS(clean!P$2:P$998,clean!$B$2:$B$998,$A31,clean!$C$2:$C$998,$B31,clean!$D$2:$D$998,$C31,clean!$E$2:$E$998,$D31,clean!$F$2:$F$998,$E31)</f>
        <v>75633.333333333328</v>
      </c>
      <c r="P31">
        <f>AVERAGEIFS(clean!Q$2:Q$998,clean!$B$2:$B$998,$A31,clean!$C$2:$C$998,$B31,clean!$D$2:$D$998,$C31,clean!$E$2:$E$998,$D31,clean!$F$2:$F$998,$E31)</f>
        <v>8558076366.666667</v>
      </c>
      <c r="Q31">
        <f>AVERAGEIFS(clean!R$2:R$998,clean!$B$2:$B$998,$A31,clean!$C$2:$C$998,$B31,clean!$D$2:$D$998,$C31,clean!$E$2:$E$998,$D31,clean!$F$2:$F$998,$E31)</f>
        <v>8558152000</v>
      </c>
      <c r="R31">
        <f>AVERAGEIFS(clean!S$2:S$998,clean!$B$2:$B$998,$A31,clean!$C$2:$C$998,$B31,clean!$D$2:$D$998,$C31,clean!$E$2:$E$998,$D31,clean!$F$2:$F$998,$E31)</f>
        <v>712566.66666666663</v>
      </c>
      <c r="S31">
        <f t="shared" si="0"/>
        <v>192128733.33333334</v>
      </c>
      <c r="T31">
        <f>AVERAGEIFS(clean!T$2:T$998,clean!$B$2:$B$998,$A31,clean!$C$2:$C$998,$B31,clean!$D$2:$D$998,$C31,clean!$E$2:$E$998,$D31,clean!$F$2:$F$998,$E31)</f>
        <v>13858900</v>
      </c>
      <c r="U31">
        <f>AVERAGEIFS(clean!U$2:U$998,clean!$B$2:$B$998,$A31,clean!$C$2:$C$998,$B31,clean!$D$2:$D$998,$C31,clean!$E$2:$E$998,$D31,clean!$F$2:$F$998,$E31)</f>
        <v>744533666.66666663</v>
      </c>
      <c r="V31">
        <f>AVERAGEIFS(clean!V$2:V$998,clean!$B$2:$B$998,$A31,clean!$C$2:$C$998,$B31,clean!$D$2:$D$998,$C31,clean!$E$2:$E$998,$D31,clean!$F$2:$F$998,$E31)</f>
        <v>66574729033.333336</v>
      </c>
      <c r="W31">
        <f>AVERAGEIFS(clean!W$2:W$998,clean!$B$2:$B$998,$A31,clean!$C$2:$C$998,$B31,clean!$D$2:$D$998,$C31,clean!$E$2:$E$998,$D31,clean!$F$2:$F$998,$E31)</f>
        <v>169533.33333333334</v>
      </c>
      <c r="X31">
        <f t="shared" si="1"/>
        <v>1735742066.6666667</v>
      </c>
      <c r="Y31">
        <f>AVERAGEIFS(clean!X$2:X$998,clean!$B$2:$B$998,$A31,clean!$C$2:$C$998,$B31,clean!$D$2:$D$998,$C31,clean!$E$2:$E$998,$D31,clean!$F$2:$F$998,$E31)</f>
        <v>10202870800</v>
      </c>
    </row>
    <row r="32" spans="1:25" x14ac:dyDescent="0.3">
      <c r="A32">
        <v>131072</v>
      </c>
      <c r="B32">
        <v>5</v>
      </c>
      <c r="C32">
        <v>216</v>
      </c>
      <c r="D32">
        <v>0.95</v>
      </c>
      <c r="E32">
        <v>10</v>
      </c>
      <c r="F32">
        <f>AVERAGEIFS(clean!G$2:G$998,clean!$B$2:$B$998,$A32,clean!$C$2:$C$998,$B32,clean!$D$2:$D$998,$C32,clean!$E$2:$E$998,$D32,clean!$F$2:$F$998,$E32)</f>
        <v>2047</v>
      </c>
      <c r="G32">
        <f>AVERAGEIFS(clean!H$2:H$998,clean!$B$2:$B$998,$A32,clean!$C$2:$C$998,$B32,clean!$D$2:$D$998,$C32,clean!$E$2:$E$998,$D32,clean!$F$2:$F$998,$E32)</f>
        <v>2048</v>
      </c>
      <c r="H32">
        <f>AVERAGEIFS(clean!I$2:I$998,clean!$B$2:$B$998,$A32,clean!$C$2:$C$998,$B32,clean!$D$2:$D$998,$C32,clean!$E$2:$E$998,$D32,clean!$F$2:$F$998,$E32)</f>
        <v>1578618800</v>
      </c>
      <c r="I32">
        <f>AVERAGEIFS(clean!J$2:J$998,clean!$B$2:$B$998,$A32,clean!$C$2:$C$998,$B32,clean!$D$2:$D$998,$C32,clean!$E$2:$E$998,$D32,clean!$F$2:$F$998,$E32)</f>
        <v>5131480266.666667</v>
      </c>
      <c r="J32">
        <f>AVERAGEIFS(clean!K$2:K$998,clean!$B$2:$B$998,$A32,clean!$C$2:$C$998,$B32,clean!$D$2:$D$998,$C32,clean!$E$2:$E$998,$D32,clean!$F$2:$F$998,$E32)</f>
        <v>3.2515835334393137</v>
      </c>
      <c r="K32">
        <f>AVERAGEIFS(clean!L$2:L$998,clean!$B$2:$B$998,$A32,clean!$C$2:$C$998,$B32,clean!$D$2:$D$998,$C32,clean!$E$2:$E$998,$D32,clean!$F$2:$F$998,$E32)</f>
        <v>814700</v>
      </c>
      <c r="L32">
        <f>AVERAGEIFS(clean!M$2:M$998,clean!$B$2:$B$998,$A32,clean!$C$2:$C$998,$B32,clean!$D$2:$D$998,$C32,clean!$E$2:$E$998,$D32,clean!$F$2:$F$998,$E32)</f>
        <v>910663133.33333337</v>
      </c>
      <c r="M32">
        <f>AVERAGEIFS(clean!N$2:N$998,clean!$B$2:$B$998,$A32,clean!$C$2:$C$998,$B32,clean!$D$2:$D$998,$C32,clean!$E$2:$E$998,$D32,clean!$F$2:$F$998,$E32)</f>
        <v>445931533.33333331</v>
      </c>
      <c r="N32">
        <f>AVERAGEIFS(clean!O$2:O$998,clean!$B$2:$B$998,$A32,clean!$C$2:$C$998,$B32,clean!$D$2:$D$998,$C32,clean!$E$2:$E$998,$D32,clean!$F$2:$F$998,$E32)</f>
        <v>1356594666.6666667</v>
      </c>
      <c r="O32">
        <f>AVERAGEIFS(clean!P$2:P$998,clean!$B$2:$B$998,$A32,clean!$C$2:$C$998,$B32,clean!$D$2:$D$998,$C32,clean!$E$2:$E$998,$D32,clean!$F$2:$F$998,$E32)</f>
        <v>87633.333333333328</v>
      </c>
      <c r="P32">
        <f>AVERAGEIFS(clean!Q$2:Q$998,clean!$B$2:$B$998,$A32,clean!$C$2:$C$998,$B32,clean!$D$2:$D$998,$C32,clean!$E$2:$E$998,$D32,clean!$F$2:$F$998,$E32)</f>
        <v>73060866.666666672</v>
      </c>
      <c r="Q32">
        <f>AVERAGEIFS(clean!R$2:R$998,clean!$B$2:$B$998,$A32,clean!$C$2:$C$998,$B32,clean!$D$2:$D$998,$C32,clean!$E$2:$E$998,$D32,clean!$F$2:$F$998,$E32)</f>
        <v>73148500</v>
      </c>
      <c r="R32">
        <f>AVERAGEIFS(clean!S$2:S$998,clean!$B$2:$B$998,$A32,clean!$C$2:$C$998,$B32,clean!$D$2:$D$998,$C32,clean!$E$2:$E$998,$D32,clean!$F$2:$F$998,$E32)</f>
        <v>1237566.6666666667</v>
      </c>
      <c r="S32">
        <f t="shared" si="0"/>
        <v>146823366.6666666</v>
      </c>
      <c r="T32">
        <f>AVERAGEIFS(clean!T$2:T$998,clean!$B$2:$B$998,$A32,clean!$C$2:$C$998,$B32,clean!$D$2:$D$998,$C32,clean!$E$2:$E$998,$D32,clean!$F$2:$F$998,$E32)</f>
        <v>42395833.333333336</v>
      </c>
      <c r="U32">
        <f>AVERAGEIFS(clean!U$2:U$998,clean!$B$2:$B$998,$A32,clean!$C$2:$C$998,$B32,clean!$D$2:$D$998,$C32,clean!$E$2:$E$998,$D32,clean!$F$2:$F$998,$E32)</f>
        <v>2161283200</v>
      </c>
      <c r="V32">
        <f>AVERAGEIFS(clean!V$2:V$998,clean!$B$2:$B$998,$A32,clean!$C$2:$C$998,$B32,clean!$D$2:$D$998,$C32,clean!$E$2:$E$998,$D32,clean!$F$2:$F$998,$E32)</f>
        <v>509443666.66666669</v>
      </c>
      <c r="W32">
        <f>AVERAGEIFS(clean!W$2:W$998,clean!$B$2:$B$998,$A32,clean!$C$2:$C$998,$B32,clean!$D$2:$D$998,$C32,clean!$E$2:$E$998,$D32,clean!$F$2:$F$998,$E32)</f>
        <v>393133.33333333331</v>
      </c>
      <c r="X32">
        <f t="shared" si="1"/>
        <v>2417964433.333334</v>
      </c>
      <c r="Y32">
        <f>AVERAGEIFS(clean!X$2:X$998,clean!$B$2:$B$998,$A32,clean!$C$2:$C$998,$B32,clean!$D$2:$D$998,$C32,clean!$E$2:$E$998,$D32,clean!$F$2:$F$998,$E32)</f>
        <v>1578618800</v>
      </c>
    </row>
    <row r="33" spans="1:25" x14ac:dyDescent="0.3">
      <c r="A33">
        <v>131072</v>
      </c>
      <c r="B33">
        <v>4</v>
      </c>
      <c r="C33">
        <v>125</v>
      </c>
      <c r="D33">
        <v>0.95</v>
      </c>
      <c r="E33">
        <v>11</v>
      </c>
      <c r="F33">
        <f>AVERAGEIFS(clean!G$2:G$998,clean!$B$2:$B$998,$A33,clean!$C$2:$C$998,$B33,clean!$D$2:$D$998,$C33,clean!$E$2:$E$998,$D33,clean!$F$2:$F$998,$E33)</f>
        <v>4095</v>
      </c>
      <c r="G33">
        <f>AVERAGEIFS(clean!H$2:H$998,clean!$B$2:$B$998,$A33,clean!$C$2:$C$998,$B33,clean!$D$2:$D$998,$C33,clean!$E$2:$E$998,$D33,clean!$F$2:$F$998,$E33)</f>
        <v>8192</v>
      </c>
      <c r="H33">
        <f>AVERAGEIFS(clean!I$2:I$998,clean!$B$2:$B$998,$A33,clean!$C$2:$C$998,$B33,clean!$D$2:$D$998,$C33,clean!$E$2:$E$998,$D33,clean!$F$2:$F$998,$E33)</f>
        <v>787174733.33333337</v>
      </c>
      <c r="I33">
        <f>AVERAGEIFS(clean!J$2:J$998,clean!$B$2:$B$998,$A33,clean!$C$2:$C$998,$B33,clean!$D$2:$D$998,$C33,clean!$E$2:$E$998,$D33,clean!$F$2:$F$998,$E33)</f>
        <v>3005159266.6666665</v>
      </c>
      <c r="J33">
        <f>AVERAGEIFS(clean!K$2:K$998,clean!$B$2:$B$998,$A33,clean!$C$2:$C$998,$B33,clean!$D$2:$D$998,$C33,clean!$E$2:$E$998,$D33,clean!$F$2:$F$998,$E33)</f>
        <v>3.8171601312070664</v>
      </c>
      <c r="K33">
        <f>AVERAGEIFS(clean!L$2:L$998,clean!$B$2:$B$998,$A33,clean!$C$2:$C$998,$B33,clean!$D$2:$D$998,$C33,clean!$E$2:$E$998,$D33,clean!$F$2:$F$998,$E33)</f>
        <v>1360666.6666666667</v>
      </c>
      <c r="L33">
        <f>AVERAGEIFS(clean!M$2:M$998,clean!$B$2:$B$998,$A33,clean!$C$2:$C$998,$B33,clean!$D$2:$D$998,$C33,clean!$E$2:$E$998,$D33,clean!$F$2:$F$998,$E33)</f>
        <v>468141600</v>
      </c>
      <c r="M33">
        <f>AVERAGEIFS(clean!N$2:N$998,clean!$B$2:$B$998,$A33,clean!$C$2:$C$998,$B33,clean!$D$2:$D$998,$C33,clean!$E$2:$E$998,$D33,clean!$F$2:$F$998,$E33)</f>
        <v>133447400</v>
      </c>
      <c r="N33">
        <f>AVERAGEIFS(clean!O$2:O$998,clean!$B$2:$B$998,$A33,clean!$C$2:$C$998,$B33,clean!$D$2:$D$998,$C33,clean!$E$2:$E$998,$D33,clean!$F$2:$F$998,$E33)</f>
        <v>601589000</v>
      </c>
      <c r="O33">
        <f>AVERAGEIFS(clean!P$2:P$998,clean!$B$2:$B$998,$A33,clean!$C$2:$C$998,$B33,clean!$D$2:$D$998,$C33,clean!$E$2:$E$998,$D33,clean!$F$2:$F$998,$E33)</f>
        <v>133133.33333333334</v>
      </c>
      <c r="P33">
        <f>AVERAGEIFS(clean!Q$2:Q$998,clean!$B$2:$B$998,$A33,clean!$C$2:$C$998,$B33,clean!$D$2:$D$998,$C33,clean!$E$2:$E$998,$D33,clean!$F$2:$F$998,$E33)</f>
        <v>73307466.666666672</v>
      </c>
      <c r="Q33">
        <f>AVERAGEIFS(clean!R$2:R$998,clean!$B$2:$B$998,$A33,clean!$C$2:$C$998,$B33,clean!$D$2:$D$998,$C33,clean!$E$2:$E$998,$D33,clean!$F$2:$F$998,$E33)</f>
        <v>73440600</v>
      </c>
      <c r="R33">
        <f>AVERAGEIFS(clean!S$2:S$998,clean!$B$2:$B$998,$A33,clean!$C$2:$C$998,$B33,clean!$D$2:$D$998,$C33,clean!$E$2:$E$998,$D33,clean!$F$2:$F$998,$E33)</f>
        <v>1289933.3333333333</v>
      </c>
      <c r="S33">
        <f t="shared" si="0"/>
        <v>109494533.33333342</v>
      </c>
      <c r="T33">
        <f>AVERAGEIFS(clean!T$2:T$998,clean!$B$2:$B$998,$A33,clean!$C$2:$C$998,$B33,clean!$D$2:$D$998,$C33,clean!$E$2:$E$998,$D33,clean!$F$2:$F$998,$E33)</f>
        <v>40988566.666666664</v>
      </c>
      <c r="U33">
        <f>AVERAGEIFS(clean!U$2:U$998,clean!$B$2:$B$998,$A33,clean!$C$2:$C$998,$B33,clean!$D$2:$D$998,$C33,clean!$E$2:$E$998,$D33,clean!$F$2:$F$998,$E33)</f>
        <v>736092433.33333337</v>
      </c>
      <c r="V33">
        <f>AVERAGEIFS(clean!V$2:V$998,clean!$B$2:$B$998,$A33,clean!$C$2:$C$998,$B33,clean!$D$2:$D$998,$C33,clean!$E$2:$E$998,$D33,clean!$F$2:$F$998,$E33)</f>
        <v>494883966.66666669</v>
      </c>
      <c r="W33">
        <f>AVERAGEIFS(clean!W$2:W$998,clean!$B$2:$B$998,$A33,clean!$C$2:$C$998,$B33,clean!$D$2:$D$998,$C33,clean!$E$2:$E$998,$D33,clean!$F$2:$F$998,$E33)</f>
        <v>357266.66666666669</v>
      </c>
      <c r="X33">
        <f t="shared" si="1"/>
        <v>1732837033.333333</v>
      </c>
      <c r="Y33">
        <f>AVERAGEIFS(clean!X$2:X$998,clean!$B$2:$B$998,$A33,clean!$C$2:$C$998,$B33,clean!$D$2:$D$998,$C33,clean!$E$2:$E$998,$D33,clean!$F$2:$F$998,$E33)</f>
        <v>787174733.33333337</v>
      </c>
    </row>
    <row r="34" spans="1:25" x14ac:dyDescent="0.3">
      <c r="A34">
        <v>131072</v>
      </c>
      <c r="B34">
        <v>3</v>
      </c>
      <c r="C34">
        <v>64</v>
      </c>
      <c r="D34">
        <v>0.95</v>
      </c>
      <c r="E34">
        <v>11</v>
      </c>
      <c r="F34">
        <f>AVERAGEIFS(clean!G$2:G$998,clean!$B$2:$B$998,$A34,clean!$C$2:$C$998,$B34,clean!$D$2:$D$998,$C34,clean!$E$2:$E$998,$D34,clean!$F$2:$F$998,$E34)</f>
        <v>4095</v>
      </c>
      <c r="G34">
        <f>AVERAGEIFS(clean!H$2:H$998,clean!$B$2:$B$998,$A34,clean!$C$2:$C$998,$B34,clean!$D$2:$D$998,$C34,clean!$E$2:$E$998,$D34,clean!$F$2:$F$998,$E34)</f>
        <v>8192</v>
      </c>
      <c r="H34">
        <f>AVERAGEIFS(clean!I$2:I$998,clean!$B$2:$B$998,$A34,clean!$C$2:$C$998,$B34,clean!$D$2:$D$998,$C34,clean!$E$2:$E$998,$D34,clean!$F$2:$F$998,$E34)</f>
        <v>451314833.33333331</v>
      </c>
      <c r="I34">
        <f>AVERAGEIFS(clean!J$2:J$998,clean!$B$2:$B$998,$A34,clean!$C$2:$C$998,$B34,clean!$D$2:$D$998,$C34,clean!$E$2:$E$998,$D34,clean!$F$2:$F$998,$E34)</f>
        <v>1395534633.3333333</v>
      </c>
      <c r="J34">
        <f>AVERAGEIFS(clean!K$2:K$998,clean!$B$2:$B$998,$A34,clean!$C$2:$C$998,$B34,clean!$D$2:$D$998,$C34,clean!$E$2:$E$998,$D34,clean!$F$2:$F$998,$E34)</f>
        <v>3.1520794343779368</v>
      </c>
      <c r="K34">
        <f>AVERAGEIFS(clean!L$2:L$998,clean!$B$2:$B$998,$A34,clean!$C$2:$C$998,$B34,clean!$D$2:$D$998,$C34,clean!$E$2:$E$998,$D34,clean!$F$2:$F$998,$E34)</f>
        <v>1349066.6666666667</v>
      </c>
      <c r="L34">
        <f>AVERAGEIFS(clean!M$2:M$998,clean!$B$2:$B$998,$A34,clean!$C$2:$C$998,$B34,clean!$D$2:$D$998,$C34,clean!$E$2:$E$998,$D34,clean!$F$2:$F$998,$E34)</f>
        <v>240410300</v>
      </c>
      <c r="M34">
        <f>AVERAGEIFS(clean!N$2:N$998,clean!$B$2:$B$998,$A34,clean!$C$2:$C$998,$B34,clean!$D$2:$D$998,$C34,clean!$E$2:$E$998,$D34,clean!$F$2:$F$998,$E34)</f>
        <v>49700300</v>
      </c>
      <c r="N34">
        <f>AVERAGEIFS(clean!O$2:O$998,clean!$B$2:$B$998,$A34,clean!$C$2:$C$998,$B34,clean!$D$2:$D$998,$C34,clean!$E$2:$E$998,$D34,clean!$F$2:$F$998,$E34)</f>
        <v>290110600</v>
      </c>
      <c r="O34">
        <f>AVERAGEIFS(clean!P$2:P$998,clean!$B$2:$B$998,$A34,clean!$C$2:$C$998,$B34,clean!$D$2:$D$998,$C34,clean!$E$2:$E$998,$D34,clean!$F$2:$F$998,$E34)</f>
        <v>108933.33333333333</v>
      </c>
      <c r="P34">
        <f>AVERAGEIFS(clean!Q$2:Q$998,clean!$B$2:$B$998,$A34,clean!$C$2:$C$998,$B34,clean!$D$2:$D$998,$C34,clean!$E$2:$E$998,$D34,clean!$F$2:$F$998,$E34)</f>
        <v>88271833.333333328</v>
      </c>
      <c r="Q34">
        <f>AVERAGEIFS(clean!R$2:R$998,clean!$B$2:$B$998,$A34,clean!$C$2:$C$998,$B34,clean!$D$2:$D$998,$C34,clean!$E$2:$E$998,$D34,clean!$F$2:$F$998,$E34)</f>
        <v>88380766.666666672</v>
      </c>
      <c r="R34">
        <f>AVERAGEIFS(clean!S$2:S$998,clean!$B$2:$B$998,$A34,clean!$C$2:$C$998,$B34,clean!$D$2:$D$998,$C34,clean!$E$2:$E$998,$D34,clean!$F$2:$F$998,$E34)</f>
        <v>1230200</v>
      </c>
      <c r="S34">
        <f t="shared" si="0"/>
        <v>70244199.999999955</v>
      </c>
      <c r="T34">
        <f>AVERAGEIFS(clean!T$2:T$998,clean!$B$2:$B$998,$A34,clean!$C$2:$C$998,$B34,clean!$D$2:$D$998,$C34,clean!$E$2:$E$998,$D34,clean!$F$2:$F$998,$E34)</f>
        <v>39581933.333333336</v>
      </c>
      <c r="U34">
        <f>AVERAGEIFS(clean!U$2:U$998,clean!$B$2:$B$998,$A34,clean!$C$2:$C$998,$B34,clean!$D$2:$D$998,$C34,clean!$E$2:$E$998,$D34,clean!$F$2:$F$998,$E34)</f>
        <v>198146500</v>
      </c>
      <c r="V34">
        <f>AVERAGEIFS(clean!V$2:V$998,clean!$B$2:$B$998,$A34,clean!$C$2:$C$998,$B34,clean!$D$2:$D$998,$C34,clean!$E$2:$E$998,$D34,clean!$F$2:$F$998,$E34)</f>
        <v>496889933.33333331</v>
      </c>
      <c r="W34">
        <f>AVERAGEIFS(clean!W$2:W$998,clean!$B$2:$B$998,$A34,clean!$C$2:$C$998,$B34,clean!$D$2:$D$998,$C34,clean!$E$2:$E$998,$D34,clean!$F$2:$F$998,$E34)</f>
        <v>376066.66666666669</v>
      </c>
      <c r="X34">
        <f t="shared" si="1"/>
        <v>660540200.00000012</v>
      </c>
      <c r="Y34">
        <f>AVERAGEIFS(clean!X$2:X$998,clean!$B$2:$B$998,$A34,clean!$C$2:$C$998,$B34,clean!$D$2:$D$998,$C34,clean!$E$2:$E$998,$D34,clean!$F$2:$F$998,$E34)</f>
        <v>451314833.33333331</v>
      </c>
    </row>
    <row r="35" spans="1:25" x14ac:dyDescent="0.3">
      <c r="A35">
        <v>131072</v>
      </c>
      <c r="B35">
        <v>4</v>
      </c>
      <c r="C35">
        <v>125</v>
      </c>
      <c r="D35">
        <v>0.8</v>
      </c>
      <c r="E35">
        <v>11</v>
      </c>
      <c r="F35">
        <f>AVERAGEIFS(clean!G$2:G$998,clean!$B$2:$B$998,$A35,clean!$C$2:$C$998,$B35,clean!$D$2:$D$998,$C35,clean!$E$2:$E$998,$D35,clean!$F$2:$F$998,$E35)</f>
        <v>4095</v>
      </c>
      <c r="G35">
        <f>AVERAGEIFS(clean!H$2:H$998,clean!$B$2:$B$998,$A35,clean!$C$2:$C$998,$B35,clean!$D$2:$D$998,$C35,clean!$E$2:$E$998,$D35,clean!$F$2:$F$998,$E35)</f>
        <v>14538.666666666666</v>
      </c>
      <c r="H35">
        <f>AVERAGEIFS(clean!I$2:I$998,clean!$B$2:$B$998,$A35,clean!$C$2:$C$998,$B35,clean!$D$2:$D$998,$C35,clean!$E$2:$E$998,$D35,clean!$F$2:$F$998,$E35)</f>
        <v>1160579633.3333333</v>
      </c>
      <c r="I35">
        <f>AVERAGEIFS(clean!J$2:J$998,clean!$B$2:$B$998,$A35,clean!$C$2:$C$998,$B35,clean!$D$2:$D$998,$C35,clean!$E$2:$E$998,$D35,clean!$F$2:$F$998,$E35)</f>
        <v>4664066133.333333</v>
      </c>
      <c r="J35">
        <f>AVERAGEIFS(clean!K$2:K$998,clean!$B$2:$B$998,$A35,clean!$C$2:$C$998,$B35,clean!$D$2:$D$998,$C35,clean!$E$2:$E$998,$D35,clean!$F$2:$F$998,$E35)</f>
        <v>4.0204891616167231</v>
      </c>
      <c r="K35">
        <f>AVERAGEIFS(clean!L$2:L$998,clean!$B$2:$B$998,$A35,clean!$C$2:$C$998,$B35,clean!$D$2:$D$998,$C35,clean!$E$2:$E$998,$D35,clean!$F$2:$F$998,$E35)</f>
        <v>3016233.3333333335</v>
      </c>
      <c r="L35">
        <f>AVERAGEIFS(clean!M$2:M$998,clean!$B$2:$B$998,$A35,clean!$C$2:$C$998,$B35,clean!$D$2:$D$998,$C35,clean!$E$2:$E$998,$D35,clean!$F$2:$F$998,$E35)</f>
        <v>542222833.33333337</v>
      </c>
      <c r="M35">
        <f>AVERAGEIFS(clean!N$2:N$998,clean!$B$2:$B$998,$A35,clean!$C$2:$C$998,$B35,clean!$D$2:$D$998,$C35,clean!$E$2:$E$998,$D35,clean!$F$2:$F$998,$E35)</f>
        <v>367819433.33333331</v>
      </c>
      <c r="N35">
        <f>AVERAGEIFS(clean!O$2:O$998,clean!$B$2:$B$998,$A35,clean!$C$2:$C$998,$B35,clean!$D$2:$D$998,$C35,clean!$E$2:$E$998,$D35,clean!$F$2:$F$998,$E35)</f>
        <v>910042266.66666663</v>
      </c>
      <c r="O35">
        <f>AVERAGEIFS(clean!P$2:P$998,clean!$B$2:$B$998,$A35,clean!$C$2:$C$998,$B35,clean!$D$2:$D$998,$C35,clean!$E$2:$E$998,$D35,clean!$F$2:$F$998,$E35)</f>
        <v>152533.33333333334</v>
      </c>
      <c r="P35">
        <f>AVERAGEIFS(clean!Q$2:Q$998,clean!$B$2:$B$998,$A35,clean!$C$2:$C$998,$B35,clean!$D$2:$D$998,$C35,clean!$E$2:$E$998,$D35,clean!$F$2:$F$998,$E35)</f>
        <v>130258200</v>
      </c>
      <c r="Q35">
        <f>AVERAGEIFS(clean!R$2:R$998,clean!$B$2:$B$998,$A35,clean!$C$2:$C$998,$B35,clean!$D$2:$D$998,$C35,clean!$E$2:$E$998,$D35,clean!$F$2:$F$998,$E35)</f>
        <v>130410733.33333333</v>
      </c>
      <c r="R35">
        <f>AVERAGEIFS(clean!S$2:S$998,clean!$B$2:$B$998,$A35,clean!$C$2:$C$998,$B35,clean!$D$2:$D$998,$C35,clean!$E$2:$E$998,$D35,clean!$F$2:$F$998,$E35)</f>
        <v>1368700</v>
      </c>
      <c r="S35">
        <f t="shared" si="0"/>
        <v>115741700.00000004</v>
      </c>
      <c r="T35">
        <f>AVERAGEIFS(clean!T$2:T$998,clean!$B$2:$B$998,$A35,clean!$C$2:$C$998,$B35,clean!$D$2:$D$998,$C35,clean!$E$2:$E$998,$D35,clean!$F$2:$F$998,$E35)</f>
        <v>43779033.333333336</v>
      </c>
      <c r="U35">
        <f>AVERAGEIFS(clean!U$2:U$998,clean!$B$2:$B$998,$A35,clean!$C$2:$C$998,$B35,clean!$D$2:$D$998,$C35,clean!$E$2:$E$998,$D35,clean!$F$2:$F$998,$E35)</f>
        <v>2109855100</v>
      </c>
      <c r="V35">
        <f>AVERAGEIFS(clean!V$2:V$998,clean!$B$2:$B$998,$A35,clean!$C$2:$C$998,$B35,clean!$D$2:$D$998,$C35,clean!$E$2:$E$998,$D35,clean!$F$2:$F$998,$E35)</f>
        <v>881094833.33333337</v>
      </c>
      <c r="W35">
        <f>AVERAGEIFS(clean!W$2:W$998,clean!$B$2:$B$998,$A35,clean!$C$2:$C$998,$B35,clean!$D$2:$D$998,$C35,clean!$E$2:$E$998,$D35,clean!$F$2:$F$998,$E35)</f>
        <v>393600</v>
      </c>
      <c r="X35">
        <f t="shared" si="1"/>
        <v>1628943566.6666665</v>
      </c>
      <c r="Y35">
        <f>AVERAGEIFS(clean!X$2:X$998,clean!$B$2:$B$998,$A35,clean!$C$2:$C$998,$B35,clean!$D$2:$D$998,$C35,clean!$E$2:$E$998,$D35,clean!$F$2:$F$998,$E35)</f>
        <v>1160579633.3333333</v>
      </c>
    </row>
    <row r="36" spans="1:25" x14ac:dyDescent="0.3">
      <c r="A36">
        <v>131072</v>
      </c>
      <c r="B36">
        <v>3</v>
      </c>
      <c r="C36">
        <v>64</v>
      </c>
      <c r="D36">
        <v>0.8</v>
      </c>
      <c r="E36">
        <v>11</v>
      </c>
      <c r="F36">
        <f>AVERAGEIFS(clean!G$2:G$998,clean!$B$2:$B$998,$A36,clean!$C$2:$C$998,$B36,clean!$D$2:$D$998,$C36,clean!$E$2:$E$998,$D36,clean!$F$2:$F$998,$E36)</f>
        <v>4095</v>
      </c>
      <c r="G36">
        <f>AVERAGEIFS(clean!H$2:H$998,clean!$B$2:$B$998,$A36,clean!$C$2:$C$998,$B36,clean!$D$2:$D$998,$C36,clean!$E$2:$E$998,$D36,clean!$F$2:$F$998,$E36)</f>
        <v>14613.333333333334</v>
      </c>
      <c r="H36">
        <f>AVERAGEIFS(clean!I$2:I$998,clean!$B$2:$B$998,$A36,clean!$C$2:$C$998,$B36,clean!$D$2:$D$998,$C36,clean!$E$2:$E$998,$D36,clean!$F$2:$F$998,$E36)</f>
        <v>582082066.66666663</v>
      </c>
      <c r="I36">
        <f>AVERAGEIFS(clean!J$2:J$998,clean!$B$2:$B$998,$A36,clean!$C$2:$C$998,$B36,clean!$D$2:$D$998,$C36,clean!$E$2:$E$998,$D36,clean!$F$2:$F$998,$E36)</f>
        <v>2481475433.3333335</v>
      </c>
      <c r="J36">
        <f>AVERAGEIFS(clean!K$2:K$998,clean!$B$2:$B$998,$A36,clean!$C$2:$C$998,$B36,clean!$D$2:$D$998,$C36,clean!$E$2:$E$998,$D36,clean!$F$2:$F$998,$E36)</f>
        <v>4.2730808206378867</v>
      </c>
      <c r="K36">
        <f>AVERAGEIFS(clean!L$2:L$998,clean!$B$2:$B$998,$A36,clean!$C$2:$C$998,$B36,clean!$D$2:$D$998,$C36,clean!$E$2:$E$998,$D36,clean!$F$2:$F$998,$E36)</f>
        <v>7901066.666666667</v>
      </c>
      <c r="L36">
        <f>AVERAGEIFS(clean!M$2:M$998,clean!$B$2:$B$998,$A36,clean!$C$2:$C$998,$B36,clean!$D$2:$D$998,$C36,clean!$E$2:$E$998,$D36,clean!$F$2:$F$998,$E36)</f>
        <v>227900666.66666666</v>
      </c>
      <c r="M36">
        <f>AVERAGEIFS(clean!N$2:N$998,clean!$B$2:$B$998,$A36,clean!$C$2:$C$998,$B36,clean!$D$2:$D$998,$C36,clean!$E$2:$E$998,$D36,clean!$F$2:$F$998,$E36)</f>
        <v>135683533.33333334</v>
      </c>
      <c r="N36">
        <f>AVERAGEIFS(clean!O$2:O$998,clean!$B$2:$B$998,$A36,clean!$C$2:$C$998,$B36,clean!$D$2:$D$998,$C36,clean!$E$2:$E$998,$D36,clean!$F$2:$F$998,$E36)</f>
        <v>363584200</v>
      </c>
      <c r="O36">
        <f>AVERAGEIFS(clean!P$2:P$998,clean!$B$2:$B$998,$A36,clean!$C$2:$C$998,$B36,clean!$D$2:$D$998,$C36,clean!$E$2:$E$998,$D36,clean!$F$2:$F$998,$E36)</f>
        <v>147633.33333333334</v>
      </c>
      <c r="P36">
        <f>AVERAGEIFS(clean!Q$2:Q$998,clean!$B$2:$B$998,$A36,clean!$C$2:$C$998,$B36,clean!$D$2:$D$998,$C36,clean!$E$2:$E$998,$D36,clean!$F$2:$F$998,$E36)</f>
        <v>143368800</v>
      </c>
      <c r="Q36">
        <f>AVERAGEIFS(clean!R$2:R$998,clean!$B$2:$B$998,$A36,clean!$C$2:$C$998,$B36,clean!$D$2:$D$998,$C36,clean!$E$2:$E$998,$D36,clean!$F$2:$F$998,$E36)</f>
        <v>143516433.33333334</v>
      </c>
      <c r="R36">
        <f>AVERAGEIFS(clean!S$2:S$998,clean!$B$2:$B$998,$A36,clean!$C$2:$C$998,$B36,clean!$D$2:$D$998,$C36,clean!$E$2:$E$998,$D36,clean!$F$2:$F$998,$E36)</f>
        <v>1204033.3333333333</v>
      </c>
      <c r="S36">
        <f t="shared" si="0"/>
        <v>65876333.333333321</v>
      </c>
      <c r="T36">
        <f>AVERAGEIFS(clean!T$2:T$998,clean!$B$2:$B$998,$A36,clean!$C$2:$C$998,$B36,clean!$D$2:$D$998,$C36,clean!$E$2:$E$998,$D36,clean!$F$2:$F$998,$E36)</f>
        <v>36481366.666666664</v>
      </c>
      <c r="U36">
        <f>AVERAGEIFS(clean!U$2:U$998,clean!$B$2:$B$998,$A36,clean!$C$2:$C$998,$B36,clean!$D$2:$D$998,$C36,clean!$E$2:$E$998,$D36,clean!$F$2:$F$998,$E36)</f>
        <v>570702333.33333337</v>
      </c>
      <c r="V36">
        <f>AVERAGEIFS(clean!V$2:V$998,clean!$B$2:$B$998,$A36,clean!$C$2:$C$998,$B36,clean!$D$2:$D$998,$C36,clean!$E$2:$E$998,$D36,clean!$F$2:$F$998,$E36)</f>
        <v>885087433.33333337</v>
      </c>
      <c r="W36">
        <f>AVERAGEIFS(clean!W$2:W$998,clean!$B$2:$B$998,$A36,clean!$C$2:$C$998,$B36,clean!$D$2:$D$998,$C36,clean!$E$2:$E$998,$D36,clean!$F$2:$F$998,$E36)</f>
        <v>364900</v>
      </c>
      <c r="X36">
        <f t="shared" si="1"/>
        <v>988839400.00000012</v>
      </c>
      <c r="Y36">
        <f>AVERAGEIFS(clean!X$2:X$998,clean!$B$2:$B$998,$A36,clean!$C$2:$C$998,$B36,clean!$D$2:$D$998,$C36,clean!$E$2:$E$998,$D36,clean!$F$2:$F$998,$E36)</f>
        <v>582082066.66666663</v>
      </c>
    </row>
    <row r="37" spans="1:25" x14ac:dyDescent="0.3">
      <c r="A37">
        <v>131072</v>
      </c>
      <c r="B37">
        <v>5</v>
      </c>
      <c r="C37">
        <v>216</v>
      </c>
      <c r="D37">
        <v>0.8</v>
      </c>
      <c r="E37">
        <v>10</v>
      </c>
      <c r="F37">
        <f>AVERAGEIFS(clean!G$2:G$998,clean!$B$2:$B$998,$A37,clean!$C$2:$C$998,$B37,clean!$D$2:$D$998,$C37,clean!$E$2:$E$998,$D37,clean!$F$2:$F$998,$E37)</f>
        <v>2047</v>
      </c>
      <c r="G37">
        <f>AVERAGEIFS(clean!H$2:H$998,clean!$B$2:$B$998,$A37,clean!$C$2:$C$998,$B37,clean!$D$2:$D$998,$C37,clean!$E$2:$E$998,$D37,clean!$F$2:$F$998,$E37)</f>
        <v>7340</v>
      </c>
      <c r="H37">
        <f>AVERAGEIFS(clean!I$2:I$998,clean!$B$2:$B$998,$A37,clean!$C$2:$C$998,$B37,clean!$D$2:$D$998,$C37,clean!$E$2:$E$998,$D37,clean!$F$2:$F$998,$E37)</f>
        <v>2538790400</v>
      </c>
      <c r="I37">
        <f>AVERAGEIFS(clean!J$2:J$998,clean!$B$2:$B$998,$A37,clean!$C$2:$C$998,$B37,clean!$D$2:$D$998,$C37,clean!$E$2:$E$998,$D37,clean!$F$2:$F$998,$E37)</f>
        <v>7347832033.333333</v>
      </c>
      <c r="J37">
        <f>AVERAGEIFS(clean!K$2:K$998,clean!$B$2:$B$998,$A37,clean!$C$2:$C$998,$B37,clean!$D$2:$D$998,$C37,clean!$E$2:$E$998,$D37,clean!$F$2:$F$998,$E37)</f>
        <v>2.8978737792101206</v>
      </c>
      <c r="K37">
        <f>AVERAGEIFS(clean!L$2:L$998,clean!$B$2:$B$998,$A37,clean!$C$2:$C$998,$B37,clean!$D$2:$D$998,$C37,clean!$E$2:$E$998,$D37,clean!$F$2:$F$998,$E37)</f>
        <v>1644566.6666666667</v>
      </c>
      <c r="L37">
        <f>AVERAGEIFS(clean!M$2:M$998,clean!$B$2:$B$998,$A37,clean!$C$2:$C$998,$B37,clean!$D$2:$D$998,$C37,clean!$E$2:$E$998,$D37,clean!$F$2:$F$998,$E37)</f>
        <v>861818566.66666663</v>
      </c>
      <c r="M37">
        <f>AVERAGEIFS(clean!N$2:N$998,clean!$B$2:$B$998,$A37,clean!$C$2:$C$998,$B37,clean!$D$2:$D$998,$C37,clean!$E$2:$E$998,$D37,clean!$F$2:$F$998,$E37)</f>
        <v>713420633.33333337</v>
      </c>
      <c r="N37">
        <f>AVERAGEIFS(clean!O$2:O$998,clean!$B$2:$B$998,$A37,clean!$C$2:$C$998,$B37,clean!$D$2:$D$998,$C37,clean!$E$2:$E$998,$D37,clean!$F$2:$F$998,$E37)</f>
        <v>1575239200</v>
      </c>
      <c r="O37">
        <f>AVERAGEIFS(clean!P$2:P$998,clean!$B$2:$B$998,$A37,clean!$C$2:$C$998,$B37,clean!$D$2:$D$998,$C37,clean!$E$2:$E$998,$D37,clean!$F$2:$F$998,$E37)</f>
        <v>79833.333333333328</v>
      </c>
      <c r="P37">
        <f>AVERAGEIFS(clean!Q$2:Q$998,clean!$B$2:$B$998,$A37,clean!$C$2:$C$998,$B37,clean!$D$2:$D$998,$C37,clean!$E$2:$E$998,$D37,clean!$F$2:$F$998,$E37)</f>
        <v>250483966.66666666</v>
      </c>
      <c r="Q37">
        <f>AVERAGEIFS(clean!R$2:R$998,clean!$B$2:$B$998,$A37,clean!$C$2:$C$998,$B37,clean!$D$2:$D$998,$C37,clean!$E$2:$E$998,$D37,clean!$F$2:$F$998,$E37)</f>
        <v>250563800</v>
      </c>
      <c r="R37">
        <f>AVERAGEIFS(clean!S$2:S$998,clean!$B$2:$B$998,$A37,clean!$C$2:$C$998,$B37,clean!$D$2:$D$998,$C37,clean!$E$2:$E$998,$D37,clean!$F$2:$F$998,$E37)</f>
        <v>1349100</v>
      </c>
      <c r="S37">
        <f t="shared" si="0"/>
        <v>709993733.33333349</v>
      </c>
      <c r="T37">
        <f>AVERAGEIFS(clean!T$2:T$998,clean!$B$2:$B$998,$A37,clean!$C$2:$C$998,$B37,clean!$D$2:$D$998,$C37,clean!$E$2:$E$998,$D37,clean!$F$2:$F$998,$E37)</f>
        <v>38969433.333333336</v>
      </c>
      <c r="U37">
        <f>AVERAGEIFS(clean!U$2:U$998,clean!$B$2:$B$998,$A37,clean!$C$2:$C$998,$B37,clean!$D$2:$D$998,$C37,clean!$E$2:$E$998,$D37,clean!$F$2:$F$998,$E37)</f>
        <v>3419541066.6666665</v>
      </c>
      <c r="V37">
        <f>AVERAGEIFS(clean!V$2:V$998,clean!$B$2:$B$998,$A37,clean!$C$2:$C$998,$B37,clean!$D$2:$D$998,$C37,clean!$E$2:$E$998,$D37,clean!$F$2:$F$998,$E37)</f>
        <v>1804999266.6666667</v>
      </c>
      <c r="W37">
        <f>AVERAGEIFS(clean!W$2:W$998,clean!$B$2:$B$998,$A37,clean!$C$2:$C$998,$B37,clean!$D$2:$D$998,$C37,clean!$E$2:$E$998,$D37,clean!$F$2:$F$998,$E37)</f>
        <v>355366.66666666669</v>
      </c>
      <c r="X37">
        <f t="shared" si="1"/>
        <v>2083966900</v>
      </c>
      <c r="Y37">
        <f>AVERAGEIFS(clean!X$2:X$998,clean!$B$2:$B$998,$A37,clean!$C$2:$C$998,$B37,clean!$D$2:$D$998,$C37,clean!$E$2:$E$998,$D37,clean!$F$2:$F$998,$E37)</f>
        <v>2538790400</v>
      </c>
    </row>
    <row r="38" spans="1:25" x14ac:dyDescent="0.3">
      <c r="A38">
        <v>131072</v>
      </c>
      <c r="B38">
        <v>4</v>
      </c>
      <c r="C38">
        <v>125</v>
      </c>
      <c r="D38">
        <v>0.65</v>
      </c>
      <c r="E38">
        <v>11</v>
      </c>
      <c r="F38">
        <f>AVERAGEIFS(clean!G$2:G$998,clean!$B$2:$B$998,$A38,clean!$C$2:$C$998,$B38,clean!$D$2:$D$998,$C38,clean!$E$2:$E$998,$D38,clean!$F$2:$F$998,$E38)</f>
        <v>4095</v>
      </c>
      <c r="G38">
        <f>AVERAGEIFS(clean!H$2:H$998,clean!$B$2:$B$998,$A38,clean!$C$2:$C$998,$B38,clean!$D$2:$D$998,$C38,clean!$E$2:$E$998,$D38,clean!$F$2:$F$998,$E38)</f>
        <v>30177.333333333332</v>
      </c>
      <c r="H38">
        <f>AVERAGEIFS(clean!I$2:I$998,clean!$B$2:$B$998,$A38,clean!$C$2:$C$998,$B38,clean!$D$2:$D$998,$C38,clean!$E$2:$E$998,$D38,clean!$F$2:$F$998,$E38)</f>
        <v>2055697300</v>
      </c>
      <c r="I38">
        <f>AVERAGEIFS(clean!J$2:J$998,clean!$B$2:$B$998,$A38,clean!$C$2:$C$998,$B38,clean!$D$2:$D$998,$C38,clean!$E$2:$E$998,$D38,clean!$F$2:$F$998,$E38)</f>
        <v>7105879666.666667</v>
      </c>
      <c r="J38">
        <f>AVERAGEIFS(clean!K$2:K$998,clean!$B$2:$B$998,$A38,clean!$C$2:$C$998,$B38,clean!$D$2:$D$998,$C38,clean!$E$2:$E$998,$D38,clean!$F$2:$F$998,$E38)</f>
        <v>3.4584129579020697</v>
      </c>
      <c r="K38">
        <f>AVERAGEIFS(clean!L$2:L$998,clean!$B$2:$B$998,$A38,clean!$C$2:$C$998,$B38,clean!$D$2:$D$998,$C38,clean!$E$2:$E$998,$D38,clean!$F$2:$F$998,$E38)</f>
        <v>5546566.666666667</v>
      </c>
      <c r="L38">
        <f>AVERAGEIFS(clean!M$2:M$998,clean!$B$2:$B$998,$A38,clean!$C$2:$C$998,$B38,clean!$D$2:$D$998,$C38,clean!$E$2:$E$998,$D38,clean!$F$2:$F$998,$E38)</f>
        <v>479528900</v>
      </c>
      <c r="M38">
        <f>AVERAGEIFS(clean!N$2:N$998,clean!$B$2:$B$998,$A38,clean!$C$2:$C$998,$B38,clean!$D$2:$D$998,$C38,clean!$E$2:$E$998,$D38,clean!$F$2:$F$998,$E38)</f>
        <v>618408333.33333337</v>
      </c>
      <c r="N38">
        <f>AVERAGEIFS(clean!O$2:O$998,clean!$B$2:$B$998,$A38,clean!$C$2:$C$998,$B38,clean!$D$2:$D$998,$C38,clean!$E$2:$E$998,$D38,clean!$F$2:$F$998,$E38)</f>
        <v>1097937233.3333333</v>
      </c>
      <c r="O38">
        <f>AVERAGEIFS(clean!P$2:P$998,clean!$B$2:$B$998,$A38,clean!$C$2:$C$998,$B38,clean!$D$2:$D$998,$C38,clean!$E$2:$E$998,$D38,clean!$F$2:$F$998,$E38)</f>
        <v>167300</v>
      </c>
      <c r="P38">
        <f>AVERAGEIFS(clean!Q$2:Q$998,clean!$B$2:$B$998,$A38,clean!$C$2:$C$998,$B38,clean!$D$2:$D$998,$C38,clean!$E$2:$E$998,$D38,clean!$F$2:$F$998,$E38)</f>
        <v>265056966.66666666</v>
      </c>
      <c r="Q38">
        <f>AVERAGEIFS(clean!R$2:R$998,clean!$B$2:$B$998,$A38,clean!$C$2:$C$998,$B38,clean!$D$2:$D$998,$C38,clean!$E$2:$E$998,$D38,clean!$F$2:$F$998,$E38)</f>
        <v>265224266.66666666</v>
      </c>
      <c r="R38">
        <f>AVERAGEIFS(clean!S$2:S$998,clean!$B$2:$B$998,$A38,clean!$C$2:$C$998,$B38,clean!$D$2:$D$998,$C38,clean!$E$2:$E$998,$D38,clean!$F$2:$F$998,$E38)</f>
        <v>1245933.3333333333</v>
      </c>
      <c r="S38">
        <f t="shared" si="0"/>
        <v>685743300</v>
      </c>
      <c r="T38">
        <f>AVERAGEIFS(clean!T$2:T$998,clean!$B$2:$B$998,$A38,clean!$C$2:$C$998,$B38,clean!$D$2:$D$998,$C38,clean!$E$2:$E$998,$D38,clean!$F$2:$F$998,$E38)</f>
        <v>41178333.333333336</v>
      </c>
      <c r="U38">
        <f>AVERAGEIFS(clean!U$2:U$998,clean!$B$2:$B$998,$A38,clean!$C$2:$C$998,$B38,clean!$D$2:$D$998,$C38,clean!$E$2:$E$998,$D38,clean!$F$2:$F$998,$E38)</f>
        <v>3535021766.6666665</v>
      </c>
      <c r="V38">
        <f>AVERAGEIFS(clean!V$2:V$998,clean!$B$2:$B$998,$A38,clean!$C$2:$C$998,$B38,clean!$D$2:$D$998,$C38,clean!$E$2:$E$998,$D38,clean!$F$2:$F$998,$E38)</f>
        <v>1801108333.3333333</v>
      </c>
      <c r="W38">
        <f>AVERAGEIFS(clean!W$2:W$998,clean!$B$2:$B$998,$A38,clean!$C$2:$C$998,$B38,clean!$D$2:$D$998,$C38,clean!$E$2:$E$998,$D38,clean!$F$2:$F$998,$E38)</f>
        <v>405266.66666666669</v>
      </c>
      <c r="X38">
        <f t="shared" si="1"/>
        <v>1728165966.6666675</v>
      </c>
      <c r="Y38">
        <f>AVERAGEIFS(clean!X$2:X$998,clean!$B$2:$B$998,$A38,clean!$C$2:$C$998,$B38,clean!$D$2:$D$998,$C38,clean!$E$2:$E$998,$D38,clean!$F$2:$F$998,$E38)</f>
        <v>2055697300</v>
      </c>
    </row>
    <row r="39" spans="1:25" x14ac:dyDescent="0.3">
      <c r="A39">
        <v>131072</v>
      </c>
      <c r="B39">
        <v>3</v>
      </c>
      <c r="C39">
        <v>64</v>
      </c>
      <c r="D39">
        <v>0.65</v>
      </c>
      <c r="E39">
        <v>11</v>
      </c>
      <c r="F39">
        <f>AVERAGEIFS(clean!G$2:G$998,clean!$B$2:$B$998,$A39,clean!$C$2:$C$998,$B39,clean!$D$2:$D$998,$C39,clean!$E$2:$E$998,$D39,clean!$F$2:$F$998,$E39)</f>
        <v>4095</v>
      </c>
      <c r="G39">
        <f>AVERAGEIFS(clean!H$2:H$998,clean!$B$2:$B$998,$A39,clean!$C$2:$C$998,$B39,clean!$D$2:$D$998,$C39,clean!$E$2:$E$998,$D39,clean!$F$2:$F$998,$E39)</f>
        <v>30032</v>
      </c>
      <c r="H39">
        <f>AVERAGEIFS(clean!I$2:I$998,clean!$B$2:$B$998,$A39,clean!$C$2:$C$998,$B39,clean!$D$2:$D$998,$C39,clean!$E$2:$E$998,$D39,clean!$F$2:$F$998,$E39)</f>
        <v>848914600</v>
      </c>
      <c r="I39">
        <f>AVERAGEIFS(clean!J$2:J$998,clean!$B$2:$B$998,$A39,clean!$C$2:$C$998,$B39,clean!$D$2:$D$998,$C39,clean!$E$2:$E$998,$D39,clean!$F$2:$F$998,$E39)</f>
        <v>3496783633.3333335</v>
      </c>
      <c r="J39">
        <f>AVERAGEIFS(clean!K$2:K$998,clean!$B$2:$B$998,$A39,clean!$C$2:$C$998,$B39,clean!$D$2:$D$998,$C39,clean!$E$2:$E$998,$D39,clean!$F$2:$F$998,$E39)</f>
        <v>4.1242997672935706</v>
      </c>
      <c r="K39">
        <f>AVERAGEIFS(clean!L$2:L$998,clean!$B$2:$B$998,$A39,clean!$C$2:$C$998,$B39,clean!$D$2:$D$998,$C39,clean!$E$2:$E$998,$D39,clean!$F$2:$F$998,$E39)</f>
        <v>5461800</v>
      </c>
      <c r="L39">
        <f>AVERAGEIFS(clean!M$2:M$998,clean!$B$2:$B$998,$A39,clean!$C$2:$C$998,$B39,clean!$D$2:$D$998,$C39,clean!$E$2:$E$998,$D39,clean!$F$2:$F$998,$E39)</f>
        <v>285060533.33333331</v>
      </c>
      <c r="M39">
        <f>AVERAGEIFS(clean!N$2:N$998,clean!$B$2:$B$998,$A39,clean!$C$2:$C$998,$B39,clean!$D$2:$D$998,$C39,clean!$E$2:$E$998,$D39,clean!$F$2:$F$998,$E39)</f>
        <v>223053833.33333334</v>
      </c>
      <c r="N39">
        <f>AVERAGEIFS(clean!O$2:O$998,clean!$B$2:$B$998,$A39,clean!$C$2:$C$998,$B39,clean!$D$2:$D$998,$C39,clean!$E$2:$E$998,$D39,clean!$F$2:$F$998,$E39)</f>
        <v>508114366.66666669</v>
      </c>
      <c r="O39">
        <f>AVERAGEIFS(clean!P$2:P$998,clean!$B$2:$B$998,$A39,clean!$C$2:$C$998,$B39,clean!$D$2:$D$998,$C39,clean!$E$2:$E$998,$D39,clean!$F$2:$F$998,$E39)</f>
        <v>179166.66666666666</v>
      </c>
      <c r="P39">
        <f>AVERAGEIFS(clean!Q$2:Q$998,clean!$B$2:$B$998,$A39,clean!$C$2:$C$998,$B39,clean!$D$2:$D$998,$C39,clean!$E$2:$E$998,$D39,clean!$F$2:$F$998,$E39)</f>
        <v>271327266.66666669</v>
      </c>
      <c r="Q39">
        <f>AVERAGEIFS(clean!R$2:R$998,clean!$B$2:$B$998,$A39,clean!$C$2:$C$998,$B39,clean!$D$2:$D$998,$C39,clean!$E$2:$E$998,$D39,clean!$F$2:$F$998,$E39)</f>
        <v>271506433.33333331</v>
      </c>
      <c r="R39">
        <f>AVERAGEIFS(clean!S$2:S$998,clean!$B$2:$B$998,$A39,clean!$C$2:$C$998,$B39,clean!$D$2:$D$998,$C39,clean!$E$2:$E$998,$D39,clean!$F$2:$F$998,$E39)</f>
        <v>1315766.6666666667</v>
      </c>
      <c r="S39">
        <f t="shared" si="0"/>
        <v>62516233.333333336</v>
      </c>
      <c r="T39">
        <f>AVERAGEIFS(clean!T$2:T$998,clean!$B$2:$B$998,$A39,clean!$C$2:$C$998,$B39,clean!$D$2:$D$998,$C39,clean!$E$2:$E$998,$D39,clean!$F$2:$F$998,$E39)</f>
        <v>40315333.333333336</v>
      </c>
      <c r="U39">
        <f>AVERAGEIFS(clean!U$2:U$998,clean!$B$2:$B$998,$A39,clean!$C$2:$C$998,$B39,clean!$D$2:$D$998,$C39,clean!$E$2:$E$998,$D39,clean!$F$2:$F$998,$E39)</f>
        <v>957828766.66666663</v>
      </c>
      <c r="V39">
        <f>AVERAGEIFS(clean!V$2:V$998,clean!$B$2:$B$998,$A39,clean!$C$2:$C$998,$B39,clean!$D$2:$D$998,$C39,clean!$E$2:$E$998,$D39,clean!$F$2:$F$998,$E39)</f>
        <v>1816913533.3333333</v>
      </c>
      <c r="W39">
        <f>AVERAGEIFS(clean!W$2:W$998,clean!$B$2:$B$998,$A39,clean!$C$2:$C$998,$B39,clean!$D$2:$D$998,$C39,clean!$E$2:$E$998,$D39,clean!$F$2:$F$998,$E39)</f>
        <v>447900</v>
      </c>
      <c r="X39">
        <f t="shared" si="1"/>
        <v>681278100.00000024</v>
      </c>
      <c r="Y39">
        <f>AVERAGEIFS(clean!X$2:X$998,clean!$B$2:$B$998,$A39,clean!$C$2:$C$998,$B39,clean!$D$2:$D$998,$C39,clean!$E$2:$E$998,$D39,clean!$F$2:$F$998,$E39)</f>
        <v>848914600</v>
      </c>
    </row>
    <row r="40" spans="1:25" x14ac:dyDescent="0.3">
      <c r="A40">
        <v>131072</v>
      </c>
      <c r="B40">
        <v>5</v>
      </c>
      <c r="C40">
        <v>216</v>
      </c>
      <c r="D40">
        <v>0.65</v>
      </c>
      <c r="E40">
        <v>10</v>
      </c>
      <c r="F40">
        <f>AVERAGEIFS(clean!G$2:G$998,clean!$B$2:$B$998,$A40,clean!$C$2:$C$998,$B40,clean!$D$2:$D$998,$C40,clean!$E$2:$E$998,$D40,clean!$F$2:$F$998,$E40)</f>
        <v>2047</v>
      </c>
      <c r="G40">
        <f>AVERAGEIFS(clean!H$2:H$998,clean!$B$2:$B$998,$A40,clean!$C$2:$C$998,$B40,clean!$D$2:$D$998,$C40,clean!$E$2:$E$998,$D40,clean!$F$2:$F$998,$E40)</f>
        <v>12292</v>
      </c>
      <c r="H40">
        <f>AVERAGEIFS(clean!I$2:I$998,clean!$B$2:$B$998,$A40,clean!$C$2:$C$998,$B40,clean!$D$2:$D$998,$C40,clean!$E$2:$E$998,$D40,clean!$F$2:$F$998,$E40)</f>
        <v>3071245433.3333335</v>
      </c>
      <c r="I40">
        <f>AVERAGEIFS(clean!J$2:J$998,clean!$B$2:$B$998,$A40,clean!$C$2:$C$998,$B40,clean!$D$2:$D$998,$C40,clean!$E$2:$E$998,$D40,clean!$F$2:$F$998,$E40)</f>
        <v>11406510066.666666</v>
      </c>
      <c r="J40">
        <f>AVERAGEIFS(clean!K$2:K$998,clean!$B$2:$B$998,$A40,clean!$C$2:$C$998,$B40,clean!$D$2:$D$998,$C40,clean!$E$2:$E$998,$D40,clean!$F$2:$F$998,$E40)</f>
        <v>3.715892597070654</v>
      </c>
      <c r="K40">
        <f>AVERAGEIFS(clean!L$2:L$998,clean!$B$2:$B$998,$A40,clean!$C$2:$C$998,$B40,clean!$D$2:$D$998,$C40,clean!$E$2:$E$998,$D40,clean!$F$2:$F$998,$E40)</f>
        <v>2612766.6666666665</v>
      </c>
      <c r="L40">
        <f>AVERAGEIFS(clean!M$2:M$998,clean!$B$2:$B$998,$A40,clean!$C$2:$C$998,$B40,clean!$D$2:$D$998,$C40,clean!$E$2:$E$998,$D40,clean!$F$2:$F$998,$E40)</f>
        <v>861600666.66666663</v>
      </c>
      <c r="M40">
        <f>AVERAGEIFS(clean!N$2:N$998,clean!$B$2:$B$998,$A40,clean!$C$2:$C$998,$B40,clean!$D$2:$D$998,$C40,clean!$E$2:$E$998,$D40,clean!$F$2:$F$998,$E40)</f>
        <v>1244740300</v>
      </c>
      <c r="N40">
        <f>AVERAGEIFS(clean!O$2:O$998,clean!$B$2:$B$998,$A40,clean!$C$2:$C$998,$B40,clean!$D$2:$D$998,$C40,clean!$E$2:$E$998,$D40,clean!$F$2:$F$998,$E40)</f>
        <v>2106340966.6666667</v>
      </c>
      <c r="O40">
        <f>AVERAGEIFS(clean!P$2:P$998,clean!$B$2:$B$998,$A40,clean!$C$2:$C$998,$B40,clean!$D$2:$D$998,$C40,clean!$E$2:$E$998,$D40,clean!$F$2:$F$998,$E40)</f>
        <v>82866.666666666672</v>
      </c>
      <c r="P40">
        <f>AVERAGEIFS(clean!Q$2:Q$998,clean!$B$2:$B$998,$A40,clean!$C$2:$C$998,$B40,clean!$D$2:$D$998,$C40,clean!$E$2:$E$998,$D40,clean!$F$2:$F$998,$E40)</f>
        <v>416680866.66666669</v>
      </c>
      <c r="Q40">
        <f>AVERAGEIFS(clean!R$2:R$998,clean!$B$2:$B$998,$A40,clean!$C$2:$C$998,$B40,clean!$D$2:$D$998,$C40,clean!$E$2:$E$998,$D40,clean!$F$2:$F$998,$E40)</f>
        <v>416763733.33333331</v>
      </c>
      <c r="R40">
        <f>AVERAGEIFS(clean!S$2:S$998,clean!$B$2:$B$998,$A40,clean!$C$2:$C$998,$B40,clean!$D$2:$D$998,$C40,clean!$E$2:$E$998,$D40,clean!$F$2:$F$998,$E40)</f>
        <v>1237333.3333333333</v>
      </c>
      <c r="S40">
        <f t="shared" si="0"/>
        <v>544290633.33333361</v>
      </c>
      <c r="T40">
        <f>AVERAGEIFS(clean!T$2:T$998,clean!$B$2:$B$998,$A40,clean!$C$2:$C$998,$B40,clean!$D$2:$D$998,$C40,clean!$E$2:$E$998,$D40,clean!$F$2:$F$998,$E40)</f>
        <v>38817500</v>
      </c>
      <c r="U40">
        <f>AVERAGEIFS(clean!U$2:U$998,clean!$B$2:$B$998,$A40,clean!$C$2:$C$998,$B40,clean!$D$2:$D$998,$C40,clean!$E$2:$E$998,$D40,clean!$F$2:$F$998,$E40)</f>
        <v>5927491333.333333</v>
      </c>
      <c r="V40">
        <f>AVERAGEIFS(clean!V$2:V$998,clean!$B$2:$B$998,$A40,clean!$C$2:$C$998,$B40,clean!$D$2:$D$998,$C40,clean!$E$2:$E$998,$D40,clean!$F$2:$F$998,$E40)</f>
        <v>3033757500</v>
      </c>
      <c r="W40">
        <f>AVERAGEIFS(clean!W$2:W$998,clean!$B$2:$B$998,$A40,clean!$C$2:$C$998,$B40,clean!$D$2:$D$998,$C40,clean!$E$2:$E$998,$D40,clean!$F$2:$F$998,$E40)</f>
        <v>365866.66666666669</v>
      </c>
      <c r="X40">
        <f t="shared" si="1"/>
        <v>2406077866.6666665</v>
      </c>
      <c r="Y40">
        <f>AVERAGEIFS(clean!X$2:X$998,clean!$B$2:$B$998,$A40,clean!$C$2:$C$998,$B40,clean!$D$2:$D$998,$C40,clean!$E$2:$E$998,$D40,clean!$F$2:$F$998,$E40)</f>
        <v>3071245433.3333335</v>
      </c>
    </row>
    <row r="41" spans="1:25" x14ac:dyDescent="0.3">
      <c r="A41">
        <v>131072</v>
      </c>
      <c r="B41">
        <v>6</v>
      </c>
      <c r="C41">
        <v>343</v>
      </c>
      <c r="D41">
        <v>0.95</v>
      </c>
      <c r="E41">
        <v>9</v>
      </c>
      <c r="F41">
        <f>AVERAGEIFS(clean!G$2:G$998,clean!$B$2:$B$998,$A41,clean!$C$2:$C$998,$B41,clean!$D$2:$D$998,$C41,clean!$E$2:$E$998,$D41,clean!$F$2:$F$998,$E41)</f>
        <v>1023</v>
      </c>
      <c r="G41">
        <f>AVERAGEIFS(clean!H$2:H$998,clean!$B$2:$B$998,$A41,clean!$C$2:$C$998,$B41,clean!$D$2:$D$998,$C41,clean!$E$2:$E$998,$D41,clean!$F$2:$F$998,$E41)</f>
        <v>3072</v>
      </c>
      <c r="H41">
        <f>AVERAGEIFS(clean!I$2:I$998,clean!$B$2:$B$998,$A41,clean!$C$2:$C$998,$B41,clean!$D$2:$D$998,$C41,clean!$E$2:$E$998,$D41,clean!$F$2:$F$998,$E41)</f>
        <v>3317386133.3333335</v>
      </c>
      <c r="I41">
        <f>AVERAGEIFS(clean!J$2:J$998,clean!$B$2:$B$998,$A41,clean!$C$2:$C$998,$B41,clean!$D$2:$D$998,$C41,clean!$E$2:$E$998,$D41,clean!$F$2:$F$998,$E41)</f>
        <v>7170160733.333333</v>
      </c>
      <c r="J41">
        <f>AVERAGEIFS(clean!K$2:K$998,clean!$B$2:$B$998,$A41,clean!$C$2:$C$998,$B41,clean!$D$2:$D$998,$C41,clean!$E$2:$E$998,$D41,clean!$F$2:$F$998,$E41)</f>
        <v>2.1617919049981036</v>
      </c>
      <c r="K41">
        <f>AVERAGEIFS(clean!L$2:L$998,clean!$B$2:$B$998,$A41,clean!$C$2:$C$998,$B41,clean!$D$2:$D$998,$C41,clean!$E$2:$E$998,$D41,clean!$F$2:$F$998,$E41)</f>
        <v>531733.33333333337</v>
      </c>
      <c r="L41">
        <f>AVERAGEIFS(clean!M$2:M$998,clean!$B$2:$B$998,$A41,clean!$C$2:$C$998,$B41,clean!$D$2:$D$998,$C41,clean!$E$2:$E$998,$D41,clean!$F$2:$F$998,$E41)</f>
        <v>1907691400</v>
      </c>
      <c r="M41">
        <f>AVERAGEIFS(clean!N$2:N$998,clean!$B$2:$B$998,$A41,clean!$C$2:$C$998,$B41,clean!$D$2:$D$998,$C41,clean!$E$2:$E$998,$D41,clean!$F$2:$F$998,$E41)</f>
        <v>237852700</v>
      </c>
      <c r="N41">
        <f>AVERAGEIFS(clean!O$2:O$998,clean!$B$2:$B$998,$A41,clean!$C$2:$C$998,$B41,clean!$D$2:$D$998,$C41,clean!$E$2:$E$998,$D41,clean!$F$2:$F$998,$E41)</f>
        <v>2145544100</v>
      </c>
      <c r="O41">
        <f>AVERAGEIFS(clean!P$2:P$998,clean!$B$2:$B$998,$A41,clean!$C$2:$C$998,$B41,clean!$D$2:$D$998,$C41,clean!$E$2:$E$998,$D41,clean!$F$2:$F$998,$E41)</f>
        <v>73633.333333333328</v>
      </c>
      <c r="P41">
        <f>AVERAGEIFS(clean!Q$2:Q$998,clean!$B$2:$B$998,$A41,clean!$C$2:$C$998,$B41,clean!$D$2:$D$998,$C41,clean!$E$2:$E$998,$D41,clean!$F$2:$F$998,$E41)</f>
        <v>418800266.66666669</v>
      </c>
      <c r="Q41">
        <f>AVERAGEIFS(clean!R$2:R$998,clean!$B$2:$B$998,$A41,clean!$C$2:$C$998,$B41,clean!$D$2:$D$998,$C41,clean!$E$2:$E$998,$D41,clean!$F$2:$F$998,$E41)</f>
        <v>418873900</v>
      </c>
      <c r="R41">
        <f>AVERAGEIFS(clean!S$2:S$998,clean!$B$2:$B$998,$A41,clean!$C$2:$C$998,$B41,clean!$D$2:$D$998,$C41,clean!$E$2:$E$998,$D41,clean!$F$2:$F$998,$E41)</f>
        <v>1230433.3333333333</v>
      </c>
      <c r="S41">
        <f t="shared" si="0"/>
        <v>751205966.66666663</v>
      </c>
      <c r="T41">
        <f>AVERAGEIFS(clean!T$2:T$998,clean!$B$2:$B$998,$A41,clean!$C$2:$C$998,$B41,clean!$D$2:$D$998,$C41,clean!$E$2:$E$998,$D41,clean!$F$2:$F$998,$E41)</f>
        <v>33694000</v>
      </c>
      <c r="U41">
        <f>AVERAGEIFS(clean!U$2:U$998,clean!$B$2:$B$998,$A41,clean!$C$2:$C$998,$B41,clean!$D$2:$D$998,$C41,clean!$E$2:$E$998,$D41,clean!$F$2:$F$998,$E41)</f>
        <v>1152187866.6666667</v>
      </c>
      <c r="V41">
        <f>AVERAGEIFS(clean!V$2:V$998,clean!$B$2:$B$998,$A41,clean!$C$2:$C$998,$B41,clean!$D$2:$D$998,$C41,clean!$E$2:$E$998,$D41,clean!$F$2:$F$998,$E41)</f>
        <v>3159952266.6666665</v>
      </c>
      <c r="W41">
        <f>AVERAGEIFS(clean!W$2:W$998,clean!$B$2:$B$998,$A41,clean!$C$2:$C$998,$B41,clean!$D$2:$D$998,$C41,clean!$E$2:$E$998,$D41,clean!$F$2:$F$998,$E41)</f>
        <v>369866.66666666669</v>
      </c>
      <c r="X41">
        <f t="shared" si="1"/>
        <v>2823956733.333333</v>
      </c>
      <c r="Y41">
        <f>AVERAGEIFS(clean!X$2:X$998,clean!$B$2:$B$998,$A41,clean!$C$2:$C$998,$B41,clean!$D$2:$D$998,$C41,clean!$E$2:$E$998,$D41,clean!$F$2:$F$998,$E41)</f>
        <v>3317386133.3333335</v>
      </c>
    </row>
    <row r="42" spans="1:25" x14ac:dyDescent="0.3">
      <c r="A42">
        <v>131072</v>
      </c>
      <c r="B42">
        <v>7</v>
      </c>
      <c r="C42">
        <v>512</v>
      </c>
      <c r="D42">
        <v>0.95</v>
      </c>
      <c r="E42">
        <v>8</v>
      </c>
      <c r="F42">
        <f>AVERAGEIFS(clean!G$2:G$998,clean!$B$2:$B$998,$A42,clean!$C$2:$C$998,$B42,clean!$D$2:$D$998,$C42,clean!$E$2:$E$998,$D42,clean!$F$2:$F$998,$E42)</f>
        <v>511</v>
      </c>
      <c r="G42">
        <f>AVERAGEIFS(clean!H$2:H$998,clean!$B$2:$B$998,$A42,clean!$C$2:$C$998,$B42,clean!$D$2:$D$998,$C42,clean!$E$2:$E$998,$D42,clean!$F$2:$F$998,$E42)</f>
        <v>1024</v>
      </c>
      <c r="H42">
        <f>AVERAGEIFS(clean!I$2:I$998,clean!$B$2:$B$998,$A42,clean!$C$2:$C$998,$B42,clean!$D$2:$D$998,$C42,clean!$E$2:$E$998,$D42,clean!$F$2:$F$998,$E42)</f>
        <v>3774035233.3333335</v>
      </c>
      <c r="I42">
        <f>AVERAGEIFS(clean!J$2:J$998,clean!$B$2:$B$998,$A42,clean!$C$2:$C$998,$B42,clean!$D$2:$D$998,$C42,clean!$E$2:$E$998,$D42,clean!$F$2:$F$998,$E42)</f>
        <v>9238956666.666666</v>
      </c>
      <c r="J42">
        <f>AVERAGEIFS(clean!K$2:K$998,clean!$B$2:$B$998,$A42,clean!$C$2:$C$998,$B42,clean!$D$2:$D$998,$C42,clean!$E$2:$E$998,$D42,clean!$F$2:$F$998,$E42)</f>
        <v>2.4480271114193664</v>
      </c>
      <c r="K42">
        <f>AVERAGEIFS(clean!L$2:L$998,clean!$B$2:$B$998,$A42,clean!$C$2:$C$998,$B42,clean!$D$2:$D$998,$C42,clean!$E$2:$E$998,$D42,clean!$F$2:$F$998,$E42)</f>
        <v>174133.33333333334</v>
      </c>
      <c r="L42">
        <f>AVERAGEIFS(clean!M$2:M$998,clean!$B$2:$B$998,$A42,clean!$C$2:$C$998,$B42,clean!$D$2:$D$998,$C42,clean!$E$2:$E$998,$D42,clean!$F$2:$F$998,$E42)</f>
        <v>2286459366.6666665</v>
      </c>
      <c r="M42">
        <f>AVERAGEIFS(clean!N$2:N$998,clean!$B$2:$B$998,$A42,clean!$C$2:$C$998,$B42,clean!$D$2:$D$998,$C42,clean!$E$2:$E$998,$D42,clean!$F$2:$F$998,$E42)</f>
        <v>279726766.66666669</v>
      </c>
      <c r="N42">
        <f>AVERAGEIFS(clean!O$2:O$998,clean!$B$2:$B$998,$A42,clean!$C$2:$C$998,$B42,clean!$D$2:$D$998,$C42,clean!$E$2:$E$998,$D42,clean!$F$2:$F$998,$E42)</f>
        <v>2566186133.3333335</v>
      </c>
      <c r="O42">
        <f>AVERAGEIFS(clean!P$2:P$998,clean!$B$2:$B$998,$A42,clean!$C$2:$C$998,$B42,clean!$D$2:$D$998,$C42,clean!$E$2:$E$998,$D42,clean!$F$2:$F$998,$E42)</f>
        <v>67300</v>
      </c>
      <c r="P42">
        <f>AVERAGEIFS(clean!Q$2:Q$998,clean!$B$2:$B$998,$A42,clean!$C$2:$C$998,$B42,clean!$D$2:$D$998,$C42,clean!$E$2:$E$998,$D42,clean!$F$2:$F$998,$E42)</f>
        <v>560661400</v>
      </c>
      <c r="Q42">
        <f>AVERAGEIFS(clean!R$2:R$998,clean!$B$2:$B$998,$A42,clean!$C$2:$C$998,$B42,clean!$D$2:$D$998,$C42,clean!$E$2:$E$998,$D42,clean!$F$2:$F$998,$E42)</f>
        <v>560728700</v>
      </c>
      <c r="R42">
        <f>AVERAGEIFS(clean!S$2:S$998,clean!$B$2:$B$998,$A42,clean!$C$2:$C$998,$B42,clean!$D$2:$D$998,$C42,clean!$E$2:$E$998,$D42,clean!$F$2:$F$998,$E42)</f>
        <v>1301366.6666666667</v>
      </c>
      <c r="S42">
        <f t="shared" si="0"/>
        <v>645644899.99999988</v>
      </c>
      <c r="T42">
        <f>AVERAGEIFS(clean!T$2:T$998,clean!$B$2:$B$998,$A42,clean!$C$2:$C$998,$B42,clean!$D$2:$D$998,$C42,clean!$E$2:$E$998,$D42,clean!$F$2:$F$998,$E42)</f>
        <v>31608333.333333332</v>
      </c>
      <c r="U42">
        <f>AVERAGEIFS(clean!U$2:U$998,clean!$B$2:$B$998,$A42,clean!$C$2:$C$998,$B42,clean!$D$2:$D$998,$C42,clean!$E$2:$E$998,$D42,clean!$F$2:$F$998,$E42)</f>
        <v>1472484566.6666667</v>
      </c>
      <c r="V42">
        <f>AVERAGEIFS(clean!V$2:V$998,clean!$B$2:$B$998,$A42,clean!$C$2:$C$998,$B42,clean!$D$2:$D$998,$C42,clean!$E$2:$E$998,$D42,clean!$F$2:$F$998,$E42)</f>
        <v>4362530800</v>
      </c>
      <c r="W42">
        <f>AVERAGEIFS(clean!W$2:W$998,clean!$B$2:$B$998,$A42,clean!$C$2:$C$998,$B42,clean!$D$2:$D$998,$C42,clean!$E$2:$E$998,$D42,clean!$F$2:$F$998,$E42)</f>
        <v>384866.66666666669</v>
      </c>
      <c r="X42">
        <f t="shared" si="1"/>
        <v>3371948099.9999986</v>
      </c>
      <c r="Y42">
        <f>AVERAGEIFS(clean!X$2:X$998,clean!$B$2:$B$998,$A42,clean!$C$2:$C$998,$B42,clean!$D$2:$D$998,$C42,clean!$E$2:$E$998,$D42,clean!$F$2:$F$998,$E42)</f>
        <v>3774035233.3333335</v>
      </c>
    </row>
    <row r="43" spans="1:25" x14ac:dyDescent="0.3">
      <c r="A43">
        <v>131072</v>
      </c>
      <c r="B43">
        <v>6</v>
      </c>
      <c r="C43">
        <v>343</v>
      </c>
      <c r="D43">
        <v>0.8</v>
      </c>
      <c r="E43">
        <v>9</v>
      </c>
      <c r="F43">
        <f>AVERAGEIFS(clean!G$2:G$998,clean!$B$2:$B$998,$A43,clean!$C$2:$C$998,$B43,clean!$D$2:$D$998,$C43,clean!$E$2:$E$998,$D43,clean!$F$2:$F$998,$E43)</f>
        <v>1023</v>
      </c>
      <c r="G43">
        <f>AVERAGEIFS(clean!H$2:H$998,clean!$B$2:$B$998,$A43,clean!$C$2:$C$998,$B43,clean!$D$2:$D$998,$C43,clean!$E$2:$E$998,$D43,clean!$F$2:$F$998,$E43)</f>
        <v>4548</v>
      </c>
      <c r="H43">
        <f>AVERAGEIFS(clean!I$2:I$998,clean!$B$2:$B$998,$A43,clean!$C$2:$C$998,$B43,clean!$D$2:$D$998,$C43,clean!$E$2:$E$998,$D43,clean!$F$2:$F$998,$E43)</f>
        <v>3823524333.3333335</v>
      </c>
      <c r="I43">
        <f>AVERAGEIFS(clean!J$2:J$998,clean!$B$2:$B$998,$A43,clean!$C$2:$C$998,$B43,clean!$D$2:$D$998,$C43,clean!$E$2:$E$998,$D43,clean!$F$2:$F$998,$E43)</f>
        <v>10756737466.666666</v>
      </c>
      <c r="J43">
        <f>AVERAGEIFS(clean!K$2:K$998,clean!$B$2:$B$998,$A43,clean!$C$2:$C$998,$B43,clean!$D$2:$D$998,$C43,clean!$E$2:$E$998,$D43,clean!$F$2:$F$998,$E43)</f>
        <v>2.8161037763727497</v>
      </c>
      <c r="K43">
        <f>AVERAGEIFS(clean!L$2:L$998,clean!$B$2:$B$998,$A43,clean!$C$2:$C$998,$B43,clean!$D$2:$D$998,$C43,clean!$E$2:$E$998,$D43,clean!$F$2:$F$998,$E43)</f>
        <v>896600</v>
      </c>
      <c r="L43">
        <f>AVERAGEIFS(clean!M$2:M$998,clean!$B$2:$B$998,$A43,clean!$C$2:$C$998,$B43,clean!$D$2:$D$998,$C43,clean!$E$2:$E$998,$D43,clean!$F$2:$F$998,$E43)</f>
        <v>1906285733.3333333</v>
      </c>
      <c r="M43">
        <f>AVERAGEIFS(clean!N$2:N$998,clean!$B$2:$B$998,$A43,clean!$C$2:$C$998,$B43,clean!$D$2:$D$998,$C43,clean!$E$2:$E$998,$D43,clean!$F$2:$F$998,$E43)</f>
        <v>709531233.33333337</v>
      </c>
      <c r="N43">
        <f>AVERAGEIFS(clean!O$2:O$998,clean!$B$2:$B$998,$A43,clean!$C$2:$C$998,$B43,clean!$D$2:$D$998,$C43,clean!$E$2:$E$998,$D43,clean!$F$2:$F$998,$E43)</f>
        <v>2615816966.6666665</v>
      </c>
      <c r="O43">
        <f>AVERAGEIFS(clean!P$2:P$998,clean!$B$2:$B$998,$A43,clean!$C$2:$C$998,$B43,clean!$D$2:$D$998,$C43,clean!$E$2:$E$998,$D43,clean!$F$2:$F$998,$E43)</f>
        <v>71966.666666666672</v>
      </c>
      <c r="P43">
        <f>AVERAGEIFS(clean!Q$2:Q$998,clean!$B$2:$B$998,$A43,clean!$C$2:$C$998,$B43,clean!$D$2:$D$998,$C43,clean!$E$2:$E$998,$D43,clean!$F$2:$F$998,$E43)</f>
        <v>615082133.33333337</v>
      </c>
      <c r="Q43">
        <f>AVERAGEIFS(clean!R$2:R$998,clean!$B$2:$B$998,$A43,clean!$C$2:$C$998,$B43,clean!$D$2:$D$998,$C43,clean!$E$2:$E$998,$D43,clean!$F$2:$F$998,$E43)</f>
        <v>615154100</v>
      </c>
      <c r="R43">
        <f>AVERAGEIFS(clean!S$2:S$998,clean!$B$2:$B$998,$A43,clean!$C$2:$C$998,$B43,clean!$D$2:$D$998,$C43,clean!$E$2:$E$998,$D43,clean!$F$2:$F$998,$E43)</f>
        <v>1295800</v>
      </c>
      <c r="S43">
        <f t="shared" si="0"/>
        <v>590360866.66666698</v>
      </c>
      <c r="T43">
        <f>AVERAGEIFS(clean!T$2:T$998,clean!$B$2:$B$998,$A43,clean!$C$2:$C$998,$B43,clean!$D$2:$D$998,$C43,clean!$E$2:$E$998,$D43,clean!$F$2:$F$998,$E43)</f>
        <v>34994733.333333336</v>
      </c>
      <c r="U43">
        <f>AVERAGEIFS(clean!U$2:U$998,clean!$B$2:$B$998,$A43,clean!$C$2:$C$998,$B43,clean!$D$2:$D$998,$C43,clean!$E$2:$E$998,$D43,clean!$F$2:$F$998,$E43)</f>
        <v>3341576333.3333335</v>
      </c>
      <c r="V43">
        <f>AVERAGEIFS(clean!V$2:V$998,clean!$B$2:$B$998,$A43,clean!$C$2:$C$998,$B43,clean!$D$2:$D$998,$C43,clean!$E$2:$E$998,$D43,clean!$F$2:$F$998,$E43)</f>
        <v>4662921866.666667</v>
      </c>
      <c r="W43">
        <f>AVERAGEIFS(clean!W$2:W$998,clean!$B$2:$B$998,$A43,clean!$C$2:$C$998,$B43,clean!$D$2:$D$998,$C43,clean!$E$2:$E$998,$D43,clean!$F$2:$F$998,$E43)</f>
        <v>425466.66666666669</v>
      </c>
      <c r="X43">
        <f t="shared" si="1"/>
        <v>2716819066.6666646</v>
      </c>
      <c r="Y43">
        <f>AVERAGEIFS(clean!X$2:X$998,clean!$B$2:$B$998,$A43,clean!$C$2:$C$998,$B43,clean!$D$2:$D$998,$C43,clean!$E$2:$E$998,$D43,clean!$F$2:$F$998,$E43)</f>
        <v>3823524333.3333335</v>
      </c>
    </row>
    <row r="44" spans="1:25" x14ac:dyDescent="0.3">
      <c r="A44">
        <v>131072</v>
      </c>
      <c r="B44">
        <v>3</v>
      </c>
      <c r="C44">
        <v>64</v>
      </c>
      <c r="D44">
        <v>0.5</v>
      </c>
      <c r="E44">
        <v>11</v>
      </c>
      <c r="F44">
        <f>AVERAGEIFS(clean!G$2:G$998,clean!$B$2:$B$998,$A44,clean!$C$2:$C$998,$B44,clean!$D$2:$D$998,$C44,clean!$E$2:$E$998,$D44,clean!$F$2:$F$998,$E44)</f>
        <v>4095</v>
      </c>
      <c r="G44">
        <f>AVERAGEIFS(clean!H$2:H$998,clean!$B$2:$B$998,$A44,clean!$C$2:$C$998,$B44,clean!$D$2:$D$998,$C44,clean!$E$2:$E$998,$D44,clean!$F$2:$F$998,$E44)</f>
        <v>82375</v>
      </c>
      <c r="H44">
        <f>AVERAGEIFS(clean!I$2:I$998,clean!$B$2:$B$998,$A44,clean!$C$2:$C$998,$B44,clean!$D$2:$D$998,$C44,clean!$E$2:$E$998,$D44,clean!$F$2:$F$998,$E44)</f>
        <v>1771105025</v>
      </c>
      <c r="I44">
        <f>AVERAGEIFS(clean!J$2:J$998,clean!$B$2:$B$998,$A44,clean!$C$2:$C$998,$B44,clean!$D$2:$D$998,$C44,clean!$E$2:$E$998,$D44,clean!$F$2:$F$998,$E44)</f>
        <v>8581109900</v>
      </c>
      <c r="J44">
        <f>AVERAGEIFS(clean!K$2:K$998,clean!$B$2:$B$998,$A44,clean!$C$2:$C$998,$B44,clean!$D$2:$D$998,$C44,clean!$E$2:$E$998,$D44,clean!$F$2:$F$998,$E44)</f>
        <v>4.9210224287740525</v>
      </c>
      <c r="K44">
        <f>AVERAGEIFS(clean!L$2:L$998,clean!$B$2:$B$998,$A44,clean!$C$2:$C$998,$B44,clean!$D$2:$D$998,$C44,clean!$E$2:$E$998,$D44,clean!$F$2:$F$998,$E44)</f>
        <v>17918175</v>
      </c>
      <c r="L44">
        <f>AVERAGEIFS(clean!M$2:M$998,clean!$B$2:$B$998,$A44,clean!$C$2:$C$998,$B44,clean!$D$2:$D$998,$C44,clean!$E$2:$E$998,$D44,clean!$F$2:$F$998,$E44)</f>
        <v>199153950</v>
      </c>
      <c r="M44">
        <f>AVERAGEIFS(clean!N$2:N$998,clean!$B$2:$B$998,$A44,clean!$C$2:$C$998,$B44,clean!$D$2:$D$998,$C44,clean!$E$2:$E$998,$D44,clean!$F$2:$F$998,$E44)</f>
        <v>496576900</v>
      </c>
      <c r="N44">
        <f>AVERAGEIFS(clean!O$2:O$998,clean!$B$2:$B$998,$A44,clean!$C$2:$C$998,$B44,clean!$D$2:$D$998,$C44,clean!$E$2:$E$998,$D44,clean!$F$2:$F$998,$E44)</f>
        <v>695730850</v>
      </c>
      <c r="O44">
        <f>AVERAGEIFS(clean!P$2:P$998,clean!$B$2:$B$998,$A44,clean!$C$2:$C$998,$B44,clean!$D$2:$D$998,$C44,clean!$E$2:$E$998,$D44,clean!$F$2:$F$998,$E44)</f>
        <v>245925</v>
      </c>
      <c r="P44">
        <f>AVERAGEIFS(clean!Q$2:Q$998,clean!$B$2:$B$998,$A44,clean!$C$2:$C$998,$B44,clean!$D$2:$D$998,$C44,clean!$E$2:$E$998,$D44,clean!$F$2:$F$998,$E44)</f>
        <v>696792325</v>
      </c>
      <c r="Q44">
        <f>AVERAGEIFS(clean!R$2:R$998,clean!$B$2:$B$998,$A44,clean!$C$2:$C$998,$B44,clean!$D$2:$D$998,$C44,clean!$E$2:$E$998,$D44,clean!$F$2:$F$998,$E44)</f>
        <v>697038250</v>
      </c>
      <c r="R44">
        <f>AVERAGEIFS(clean!S$2:S$998,clean!$B$2:$B$998,$A44,clean!$C$2:$C$998,$B44,clean!$D$2:$D$998,$C44,clean!$E$2:$E$998,$D44,clean!$F$2:$F$998,$E44)</f>
        <v>1312400</v>
      </c>
      <c r="S44">
        <f t="shared" si="0"/>
        <v>359105350</v>
      </c>
      <c r="T44">
        <f>AVERAGEIFS(clean!T$2:T$998,clean!$B$2:$B$998,$A44,clean!$C$2:$C$998,$B44,clean!$D$2:$D$998,$C44,clean!$E$2:$E$998,$D44,clean!$F$2:$F$998,$E44)</f>
        <v>40942600</v>
      </c>
      <c r="U44">
        <f>AVERAGEIFS(clean!U$2:U$998,clean!$B$2:$B$998,$A44,clean!$C$2:$C$998,$B44,clean!$D$2:$D$998,$C44,clean!$E$2:$E$998,$D44,clean!$F$2:$F$998,$E44)</f>
        <v>2397195875</v>
      </c>
      <c r="V44">
        <f>AVERAGEIFS(clean!V$2:V$998,clean!$B$2:$B$998,$A44,clean!$C$2:$C$998,$B44,clean!$D$2:$D$998,$C44,clean!$E$2:$E$998,$D44,clean!$F$2:$F$998,$E44)</f>
        <v>5099242175</v>
      </c>
      <c r="W44">
        <f>AVERAGEIFS(clean!W$2:W$998,clean!$B$2:$B$998,$A44,clean!$C$2:$C$998,$B44,clean!$D$2:$D$998,$C44,clean!$E$2:$E$998,$D44,clean!$F$2:$F$998,$E44)</f>
        <v>402350</v>
      </c>
      <c r="X44">
        <f t="shared" si="1"/>
        <v>1043326900</v>
      </c>
      <c r="Y44">
        <f>AVERAGEIFS(clean!X$2:X$998,clean!$B$2:$B$998,$A44,clean!$C$2:$C$998,$B44,clean!$D$2:$D$998,$C44,clean!$E$2:$E$998,$D44,clean!$F$2:$F$998,$E44)</f>
        <v>1771105025</v>
      </c>
    </row>
    <row r="45" spans="1:25" x14ac:dyDescent="0.3">
      <c r="A45">
        <v>131072</v>
      </c>
      <c r="B45">
        <v>4</v>
      </c>
      <c r="C45">
        <v>125</v>
      </c>
      <c r="D45">
        <v>0.5</v>
      </c>
      <c r="E45">
        <v>11</v>
      </c>
      <c r="F45">
        <f>AVERAGEIFS(clean!G$2:G$998,clean!$B$2:$B$998,$A45,clean!$C$2:$C$998,$B45,clean!$D$2:$D$998,$C45,clean!$E$2:$E$998,$D45,clean!$F$2:$F$998,$E45)</f>
        <v>4095</v>
      </c>
      <c r="G45">
        <f>AVERAGEIFS(clean!H$2:H$998,clean!$B$2:$B$998,$A45,clean!$C$2:$C$998,$B45,clean!$D$2:$D$998,$C45,clean!$E$2:$E$998,$D45,clean!$F$2:$F$998,$E45)</f>
        <v>81979</v>
      </c>
      <c r="H45">
        <f>AVERAGEIFS(clean!I$2:I$998,clean!$B$2:$B$998,$A45,clean!$C$2:$C$998,$B45,clean!$D$2:$D$998,$C45,clean!$E$2:$E$998,$D45,clean!$F$2:$F$998,$E45)</f>
        <v>3138537375</v>
      </c>
      <c r="I45">
        <f>AVERAGEIFS(clean!J$2:J$998,clean!$B$2:$B$998,$A45,clean!$C$2:$C$998,$B45,clean!$D$2:$D$998,$C45,clean!$E$2:$E$998,$D45,clean!$F$2:$F$998,$E45)</f>
        <v>15131765075</v>
      </c>
      <c r="J45">
        <f>AVERAGEIFS(clean!K$2:K$998,clean!$B$2:$B$998,$A45,clean!$C$2:$C$998,$B45,clean!$D$2:$D$998,$C45,clean!$E$2:$E$998,$D45,clean!$F$2:$F$998,$E45)</f>
        <v>4.8386322146919882</v>
      </c>
      <c r="K45">
        <f>AVERAGEIFS(clean!L$2:L$998,clean!$B$2:$B$998,$A45,clean!$C$2:$C$998,$B45,clean!$D$2:$D$998,$C45,clean!$E$2:$E$998,$D45,clean!$F$2:$F$998,$E45)</f>
        <v>17764925</v>
      </c>
      <c r="L45">
        <f>AVERAGEIFS(clean!M$2:M$998,clean!$B$2:$B$998,$A45,clean!$C$2:$C$998,$B45,clean!$D$2:$D$998,$C45,clean!$E$2:$E$998,$D45,clean!$F$2:$F$998,$E45)</f>
        <v>505509100</v>
      </c>
      <c r="M45">
        <f>AVERAGEIFS(clean!N$2:N$998,clean!$B$2:$B$998,$A45,clean!$C$2:$C$998,$B45,clean!$D$2:$D$998,$C45,clean!$E$2:$E$998,$D45,clean!$F$2:$F$998,$E45)</f>
        <v>1486764150</v>
      </c>
      <c r="N45">
        <f>AVERAGEIFS(clean!O$2:O$998,clean!$B$2:$B$998,$A45,clean!$C$2:$C$998,$B45,clean!$D$2:$D$998,$C45,clean!$E$2:$E$998,$D45,clean!$F$2:$F$998,$E45)</f>
        <v>1992273250</v>
      </c>
      <c r="O45">
        <f>AVERAGEIFS(clean!P$2:P$998,clean!$B$2:$B$998,$A45,clean!$C$2:$C$998,$B45,clean!$D$2:$D$998,$C45,clean!$E$2:$E$998,$D45,clean!$F$2:$F$998,$E45)</f>
        <v>243500</v>
      </c>
      <c r="P45">
        <f>AVERAGEIFS(clean!Q$2:Q$998,clean!$B$2:$B$998,$A45,clean!$C$2:$C$998,$B45,clean!$D$2:$D$998,$C45,clean!$E$2:$E$998,$D45,clean!$F$2:$F$998,$E45)</f>
        <v>716348625</v>
      </c>
      <c r="Q45">
        <f>AVERAGEIFS(clean!R$2:R$998,clean!$B$2:$B$998,$A45,clean!$C$2:$C$998,$B45,clean!$D$2:$D$998,$C45,clean!$E$2:$E$998,$D45,clean!$F$2:$F$998,$E45)</f>
        <v>716592125</v>
      </c>
      <c r="R45">
        <f>AVERAGEIFS(clean!S$2:S$998,clean!$B$2:$B$998,$A45,clean!$C$2:$C$998,$B45,clean!$D$2:$D$998,$C45,clean!$E$2:$E$998,$D45,clean!$F$2:$F$998,$E45)</f>
        <v>1289875</v>
      </c>
      <c r="S45">
        <f t="shared" si="0"/>
        <v>410617200</v>
      </c>
      <c r="T45">
        <f>AVERAGEIFS(clean!T$2:T$998,clean!$B$2:$B$998,$A45,clean!$C$2:$C$998,$B45,clean!$D$2:$D$998,$C45,clean!$E$2:$E$998,$D45,clean!$F$2:$F$998,$E45)</f>
        <v>41653300</v>
      </c>
      <c r="U45">
        <f>AVERAGEIFS(clean!U$2:U$998,clean!$B$2:$B$998,$A45,clean!$C$2:$C$998,$B45,clean!$D$2:$D$998,$C45,clean!$E$2:$E$998,$D45,clean!$F$2:$F$998,$E45)</f>
        <v>8535276675</v>
      </c>
      <c r="V45">
        <f>AVERAGEIFS(clean!V$2:V$998,clean!$B$2:$B$998,$A45,clean!$C$2:$C$998,$B45,clean!$D$2:$D$998,$C45,clean!$E$2:$E$998,$D45,clean!$F$2:$F$998,$E45)</f>
        <v>4869478325</v>
      </c>
      <c r="W45">
        <f>AVERAGEIFS(clean!W$2:W$998,clean!$B$2:$B$998,$A45,clean!$C$2:$C$998,$B45,clean!$D$2:$D$998,$C45,clean!$E$2:$E$998,$D45,clean!$F$2:$F$998,$E45)</f>
        <v>358200</v>
      </c>
      <c r="X45">
        <f t="shared" si="1"/>
        <v>1684998575</v>
      </c>
      <c r="Y45">
        <f>AVERAGEIFS(clean!X$2:X$998,clean!$B$2:$B$998,$A45,clean!$C$2:$C$998,$B45,clean!$D$2:$D$998,$C45,clean!$E$2:$E$998,$D45,clean!$F$2:$F$998,$E45)</f>
        <v>3138537375</v>
      </c>
    </row>
    <row r="46" spans="1:25" x14ac:dyDescent="0.3">
      <c r="A46">
        <v>131072</v>
      </c>
      <c r="B46">
        <v>7</v>
      </c>
      <c r="C46">
        <v>512</v>
      </c>
      <c r="D46">
        <v>0.8</v>
      </c>
      <c r="E46">
        <v>8</v>
      </c>
      <c r="F46">
        <f>AVERAGEIFS(clean!G$2:G$998,clean!$B$2:$B$998,$A46,clean!$C$2:$C$998,$B46,clean!$D$2:$D$998,$C46,clean!$E$2:$E$998,$D46,clean!$F$2:$F$998,$E46)</f>
        <v>511</v>
      </c>
      <c r="G46">
        <f>AVERAGEIFS(clean!H$2:H$998,clean!$B$2:$B$998,$A46,clean!$C$2:$C$998,$B46,clean!$D$2:$D$998,$C46,clean!$E$2:$E$998,$D46,clean!$F$2:$F$998,$E46)</f>
        <v>1937.3333333333333</v>
      </c>
      <c r="H46">
        <f>AVERAGEIFS(clean!I$2:I$998,clean!$B$2:$B$998,$A46,clean!$C$2:$C$998,$B46,clean!$D$2:$D$998,$C46,clean!$E$2:$E$998,$D46,clean!$F$2:$F$998,$E46)</f>
        <v>4707535866.666667</v>
      </c>
      <c r="I46">
        <f>AVERAGEIFS(clean!J$2:J$998,clean!$B$2:$B$998,$A46,clean!$C$2:$C$998,$B46,clean!$D$2:$D$998,$C46,clean!$E$2:$E$998,$D46,clean!$F$2:$F$998,$E46)</f>
        <v>15394169366.666666</v>
      </c>
      <c r="J46">
        <f>AVERAGEIFS(clean!K$2:K$998,clean!$B$2:$B$998,$A46,clean!$C$2:$C$998,$B46,clean!$D$2:$D$998,$C46,clean!$E$2:$E$998,$D46,clean!$F$2:$F$998,$E46)</f>
        <v>3.2710339842387803</v>
      </c>
      <c r="K46">
        <f>AVERAGEIFS(clean!L$2:L$998,clean!$B$2:$B$998,$A46,clean!$C$2:$C$998,$B46,clean!$D$2:$D$998,$C46,clean!$E$2:$E$998,$D46,clean!$F$2:$F$998,$E46)</f>
        <v>514533.33333333331</v>
      </c>
      <c r="L46">
        <f>AVERAGEIFS(clean!M$2:M$998,clean!$B$2:$B$998,$A46,clean!$C$2:$C$998,$B46,clean!$D$2:$D$998,$C46,clean!$E$2:$E$998,$D46,clean!$F$2:$F$998,$E46)</f>
        <v>2286683800</v>
      </c>
      <c r="M46">
        <f>AVERAGEIFS(clean!N$2:N$998,clean!$B$2:$B$998,$A46,clean!$C$2:$C$998,$B46,clean!$D$2:$D$998,$C46,clean!$E$2:$E$998,$D46,clean!$F$2:$F$998,$E46)</f>
        <v>774438500</v>
      </c>
      <c r="N46">
        <f>AVERAGEIFS(clean!O$2:O$998,clean!$B$2:$B$998,$A46,clean!$C$2:$C$998,$B46,clean!$D$2:$D$998,$C46,clean!$E$2:$E$998,$D46,clean!$F$2:$F$998,$E46)</f>
        <v>3061122300</v>
      </c>
      <c r="O46">
        <f>AVERAGEIFS(clean!P$2:P$998,clean!$B$2:$B$998,$A46,clean!$C$2:$C$998,$B46,clean!$D$2:$D$998,$C46,clean!$E$2:$E$998,$D46,clean!$F$2:$F$998,$E46)</f>
        <v>88966.666666666672</v>
      </c>
      <c r="P46">
        <f>AVERAGEIFS(clean!Q$2:Q$998,clean!$B$2:$B$998,$A46,clean!$C$2:$C$998,$B46,clean!$D$2:$D$998,$C46,clean!$E$2:$E$998,$D46,clean!$F$2:$F$998,$E46)</f>
        <v>1048440200</v>
      </c>
      <c r="Q46">
        <f>AVERAGEIFS(clean!R$2:R$998,clean!$B$2:$B$998,$A46,clean!$C$2:$C$998,$B46,clean!$D$2:$D$998,$C46,clean!$E$2:$E$998,$D46,clean!$F$2:$F$998,$E46)</f>
        <v>1048529166.6666666</v>
      </c>
      <c r="R46">
        <f>AVERAGEIFS(clean!S$2:S$998,clean!$B$2:$B$998,$A46,clean!$C$2:$C$998,$B46,clean!$D$2:$D$998,$C46,clean!$E$2:$E$998,$D46,clean!$F$2:$F$998,$E46)</f>
        <v>1291566.6666666667</v>
      </c>
      <c r="S46">
        <f t="shared" si="0"/>
        <v>596078300.00000072</v>
      </c>
      <c r="T46">
        <f>AVERAGEIFS(clean!T$2:T$998,clean!$B$2:$B$998,$A46,clean!$C$2:$C$998,$B46,clean!$D$2:$D$998,$C46,clean!$E$2:$E$998,$D46,clean!$F$2:$F$998,$E46)</f>
        <v>29979400</v>
      </c>
      <c r="U46">
        <f>AVERAGEIFS(clean!U$2:U$998,clean!$B$2:$B$998,$A46,clean!$C$2:$C$998,$B46,clean!$D$2:$D$998,$C46,clean!$E$2:$E$998,$D46,clean!$F$2:$F$998,$E46)</f>
        <v>4110714300</v>
      </c>
      <c r="V46">
        <f>AVERAGEIFS(clean!V$2:V$998,clean!$B$2:$B$998,$A46,clean!$C$2:$C$998,$B46,clean!$D$2:$D$998,$C46,clean!$E$2:$E$998,$D46,clean!$F$2:$F$998,$E46)</f>
        <v>8218626666.666667</v>
      </c>
      <c r="W46">
        <f>AVERAGEIFS(clean!W$2:W$998,clean!$B$2:$B$998,$A46,clean!$C$2:$C$998,$B46,clean!$D$2:$D$998,$C46,clean!$E$2:$E$998,$D46,clean!$F$2:$F$998,$E46)</f>
        <v>393866.66666666669</v>
      </c>
      <c r="X46">
        <f t="shared" si="1"/>
        <v>3034455133.3333325</v>
      </c>
      <c r="Y46">
        <f>AVERAGEIFS(clean!X$2:X$998,clean!$B$2:$B$998,$A46,clean!$C$2:$C$998,$B46,clean!$D$2:$D$998,$C46,clean!$E$2:$E$998,$D46,clean!$F$2:$F$998,$E46)</f>
        <v>4707535866.666667</v>
      </c>
    </row>
    <row r="47" spans="1:25" x14ac:dyDescent="0.3">
      <c r="A47">
        <v>131072</v>
      </c>
      <c r="B47">
        <v>6</v>
      </c>
      <c r="C47">
        <v>343</v>
      </c>
      <c r="D47">
        <v>0.65</v>
      </c>
      <c r="E47">
        <v>9</v>
      </c>
      <c r="F47">
        <f>AVERAGEIFS(clean!G$2:G$998,clean!$B$2:$B$998,$A47,clean!$C$2:$C$998,$B47,clean!$D$2:$D$998,$C47,clean!$E$2:$E$998,$D47,clean!$F$2:$F$998,$E47)</f>
        <v>1023</v>
      </c>
      <c r="G47">
        <f>AVERAGEIFS(clean!H$2:H$998,clean!$B$2:$B$998,$A47,clean!$C$2:$C$998,$B47,clean!$D$2:$D$998,$C47,clean!$E$2:$E$998,$D47,clean!$F$2:$F$998,$E47)</f>
        <v>8553.3333333333339</v>
      </c>
      <c r="H47">
        <f>AVERAGEIFS(clean!I$2:I$998,clean!$B$2:$B$998,$A47,clean!$C$2:$C$998,$B47,clean!$D$2:$D$998,$C47,clean!$E$2:$E$998,$D47,clean!$F$2:$F$998,$E47)</f>
        <v>4800561300</v>
      </c>
      <c r="I47">
        <f>AVERAGEIFS(clean!J$2:J$998,clean!$B$2:$B$998,$A47,clean!$C$2:$C$998,$B47,clean!$D$2:$D$998,$C47,clean!$E$2:$E$998,$D47,clean!$F$2:$F$998,$E47)</f>
        <v>17116030866.666666</v>
      </c>
      <c r="J47">
        <f>AVERAGEIFS(clean!K$2:K$998,clean!$B$2:$B$998,$A47,clean!$C$2:$C$998,$B47,clean!$D$2:$D$998,$C47,clean!$E$2:$E$998,$D47,clean!$F$2:$F$998,$E47)</f>
        <v>3.5660304753777239</v>
      </c>
      <c r="K47">
        <f>AVERAGEIFS(clean!L$2:L$998,clean!$B$2:$B$998,$A47,clean!$C$2:$C$998,$B47,clean!$D$2:$D$998,$C47,clean!$E$2:$E$998,$D47,clean!$F$2:$F$998,$E47)</f>
        <v>1444800</v>
      </c>
      <c r="L47">
        <f>AVERAGEIFS(clean!M$2:M$998,clean!$B$2:$B$998,$A47,clean!$C$2:$C$998,$B47,clean!$D$2:$D$998,$C47,clean!$E$2:$E$998,$D47,clean!$F$2:$F$998,$E47)</f>
        <v>1904422900</v>
      </c>
      <c r="M47">
        <f>AVERAGEIFS(clean!N$2:N$998,clean!$B$2:$B$998,$A47,clean!$C$2:$C$998,$B47,clean!$D$2:$D$998,$C47,clean!$E$2:$E$998,$D47,clean!$F$2:$F$998,$E47)</f>
        <v>1150031566.6666667</v>
      </c>
      <c r="N47">
        <f>AVERAGEIFS(clean!O$2:O$998,clean!$B$2:$B$998,$A47,clean!$C$2:$C$998,$B47,clean!$D$2:$D$998,$C47,clean!$E$2:$E$998,$D47,clean!$F$2:$F$998,$E47)</f>
        <v>3054454466.6666665</v>
      </c>
      <c r="O47">
        <f>AVERAGEIFS(clean!P$2:P$998,clean!$B$2:$B$998,$A47,clean!$C$2:$C$998,$B47,clean!$D$2:$D$998,$C47,clean!$E$2:$E$998,$D47,clean!$F$2:$F$998,$E47)</f>
        <v>72966.666666666672</v>
      </c>
      <c r="P47">
        <f>AVERAGEIFS(clean!Q$2:Q$998,clean!$B$2:$B$998,$A47,clean!$C$2:$C$998,$B47,clean!$D$2:$D$998,$C47,clean!$E$2:$E$998,$D47,clean!$F$2:$F$998,$E47)</f>
        <v>1151208900</v>
      </c>
      <c r="Q47">
        <f>AVERAGEIFS(clean!R$2:R$998,clean!$B$2:$B$998,$A47,clean!$C$2:$C$998,$B47,clean!$D$2:$D$998,$C47,clean!$E$2:$E$998,$D47,clean!$F$2:$F$998,$E47)</f>
        <v>1151281866.6666667</v>
      </c>
      <c r="R47">
        <f>AVERAGEIFS(clean!S$2:S$998,clean!$B$2:$B$998,$A47,clean!$C$2:$C$998,$B47,clean!$D$2:$D$998,$C47,clean!$E$2:$E$998,$D47,clean!$F$2:$F$998,$E47)</f>
        <v>1322033.3333333333</v>
      </c>
      <c r="S47">
        <f t="shared" si="0"/>
        <v>592058133.33333337</v>
      </c>
      <c r="T47">
        <f>AVERAGEIFS(clean!T$2:T$998,clean!$B$2:$B$998,$A47,clean!$C$2:$C$998,$B47,clean!$D$2:$D$998,$C47,clean!$E$2:$E$998,$D47,clean!$F$2:$F$998,$E47)</f>
        <v>35229933.333333336</v>
      </c>
      <c r="U47">
        <f>AVERAGEIFS(clean!U$2:U$998,clean!$B$2:$B$998,$A47,clean!$C$2:$C$998,$B47,clean!$D$2:$D$998,$C47,clean!$E$2:$E$998,$D47,clean!$F$2:$F$998,$E47)</f>
        <v>5438969533.333333</v>
      </c>
      <c r="V47">
        <f>AVERAGEIFS(clean!V$2:V$998,clean!$B$2:$B$998,$A47,clean!$C$2:$C$998,$B47,clean!$D$2:$D$998,$C47,clean!$E$2:$E$998,$D47,clean!$F$2:$F$998,$E47)</f>
        <v>8807314133.333334</v>
      </c>
      <c r="W47">
        <f>AVERAGEIFS(clean!W$2:W$998,clean!$B$2:$B$998,$A47,clean!$C$2:$C$998,$B47,clean!$D$2:$D$998,$C47,clean!$E$2:$E$998,$D47,clean!$F$2:$F$998,$E47)</f>
        <v>390433.33333333331</v>
      </c>
      <c r="X47">
        <f t="shared" si="1"/>
        <v>2834126833.3333325</v>
      </c>
      <c r="Y47">
        <f>AVERAGEIFS(clean!X$2:X$998,clean!$B$2:$B$998,$A47,clean!$C$2:$C$998,$B47,clean!$D$2:$D$998,$C47,clean!$E$2:$E$998,$D47,clean!$F$2:$F$998,$E47)</f>
        <v>4800561300</v>
      </c>
    </row>
    <row r="48" spans="1:25" x14ac:dyDescent="0.3">
      <c r="A48">
        <v>131072</v>
      </c>
      <c r="B48">
        <v>5</v>
      </c>
      <c r="C48">
        <v>216</v>
      </c>
      <c r="D48">
        <v>0.5</v>
      </c>
      <c r="E48">
        <v>10</v>
      </c>
      <c r="F48">
        <f>AVERAGEIFS(clean!G$2:G$998,clean!$B$2:$B$998,$A48,clean!$C$2:$C$998,$B48,clean!$D$2:$D$998,$C48,clean!$E$2:$E$998,$D48,clean!$F$2:$F$998,$E48)</f>
        <v>2047</v>
      </c>
      <c r="G48">
        <f>AVERAGEIFS(clean!H$2:H$998,clean!$B$2:$B$998,$A48,clean!$C$2:$C$998,$B48,clean!$D$2:$D$998,$C48,clean!$E$2:$E$998,$D48,clean!$F$2:$F$998,$E48)</f>
        <v>34586</v>
      </c>
      <c r="H48">
        <f>AVERAGEIFS(clean!I$2:I$998,clean!$B$2:$B$998,$A48,clean!$C$2:$C$998,$B48,clean!$D$2:$D$998,$C48,clean!$E$2:$E$998,$D48,clean!$F$2:$F$998,$E48)</f>
        <v>5130455750</v>
      </c>
      <c r="I48">
        <f>AVERAGEIFS(clean!J$2:J$998,clean!$B$2:$B$998,$A48,clean!$C$2:$C$998,$B48,clean!$D$2:$D$998,$C48,clean!$E$2:$E$998,$D48,clean!$F$2:$F$998,$E48)</f>
        <v>23321258050</v>
      </c>
      <c r="J48">
        <f>AVERAGEIFS(clean!K$2:K$998,clean!$B$2:$B$998,$A48,clean!$C$2:$C$998,$B48,clean!$D$2:$D$998,$C48,clean!$E$2:$E$998,$D48,clean!$F$2:$F$998,$E48)</f>
        <v>4.5533310453531968</v>
      </c>
      <c r="K48">
        <f>AVERAGEIFS(clean!L$2:L$998,clean!$B$2:$B$998,$A48,clean!$C$2:$C$998,$B48,clean!$D$2:$D$998,$C48,clean!$E$2:$E$998,$D48,clean!$F$2:$F$998,$E48)</f>
        <v>6230100</v>
      </c>
      <c r="L48">
        <f>AVERAGEIFS(clean!M$2:M$998,clean!$B$2:$B$998,$A48,clean!$C$2:$C$998,$B48,clean!$D$2:$D$998,$C48,clean!$E$2:$E$998,$D48,clean!$F$2:$F$998,$E48)</f>
        <v>860050675</v>
      </c>
      <c r="M48">
        <f>AVERAGEIFS(clean!N$2:N$998,clean!$B$2:$B$998,$A48,clean!$C$2:$C$998,$B48,clean!$D$2:$D$998,$C48,clean!$E$2:$E$998,$D48,clean!$F$2:$F$998,$E48)</f>
        <v>2654228725</v>
      </c>
      <c r="N48">
        <f>AVERAGEIFS(clean!O$2:O$998,clean!$B$2:$B$998,$A48,clean!$C$2:$C$998,$B48,clean!$D$2:$D$998,$C48,clean!$E$2:$E$998,$D48,clean!$F$2:$F$998,$E48)</f>
        <v>3514279400</v>
      </c>
      <c r="O48">
        <f>AVERAGEIFS(clean!P$2:P$998,clean!$B$2:$B$998,$A48,clean!$C$2:$C$998,$B48,clean!$D$2:$D$998,$C48,clean!$E$2:$E$998,$D48,clean!$F$2:$F$998,$E48)</f>
        <v>122600</v>
      </c>
      <c r="P48">
        <f>AVERAGEIFS(clean!Q$2:Q$998,clean!$B$2:$B$998,$A48,clean!$C$2:$C$998,$B48,clean!$D$2:$D$998,$C48,clean!$E$2:$E$998,$D48,clean!$F$2:$F$998,$E48)</f>
        <v>1158626000</v>
      </c>
      <c r="Q48">
        <f>AVERAGEIFS(clean!R$2:R$998,clean!$B$2:$B$998,$A48,clean!$C$2:$C$998,$B48,clean!$D$2:$D$998,$C48,clean!$E$2:$E$998,$D48,clean!$F$2:$F$998,$E48)</f>
        <v>1158748600</v>
      </c>
      <c r="R48">
        <f>AVERAGEIFS(clean!S$2:S$998,clean!$B$2:$B$998,$A48,clean!$C$2:$C$998,$B48,clean!$D$2:$D$998,$C48,clean!$E$2:$E$998,$D48,clean!$F$2:$F$998,$E48)</f>
        <v>1341700</v>
      </c>
      <c r="S48">
        <f t="shared" si="0"/>
        <v>449855950</v>
      </c>
      <c r="T48">
        <f>AVERAGEIFS(clean!T$2:T$998,clean!$B$2:$B$998,$A48,clean!$C$2:$C$998,$B48,clean!$D$2:$D$998,$C48,clean!$E$2:$E$998,$D48,clean!$F$2:$F$998,$E48)</f>
        <v>39305025</v>
      </c>
      <c r="U48">
        <f>AVERAGEIFS(clean!U$2:U$998,clean!$B$2:$B$998,$A48,clean!$C$2:$C$998,$B48,clean!$D$2:$D$998,$C48,clean!$E$2:$E$998,$D48,clean!$F$2:$F$998,$E48)</f>
        <v>12690125175</v>
      </c>
      <c r="V48">
        <f>AVERAGEIFS(clean!V$2:V$998,clean!$B$2:$B$998,$A48,clean!$C$2:$C$998,$B48,clean!$D$2:$D$998,$C48,clean!$E$2:$E$998,$D48,clean!$F$2:$F$998,$E48)</f>
        <v>8431093675</v>
      </c>
      <c r="W48">
        <f>AVERAGEIFS(clean!W$2:W$998,clean!$B$2:$B$998,$A48,clean!$C$2:$C$998,$B48,clean!$D$2:$D$998,$C48,clean!$E$2:$E$998,$D48,clean!$F$2:$F$998,$E48)</f>
        <v>395475</v>
      </c>
      <c r="X48">
        <f t="shared" si="1"/>
        <v>2160338700</v>
      </c>
      <c r="Y48">
        <f>AVERAGEIFS(clean!X$2:X$998,clean!$B$2:$B$998,$A48,clean!$C$2:$C$998,$B48,clean!$D$2:$D$998,$C48,clean!$E$2:$E$998,$D48,clean!$F$2:$F$998,$E48)</f>
        <v>5130455750</v>
      </c>
    </row>
    <row r="49" spans="1:25" x14ac:dyDescent="0.3">
      <c r="A49">
        <v>131072</v>
      </c>
      <c r="B49">
        <v>3</v>
      </c>
      <c r="C49">
        <v>64</v>
      </c>
      <c r="D49">
        <v>0.35</v>
      </c>
      <c r="E49">
        <v>11</v>
      </c>
      <c r="F49">
        <f>AVERAGEIFS(clean!G$2:G$998,clean!$B$2:$B$998,$A49,clean!$C$2:$C$998,$B49,clean!$D$2:$D$998,$C49,clean!$E$2:$E$998,$D49,clean!$F$2:$F$998,$E49)</f>
        <v>4095</v>
      </c>
      <c r="G49">
        <f>AVERAGEIFS(clean!H$2:H$998,clean!$B$2:$B$998,$A49,clean!$C$2:$C$998,$B49,clean!$D$2:$D$998,$C49,clean!$E$2:$E$998,$D49,clean!$F$2:$F$998,$E49)</f>
        <v>208205.33333333334</v>
      </c>
      <c r="H49">
        <f>AVERAGEIFS(clean!I$2:I$998,clean!$B$2:$B$998,$A49,clean!$C$2:$C$998,$B49,clean!$D$2:$D$998,$C49,clean!$E$2:$E$998,$D49,clean!$F$2:$F$998,$E49)</f>
        <v>3591459666.6666665</v>
      </c>
      <c r="I49">
        <f>AVERAGEIFS(clean!J$2:J$998,clean!$B$2:$B$998,$A49,clean!$C$2:$C$998,$B49,clean!$D$2:$D$998,$C49,clean!$E$2:$E$998,$D49,clean!$F$2:$F$998,$E49)</f>
        <v>19060776200</v>
      </c>
      <c r="J49">
        <f>AVERAGEIFS(clean!K$2:K$998,clean!$B$2:$B$998,$A49,clean!$C$2:$C$998,$B49,clean!$D$2:$D$998,$C49,clean!$E$2:$E$998,$D49,clean!$F$2:$F$998,$E49)</f>
        <v>5.3109174901104232</v>
      </c>
      <c r="K49">
        <f>AVERAGEIFS(clean!L$2:L$998,clean!$B$2:$B$998,$A49,clean!$C$2:$C$998,$B49,clean!$D$2:$D$998,$C49,clean!$E$2:$E$998,$D49,clean!$F$2:$F$998,$E49)</f>
        <v>40728366.666666664</v>
      </c>
      <c r="L49">
        <f>AVERAGEIFS(clean!M$2:M$998,clean!$B$2:$B$998,$A49,clean!$C$2:$C$998,$B49,clean!$D$2:$D$998,$C49,clean!$E$2:$E$998,$D49,clean!$F$2:$F$998,$E49)</f>
        <v>211565533.33333334</v>
      </c>
      <c r="M49">
        <f>AVERAGEIFS(clean!N$2:N$998,clean!$B$2:$B$998,$A49,clean!$C$2:$C$998,$B49,clean!$D$2:$D$998,$C49,clean!$E$2:$E$998,$D49,clean!$F$2:$F$998,$E49)</f>
        <v>1116098833.3333333</v>
      </c>
      <c r="N49">
        <f>AVERAGEIFS(clean!O$2:O$998,clean!$B$2:$B$998,$A49,clean!$C$2:$C$998,$B49,clean!$D$2:$D$998,$C49,clean!$E$2:$E$998,$D49,clean!$F$2:$F$998,$E49)</f>
        <v>1327664366.6666667</v>
      </c>
      <c r="O49">
        <f>AVERAGEIFS(clean!P$2:P$998,clean!$B$2:$B$998,$A49,clean!$C$2:$C$998,$B49,clean!$D$2:$D$998,$C49,clean!$E$2:$E$998,$D49,clean!$F$2:$F$998,$E49)</f>
        <v>607833.33333333337</v>
      </c>
      <c r="P49">
        <f>AVERAGEIFS(clean!Q$2:Q$998,clean!$B$2:$B$998,$A49,clean!$C$2:$C$998,$B49,clean!$D$2:$D$998,$C49,clean!$E$2:$E$998,$D49,clean!$F$2:$F$998,$E49)</f>
        <v>1754102466.6666667</v>
      </c>
      <c r="Q49">
        <f>AVERAGEIFS(clean!R$2:R$998,clean!$B$2:$B$998,$A49,clean!$C$2:$C$998,$B49,clean!$D$2:$D$998,$C49,clean!$E$2:$E$998,$D49,clean!$F$2:$F$998,$E49)</f>
        <v>1754710300</v>
      </c>
      <c r="R49">
        <f>AVERAGEIFS(clean!S$2:S$998,clean!$B$2:$B$998,$A49,clean!$C$2:$C$998,$B49,clean!$D$2:$D$998,$C49,clean!$E$2:$E$998,$D49,clean!$F$2:$F$998,$E49)</f>
        <v>1339000</v>
      </c>
      <c r="S49">
        <f t="shared" si="0"/>
        <v>467017633.33333302</v>
      </c>
      <c r="T49">
        <f>AVERAGEIFS(clean!T$2:T$998,clean!$B$2:$B$998,$A49,clean!$C$2:$C$998,$B49,clean!$D$2:$D$998,$C49,clean!$E$2:$E$998,$D49,clean!$F$2:$F$998,$E49)</f>
        <v>37492466.666666664</v>
      </c>
      <c r="U49">
        <f>AVERAGEIFS(clean!U$2:U$998,clean!$B$2:$B$998,$A49,clean!$C$2:$C$998,$B49,clean!$D$2:$D$998,$C49,clean!$E$2:$E$998,$D49,clean!$F$2:$F$998,$E49)</f>
        <v>5599651900</v>
      </c>
      <c r="V49">
        <f>AVERAGEIFS(clean!V$2:V$998,clean!$B$2:$B$998,$A49,clean!$C$2:$C$998,$B49,clean!$D$2:$D$998,$C49,clean!$E$2:$E$998,$D49,clean!$F$2:$F$998,$E49)</f>
        <v>12715089433.333334</v>
      </c>
      <c r="W49">
        <f>AVERAGEIFS(clean!W$2:W$998,clean!$B$2:$B$998,$A49,clean!$C$2:$C$998,$B49,clean!$D$2:$D$998,$C49,clean!$E$2:$E$998,$D49,clean!$F$2:$F$998,$E49)</f>
        <v>384666.66666666669</v>
      </c>
      <c r="X49">
        <f t="shared" si="1"/>
        <v>708157733.33333147</v>
      </c>
      <c r="Y49">
        <f>AVERAGEIFS(clean!X$2:X$998,clean!$B$2:$B$998,$A49,clean!$C$2:$C$998,$B49,clean!$D$2:$D$998,$C49,clean!$E$2:$E$998,$D49,clean!$F$2:$F$998,$E49)</f>
        <v>3591459666.6666665</v>
      </c>
    </row>
    <row r="50" spans="1:25" x14ac:dyDescent="0.3">
      <c r="A50">
        <v>131072</v>
      </c>
      <c r="B50">
        <v>4</v>
      </c>
      <c r="C50">
        <v>125</v>
      </c>
      <c r="D50">
        <v>0.35</v>
      </c>
      <c r="E50">
        <v>11</v>
      </c>
      <c r="F50">
        <f>AVERAGEIFS(clean!G$2:G$998,clean!$B$2:$B$998,$A50,clean!$C$2:$C$998,$B50,clean!$D$2:$D$998,$C50,clean!$E$2:$E$998,$D50,clean!$F$2:$F$998,$E50)</f>
        <v>4095</v>
      </c>
      <c r="G50">
        <f>AVERAGEIFS(clean!H$2:H$998,clean!$B$2:$B$998,$A50,clean!$C$2:$C$998,$B50,clean!$D$2:$D$998,$C50,clean!$E$2:$E$998,$D50,clean!$F$2:$F$998,$E50)</f>
        <v>208597.33333333334</v>
      </c>
      <c r="H50">
        <f>AVERAGEIFS(clean!I$2:I$998,clean!$B$2:$B$998,$A50,clean!$C$2:$C$998,$B50,clean!$D$2:$D$998,$C50,clean!$E$2:$E$998,$D50,clean!$F$2:$F$998,$E50)</f>
        <v>6386454933.333333</v>
      </c>
      <c r="I50">
        <f>AVERAGEIFS(clean!J$2:J$998,clean!$B$2:$B$998,$A50,clean!$C$2:$C$998,$B50,clean!$D$2:$D$998,$C50,clean!$E$2:$E$998,$D50,clean!$F$2:$F$998,$E50)</f>
        <v>34450600466.666664</v>
      </c>
      <c r="J50">
        <f>AVERAGEIFS(clean!K$2:K$998,clean!$B$2:$B$998,$A50,clean!$C$2:$C$998,$B50,clean!$D$2:$D$998,$C50,clean!$E$2:$E$998,$D50,clean!$F$2:$F$998,$E50)</f>
        <v>5.3943418711001394</v>
      </c>
      <c r="K50">
        <f>AVERAGEIFS(clean!L$2:L$998,clean!$B$2:$B$998,$A50,clean!$C$2:$C$998,$B50,clean!$D$2:$D$998,$C50,clean!$E$2:$E$998,$D50,clean!$F$2:$F$998,$E50)</f>
        <v>42327333.333333336</v>
      </c>
      <c r="L50">
        <f>AVERAGEIFS(clean!M$2:M$998,clean!$B$2:$B$998,$A50,clean!$C$2:$C$998,$B50,clean!$D$2:$D$998,$C50,clean!$E$2:$E$998,$D50,clean!$F$2:$F$998,$E50)</f>
        <v>492633066.66666669</v>
      </c>
      <c r="M50">
        <f>AVERAGEIFS(clean!N$2:N$998,clean!$B$2:$B$998,$A50,clean!$C$2:$C$998,$B50,clean!$D$2:$D$998,$C50,clean!$E$2:$E$998,$D50,clean!$F$2:$F$998,$E50)</f>
        <v>3516820933.3333335</v>
      </c>
      <c r="N50">
        <f>AVERAGEIFS(clean!O$2:O$998,clean!$B$2:$B$998,$A50,clean!$C$2:$C$998,$B50,clean!$D$2:$D$998,$C50,clean!$E$2:$E$998,$D50,clean!$F$2:$F$998,$E50)</f>
        <v>4009454000</v>
      </c>
      <c r="O50">
        <f>AVERAGEIFS(clean!P$2:P$998,clean!$B$2:$B$998,$A50,clean!$C$2:$C$998,$B50,clean!$D$2:$D$998,$C50,clean!$E$2:$E$998,$D50,clean!$F$2:$F$998,$E50)</f>
        <v>590433.33333333337</v>
      </c>
      <c r="P50">
        <f>AVERAGEIFS(clean!Q$2:Q$998,clean!$B$2:$B$998,$A50,clean!$C$2:$C$998,$B50,clean!$D$2:$D$998,$C50,clean!$E$2:$E$998,$D50,clean!$F$2:$F$998,$E50)</f>
        <v>1822946433.3333333</v>
      </c>
      <c r="Q50">
        <f>AVERAGEIFS(clean!R$2:R$998,clean!$B$2:$B$998,$A50,clean!$C$2:$C$998,$B50,clean!$D$2:$D$998,$C50,clean!$E$2:$E$998,$D50,clean!$F$2:$F$998,$E50)</f>
        <v>1823536866.6666667</v>
      </c>
      <c r="R50">
        <f>AVERAGEIFS(clean!S$2:S$998,clean!$B$2:$B$998,$A50,clean!$C$2:$C$998,$B50,clean!$D$2:$D$998,$C50,clean!$E$2:$E$998,$D50,clean!$F$2:$F$998,$E50)</f>
        <v>1295666.6666666667</v>
      </c>
      <c r="S50">
        <f t="shared" si="0"/>
        <v>509841066.66666657</v>
      </c>
      <c r="T50">
        <f>AVERAGEIFS(clean!T$2:T$998,clean!$B$2:$B$998,$A50,clean!$C$2:$C$998,$B50,clean!$D$2:$D$998,$C50,clean!$E$2:$E$998,$D50,clean!$F$2:$F$998,$E50)</f>
        <v>40113700</v>
      </c>
      <c r="U50">
        <f>AVERAGEIFS(clean!U$2:U$998,clean!$B$2:$B$998,$A50,clean!$C$2:$C$998,$B50,clean!$D$2:$D$998,$C50,clean!$E$2:$E$998,$D50,clean!$F$2:$F$998,$E50)</f>
        <v>20203018200</v>
      </c>
      <c r="V50">
        <f>AVERAGEIFS(clean!V$2:V$998,clean!$B$2:$B$998,$A50,clean!$C$2:$C$998,$B50,clean!$D$2:$D$998,$C50,clean!$E$2:$E$998,$D50,clean!$F$2:$F$998,$E50)</f>
        <v>12422067766.666666</v>
      </c>
      <c r="W50">
        <f>AVERAGEIFS(clean!W$2:W$998,clean!$B$2:$B$998,$A50,clean!$C$2:$C$998,$B50,clean!$D$2:$D$998,$C50,clean!$E$2:$E$998,$D50,clean!$F$2:$F$998,$E50)</f>
        <v>365533.33333333331</v>
      </c>
      <c r="X50">
        <f t="shared" si="1"/>
        <v>1785035266.6666648</v>
      </c>
      <c r="Y50">
        <f>AVERAGEIFS(clean!X$2:X$998,clean!$B$2:$B$998,$A50,clean!$C$2:$C$998,$B50,clean!$D$2:$D$998,$C50,clean!$E$2:$E$998,$D50,clean!$F$2:$F$998,$E50)</f>
        <v>6386454933.333333</v>
      </c>
    </row>
    <row r="51" spans="1:25" x14ac:dyDescent="0.3">
      <c r="A51">
        <v>131072</v>
      </c>
      <c r="B51">
        <v>7</v>
      </c>
      <c r="C51">
        <v>512</v>
      </c>
      <c r="D51">
        <v>0.65</v>
      </c>
      <c r="E51">
        <v>8</v>
      </c>
      <c r="F51">
        <f>AVERAGEIFS(clean!G$2:G$998,clean!$B$2:$B$998,$A51,clean!$C$2:$C$998,$B51,clean!$D$2:$D$998,$C51,clean!$E$2:$E$998,$D51,clean!$F$2:$F$998,$E51)</f>
        <v>511</v>
      </c>
      <c r="G51">
        <f>AVERAGEIFS(clean!H$2:H$998,clean!$B$2:$B$998,$A51,clean!$C$2:$C$998,$B51,clean!$D$2:$D$998,$C51,clean!$E$2:$E$998,$D51,clean!$F$2:$F$998,$E51)</f>
        <v>3602.6666666666665</v>
      </c>
      <c r="H51">
        <f>AVERAGEIFS(clean!I$2:I$998,clean!$B$2:$B$998,$A51,clean!$C$2:$C$998,$B51,clean!$D$2:$D$998,$C51,clean!$E$2:$E$998,$D51,clean!$F$2:$F$998,$E51)</f>
        <v>5866462366.666667</v>
      </c>
      <c r="I51">
        <f>AVERAGEIFS(clean!J$2:J$998,clean!$B$2:$B$998,$A51,clean!$C$2:$C$998,$B51,clean!$D$2:$D$998,$C51,clean!$E$2:$E$998,$D51,clean!$F$2:$F$998,$E51)</f>
        <v>24290843600</v>
      </c>
      <c r="J51">
        <f>AVERAGEIFS(clean!K$2:K$998,clean!$B$2:$B$998,$A51,clean!$C$2:$C$998,$B51,clean!$D$2:$D$998,$C51,clean!$E$2:$E$998,$D51,clean!$F$2:$F$998,$E51)</f>
        <v>4.1417687094090496</v>
      </c>
      <c r="K51">
        <f>AVERAGEIFS(clean!L$2:L$998,clean!$B$2:$B$998,$A51,clean!$C$2:$C$998,$B51,clean!$D$2:$D$998,$C51,clean!$E$2:$E$998,$D51,clean!$F$2:$F$998,$E51)</f>
        <v>776133.33333333337</v>
      </c>
      <c r="L51">
        <f>AVERAGEIFS(clean!M$2:M$998,clean!$B$2:$B$998,$A51,clean!$C$2:$C$998,$B51,clean!$D$2:$D$998,$C51,clean!$E$2:$E$998,$D51,clean!$F$2:$F$998,$E51)</f>
        <v>2286413866.6666665</v>
      </c>
      <c r="M51">
        <f>AVERAGEIFS(clean!N$2:N$998,clean!$B$2:$B$998,$A51,clean!$C$2:$C$998,$B51,clean!$D$2:$D$998,$C51,clean!$E$2:$E$998,$D51,clean!$F$2:$F$998,$E51)</f>
        <v>1039651166.6666666</v>
      </c>
      <c r="N51">
        <f>AVERAGEIFS(clean!O$2:O$998,clean!$B$2:$B$998,$A51,clean!$C$2:$C$998,$B51,clean!$D$2:$D$998,$C51,clean!$E$2:$E$998,$D51,clean!$F$2:$F$998,$E51)</f>
        <v>3326065033.3333335</v>
      </c>
      <c r="O51">
        <f>AVERAGEIFS(clean!P$2:P$998,clean!$B$2:$B$998,$A51,clean!$C$2:$C$998,$B51,clean!$D$2:$D$998,$C51,clean!$E$2:$E$998,$D51,clean!$F$2:$F$998,$E51)</f>
        <v>88533.333333333328</v>
      </c>
      <c r="P51">
        <f>AVERAGEIFS(clean!Q$2:Q$998,clean!$B$2:$B$998,$A51,clean!$C$2:$C$998,$B51,clean!$D$2:$D$998,$C51,clean!$E$2:$E$998,$D51,clean!$F$2:$F$998,$E51)</f>
        <v>1942352400</v>
      </c>
      <c r="Q51">
        <f>AVERAGEIFS(clean!R$2:R$998,clean!$B$2:$B$998,$A51,clean!$C$2:$C$998,$B51,clean!$D$2:$D$998,$C51,clean!$E$2:$E$998,$D51,clean!$F$2:$F$998,$E51)</f>
        <v>1942440933.3333333</v>
      </c>
      <c r="R51">
        <f>AVERAGEIFS(clean!S$2:S$998,clean!$B$2:$B$998,$A51,clean!$C$2:$C$998,$B51,clean!$D$2:$D$998,$C51,clean!$E$2:$E$998,$D51,clean!$F$2:$F$998,$E51)</f>
        <v>1883800</v>
      </c>
      <c r="S51">
        <f t="shared" si="0"/>
        <v>595296466.66666722</v>
      </c>
      <c r="T51">
        <f>AVERAGEIFS(clean!T$2:T$998,clean!$B$2:$B$998,$A51,clean!$C$2:$C$998,$B51,clean!$D$2:$D$998,$C51,clean!$E$2:$E$998,$D51,clean!$F$2:$F$998,$E51)</f>
        <v>32881466.666666668</v>
      </c>
      <c r="U51">
        <f>AVERAGEIFS(clean!U$2:U$998,clean!$B$2:$B$998,$A51,clean!$C$2:$C$998,$B51,clean!$D$2:$D$998,$C51,clean!$E$2:$E$998,$D51,clean!$F$2:$F$998,$E51)</f>
        <v>5496137966.666667</v>
      </c>
      <c r="V51">
        <f>AVERAGEIFS(clean!V$2:V$998,clean!$B$2:$B$998,$A51,clean!$C$2:$C$998,$B51,clean!$D$2:$D$998,$C51,clean!$E$2:$E$998,$D51,clean!$F$2:$F$998,$E51)</f>
        <v>15366668700</v>
      </c>
      <c r="W51">
        <f>AVERAGEIFS(clean!W$2:W$998,clean!$B$2:$B$998,$A51,clean!$C$2:$C$998,$B51,clean!$D$2:$D$998,$C51,clean!$E$2:$E$998,$D51,clean!$F$2:$F$998,$E51)</f>
        <v>503800</v>
      </c>
      <c r="X51">
        <f t="shared" si="1"/>
        <v>3394651666.6666641</v>
      </c>
      <c r="Y51">
        <f>AVERAGEIFS(clean!X$2:X$998,clean!$B$2:$B$998,$A51,clean!$C$2:$C$998,$B51,clean!$D$2:$D$998,$C51,clean!$E$2:$E$998,$D51,clean!$F$2:$F$998,$E51)</f>
        <v>5866462366.666667</v>
      </c>
    </row>
    <row r="52" spans="1:25" x14ac:dyDescent="0.3">
      <c r="A52">
        <v>131072</v>
      </c>
      <c r="B52">
        <v>6</v>
      </c>
      <c r="C52">
        <v>343</v>
      </c>
      <c r="D52">
        <v>0.5</v>
      </c>
      <c r="E52">
        <v>9</v>
      </c>
      <c r="F52">
        <f>AVERAGEIFS(clean!G$2:G$998,clean!$B$2:$B$998,$A52,clean!$C$2:$C$998,$B52,clean!$D$2:$D$998,$C52,clean!$E$2:$E$998,$D52,clean!$F$2:$F$998,$E52)</f>
        <v>1023</v>
      </c>
      <c r="G52">
        <f>AVERAGEIFS(clean!H$2:H$998,clean!$B$2:$B$998,$A52,clean!$C$2:$C$998,$B52,clean!$D$2:$D$998,$C52,clean!$E$2:$E$998,$D52,clean!$F$2:$F$998,$E52)</f>
        <v>19149</v>
      </c>
      <c r="H52">
        <f>AVERAGEIFS(clean!I$2:I$998,clean!$B$2:$B$998,$A52,clean!$C$2:$C$998,$B52,clean!$D$2:$D$998,$C52,clean!$E$2:$E$998,$D52,clean!$F$2:$F$998,$E52)</f>
        <v>7644962175</v>
      </c>
      <c r="I52">
        <f>AVERAGEIFS(clean!J$2:J$998,clean!$B$2:$B$998,$A52,clean!$C$2:$C$998,$B52,clean!$D$2:$D$998,$C52,clean!$E$2:$E$998,$D52,clean!$F$2:$F$998,$E52)</f>
        <v>35237188675</v>
      </c>
      <c r="J52">
        <f>AVERAGEIFS(clean!K$2:K$998,clean!$B$2:$B$998,$A52,clean!$C$2:$C$998,$B52,clean!$D$2:$D$998,$C52,clean!$E$2:$E$998,$D52,clean!$F$2:$F$998,$E52)</f>
        <v>4.6124004487472323</v>
      </c>
      <c r="K52">
        <f>AVERAGEIFS(clean!L$2:L$998,clean!$B$2:$B$998,$A52,clean!$C$2:$C$998,$B52,clean!$D$2:$D$998,$C52,clean!$E$2:$E$998,$D52,clean!$F$2:$F$998,$E52)</f>
        <v>3278275</v>
      </c>
      <c r="L52">
        <f>AVERAGEIFS(clean!M$2:M$998,clean!$B$2:$B$998,$A52,clean!$C$2:$C$998,$B52,clean!$D$2:$D$998,$C52,clean!$E$2:$E$998,$D52,clean!$F$2:$F$998,$E52)</f>
        <v>1903691575</v>
      </c>
      <c r="M52">
        <f>AVERAGEIFS(clean!N$2:N$998,clean!$B$2:$B$998,$A52,clean!$C$2:$C$998,$B52,clean!$D$2:$D$998,$C52,clean!$E$2:$E$998,$D52,clean!$F$2:$F$998,$E52)</f>
        <v>2685934950</v>
      </c>
      <c r="N52">
        <f>AVERAGEIFS(clean!O$2:O$998,clean!$B$2:$B$998,$A52,clean!$C$2:$C$998,$B52,clean!$D$2:$D$998,$C52,clean!$E$2:$E$998,$D52,clean!$F$2:$F$998,$E52)</f>
        <v>4589626525</v>
      </c>
      <c r="O52">
        <f>AVERAGEIFS(clean!P$2:P$998,clean!$B$2:$B$998,$A52,clean!$C$2:$C$998,$B52,clean!$D$2:$D$998,$C52,clean!$E$2:$E$998,$D52,clean!$F$2:$F$998,$E52)</f>
        <v>104000</v>
      </c>
      <c r="P52">
        <f>AVERAGEIFS(clean!Q$2:Q$998,clean!$B$2:$B$998,$A52,clean!$C$2:$C$998,$B52,clean!$D$2:$D$998,$C52,clean!$E$2:$E$998,$D52,clean!$F$2:$F$998,$E52)</f>
        <v>2560723200</v>
      </c>
      <c r="Q52">
        <f>AVERAGEIFS(clean!R$2:R$998,clean!$B$2:$B$998,$A52,clean!$C$2:$C$998,$B52,clean!$D$2:$D$998,$C52,clean!$E$2:$E$998,$D52,clean!$F$2:$F$998,$E52)</f>
        <v>2560827200</v>
      </c>
      <c r="R52">
        <f>AVERAGEIFS(clean!S$2:S$998,clean!$B$2:$B$998,$A52,clean!$C$2:$C$998,$B52,clean!$D$2:$D$998,$C52,clean!$E$2:$E$998,$D52,clean!$F$2:$F$998,$E52)</f>
        <v>1296175</v>
      </c>
      <c r="S52">
        <f t="shared" si="0"/>
        <v>489934000</v>
      </c>
      <c r="T52">
        <f>AVERAGEIFS(clean!T$2:T$998,clean!$B$2:$B$998,$A52,clean!$C$2:$C$998,$B52,clean!$D$2:$D$998,$C52,clean!$E$2:$E$998,$D52,clean!$F$2:$F$998,$E52)</f>
        <v>33907200</v>
      </c>
      <c r="U52">
        <f>AVERAGEIFS(clean!U$2:U$998,clean!$B$2:$B$998,$A52,clean!$C$2:$C$998,$B52,clean!$D$2:$D$998,$C52,clean!$E$2:$E$998,$D52,clean!$F$2:$F$998,$E52)</f>
        <v>12725520350</v>
      </c>
      <c r="V52">
        <f>AVERAGEIFS(clean!V$2:V$998,clean!$B$2:$B$998,$A52,clean!$C$2:$C$998,$B52,clean!$D$2:$D$998,$C52,clean!$E$2:$E$998,$D52,clean!$F$2:$F$998,$E52)</f>
        <v>19790182450</v>
      </c>
      <c r="W52">
        <f>AVERAGEIFS(clean!W$2:W$998,clean!$B$2:$B$998,$A52,clean!$C$2:$C$998,$B52,clean!$D$2:$D$998,$C52,clean!$E$2:$E$998,$D52,clean!$F$2:$F$998,$E52)</f>
        <v>432175</v>
      </c>
      <c r="X52">
        <f t="shared" si="1"/>
        <v>2687146500</v>
      </c>
      <c r="Y52">
        <f>AVERAGEIFS(clean!X$2:X$998,clean!$B$2:$B$998,$A52,clean!$C$2:$C$998,$B52,clean!$D$2:$D$998,$C52,clean!$E$2:$E$998,$D52,clean!$F$2:$F$998,$E52)</f>
        <v>7644962175</v>
      </c>
    </row>
    <row r="53" spans="1:25" x14ac:dyDescent="0.3">
      <c r="A53">
        <v>131072</v>
      </c>
      <c r="B53">
        <v>5</v>
      </c>
      <c r="C53">
        <v>216</v>
      </c>
      <c r="D53">
        <v>0.35</v>
      </c>
      <c r="E53">
        <v>10</v>
      </c>
      <c r="F53">
        <f>AVERAGEIFS(clean!G$2:G$998,clean!$B$2:$B$998,$A53,clean!$C$2:$C$998,$B53,clean!$D$2:$D$998,$C53,clean!$E$2:$E$998,$D53,clean!$F$2:$F$998,$E53)</f>
        <v>2047</v>
      </c>
      <c r="G53">
        <f>AVERAGEIFS(clean!H$2:H$998,clean!$B$2:$B$998,$A53,clean!$C$2:$C$998,$B53,clean!$D$2:$D$998,$C53,clean!$E$2:$E$998,$D53,clean!$F$2:$F$998,$E53)</f>
        <v>89933.333333333328</v>
      </c>
      <c r="H53">
        <f>AVERAGEIFS(clean!I$2:I$998,clean!$B$2:$B$998,$A53,clean!$C$2:$C$998,$B53,clean!$D$2:$D$998,$C53,clean!$E$2:$E$998,$D53,clean!$F$2:$F$998,$E53)</f>
        <v>10579840766.666666</v>
      </c>
      <c r="I53">
        <f>AVERAGEIFS(clean!J$2:J$998,clean!$B$2:$B$998,$A53,clean!$C$2:$C$998,$B53,clean!$D$2:$D$998,$C53,clean!$E$2:$E$998,$D53,clean!$F$2:$F$998,$E53)</f>
        <v>53815308933.333336</v>
      </c>
      <c r="J53">
        <f>AVERAGEIFS(clean!K$2:K$998,clean!$B$2:$B$998,$A53,clean!$C$2:$C$998,$B53,clean!$D$2:$D$998,$C53,clean!$E$2:$E$998,$D53,clean!$F$2:$F$998,$E53)</f>
        <v>5.0867787710914465</v>
      </c>
      <c r="K53">
        <f>AVERAGEIFS(clean!L$2:L$998,clean!$B$2:$B$998,$A53,clean!$C$2:$C$998,$B53,clean!$D$2:$D$998,$C53,clean!$E$2:$E$998,$D53,clean!$F$2:$F$998,$E53)</f>
        <v>18284166.666666668</v>
      </c>
      <c r="L53">
        <f>AVERAGEIFS(clean!M$2:M$998,clean!$B$2:$B$998,$A53,clean!$C$2:$C$998,$B53,clean!$D$2:$D$998,$C53,clean!$E$2:$E$998,$D53,clean!$F$2:$F$998,$E53)</f>
        <v>857122900</v>
      </c>
      <c r="M53">
        <f>AVERAGEIFS(clean!N$2:N$998,clean!$B$2:$B$998,$A53,clean!$C$2:$C$998,$B53,clean!$D$2:$D$998,$C53,clean!$E$2:$E$998,$D53,clean!$F$2:$F$998,$E53)</f>
        <v>6142970800</v>
      </c>
      <c r="N53">
        <f>AVERAGEIFS(clean!O$2:O$998,clean!$B$2:$B$998,$A53,clean!$C$2:$C$998,$B53,clean!$D$2:$D$998,$C53,clean!$E$2:$E$998,$D53,clean!$F$2:$F$998,$E53)</f>
        <v>7000093700</v>
      </c>
      <c r="O53">
        <f>AVERAGEIFS(clean!P$2:P$998,clean!$B$2:$B$998,$A53,clean!$C$2:$C$998,$B53,clean!$D$2:$D$998,$C53,clean!$E$2:$E$998,$D53,clean!$F$2:$F$998,$E53)</f>
        <v>192366.66666666666</v>
      </c>
      <c r="P53">
        <f>AVERAGEIFS(clean!Q$2:Q$998,clean!$B$2:$B$998,$A53,clean!$C$2:$C$998,$B53,clean!$D$2:$D$998,$C53,clean!$E$2:$E$998,$D53,clean!$F$2:$F$998,$E53)</f>
        <v>3012407133.3333335</v>
      </c>
      <c r="Q53">
        <f>AVERAGEIFS(clean!R$2:R$998,clean!$B$2:$B$998,$A53,clean!$C$2:$C$998,$B53,clean!$D$2:$D$998,$C53,clean!$E$2:$E$998,$D53,clean!$F$2:$F$998,$E53)</f>
        <v>3012599500</v>
      </c>
      <c r="R53">
        <f>AVERAGEIFS(clean!S$2:S$998,clean!$B$2:$B$998,$A53,clean!$C$2:$C$998,$B53,clean!$D$2:$D$998,$C53,clean!$E$2:$E$998,$D53,clean!$F$2:$F$998,$E53)</f>
        <v>1285800</v>
      </c>
      <c r="S53">
        <f t="shared" si="0"/>
        <v>547577600</v>
      </c>
      <c r="T53">
        <f>AVERAGEIFS(clean!T$2:T$998,clean!$B$2:$B$998,$A53,clean!$C$2:$C$998,$B53,clean!$D$2:$D$998,$C53,clean!$E$2:$E$998,$D53,clean!$F$2:$F$998,$E53)</f>
        <v>55262733.333333336</v>
      </c>
      <c r="U53">
        <f>AVERAGEIFS(clean!U$2:U$998,clean!$B$2:$B$998,$A53,clean!$C$2:$C$998,$B53,clean!$D$2:$D$998,$C53,clean!$E$2:$E$998,$D53,clean!$F$2:$F$998,$E53)</f>
        <v>29397943866.666668</v>
      </c>
      <c r="V53">
        <f>AVERAGEIFS(clean!V$2:V$998,clean!$B$2:$B$998,$A53,clean!$C$2:$C$998,$B53,clean!$D$2:$D$998,$C53,clean!$E$2:$E$998,$D53,clean!$F$2:$F$998,$E53)</f>
        <v>21916840166.666668</v>
      </c>
      <c r="W53">
        <f>AVERAGEIFS(clean!W$2:W$998,clean!$B$2:$B$998,$A53,clean!$C$2:$C$998,$B53,clean!$D$2:$D$998,$C53,clean!$E$2:$E$998,$D53,clean!$F$2:$F$998,$E53)</f>
        <v>385500</v>
      </c>
      <c r="X53">
        <f t="shared" si="1"/>
        <v>2444876666.6666641</v>
      </c>
      <c r="Y53">
        <f>AVERAGEIFS(clean!X$2:X$998,clean!$B$2:$B$998,$A53,clean!$C$2:$C$998,$B53,clean!$D$2:$D$998,$C53,clean!$E$2:$E$998,$D53,clean!$F$2:$F$998,$E53)</f>
        <v>10579840766.666666</v>
      </c>
    </row>
    <row r="54" spans="1:25" x14ac:dyDescent="0.3">
      <c r="A54">
        <v>131072</v>
      </c>
      <c r="B54">
        <v>7</v>
      </c>
      <c r="C54">
        <v>512</v>
      </c>
      <c r="D54">
        <v>0.5</v>
      </c>
      <c r="E54">
        <v>8</v>
      </c>
      <c r="F54">
        <f>AVERAGEIFS(clean!G$2:G$998,clean!$B$2:$B$998,$A54,clean!$C$2:$C$998,$B54,clean!$D$2:$D$998,$C54,clean!$E$2:$E$998,$D54,clean!$F$2:$F$998,$E54)</f>
        <v>511</v>
      </c>
      <c r="G54">
        <f>AVERAGEIFS(clean!H$2:H$998,clean!$B$2:$B$998,$A54,clean!$C$2:$C$998,$B54,clean!$D$2:$D$998,$C54,clean!$E$2:$E$998,$D54,clean!$F$2:$F$998,$E54)</f>
        <v>9150</v>
      </c>
      <c r="H54">
        <f>AVERAGEIFS(clean!I$2:I$998,clean!$B$2:$B$998,$A54,clean!$C$2:$C$998,$B54,clean!$D$2:$D$998,$C54,clean!$E$2:$E$998,$D54,clean!$F$2:$F$998,$E54)</f>
        <v>9585800425</v>
      </c>
      <c r="I54">
        <f>AVERAGEIFS(clean!J$2:J$998,clean!$B$2:$B$998,$A54,clean!$C$2:$C$998,$B54,clean!$D$2:$D$998,$C54,clean!$E$2:$E$998,$D54,clean!$F$2:$F$998,$E54)</f>
        <v>52095753525</v>
      </c>
      <c r="J54">
        <f>AVERAGEIFS(clean!K$2:K$998,clean!$B$2:$B$998,$A54,clean!$C$2:$C$998,$B54,clean!$D$2:$D$998,$C54,clean!$E$2:$E$998,$D54,clean!$F$2:$F$998,$E54)</f>
        <v>5.4363200857504488</v>
      </c>
      <c r="K54">
        <f>AVERAGEIFS(clean!L$2:L$998,clean!$B$2:$B$998,$A54,clean!$C$2:$C$998,$B54,clean!$D$2:$D$998,$C54,clean!$E$2:$E$998,$D54,clean!$F$2:$F$998,$E54)</f>
        <v>1385050</v>
      </c>
      <c r="L54">
        <f>AVERAGEIFS(clean!M$2:M$998,clean!$B$2:$B$998,$A54,clean!$C$2:$C$998,$B54,clean!$D$2:$D$998,$C54,clean!$E$2:$E$998,$D54,clean!$F$2:$F$998,$E54)</f>
        <v>2295785700</v>
      </c>
      <c r="M54">
        <f>AVERAGEIFS(clean!N$2:N$998,clean!$B$2:$B$998,$A54,clean!$C$2:$C$998,$B54,clean!$D$2:$D$998,$C54,clean!$E$2:$E$998,$D54,clean!$F$2:$F$998,$E54)</f>
        <v>1881097550</v>
      </c>
      <c r="N54">
        <f>AVERAGEIFS(clean!O$2:O$998,clean!$B$2:$B$998,$A54,clean!$C$2:$C$998,$B54,clean!$D$2:$D$998,$C54,clean!$E$2:$E$998,$D54,clean!$F$2:$F$998,$E54)</f>
        <v>4176883250</v>
      </c>
      <c r="O54">
        <f>AVERAGEIFS(clean!P$2:P$998,clean!$B$2:$B$998,$A54,clean!$C$2:$C$998,$B54,clean!$D$2:$D$998,$C54,clean!$E$2:$E$998,$D54,clean!$F$2:$F$998,$E54)</f>
        <v>81750</v>
      </c>
      <c r="P54">
        <f>AVERAGEIFS(clean!Q$2:Q$998,clean!$B$2:$B$998,$A54,clean!$C$2:$C$998,$B54,clean!$D$2:$D$998,$C54,clean!$E$2:$E$998,$D54,clean!$F$2:$F$998,$E54)</f>
        <v>4911088800</v>
      </c>
      <c r="Q54">
        <f>AVERAGEIFS(clean!R$2:R$998,clean!$B$2:$B$998,$A54,clean!$C$2:$C$998,$B54,clean!$D$2:$D$998,$C54,clean!$E$2:$E$998,$D54,clean!$F$2:$F$998,$E54)</f>
        <v>4911170550</v>
      </c>
      <c r="R54">
        <f>AVERAGEIFS(clean!S$2:S$998,clean!$B$2:$B$998,$A54,clean!$C$2:$C$998,$B54,clean!$D$2:$D$998,$C54,clean!$E$2:$E$998,$D54,clean!$F$2:$F$998,$E54)</f>
        <v>1322400</v>
      </c>
      <c r="S54">
        <f t="shared" si="0"/>
        <v>495039175</v>
      </c>
      <c r="T54">
        <f>AVERAGEIFS(clean!T$2:T$998,clean!$B$2:$B$998,$A54,clean!$C$2:$C$998,$B54,clean!$D$2:$D$998,$C54,clean!$E$2:$E$998,$D54,clean!$F$2:$F$998,$E54)</f>
        <v>30618750</v>
      </c>
      <c r="U54">
        <f>AVERAGEIFS(clean!U$2:U$998,clean!$B$2:$B$998,$A54,clean!$C$2:$C$998,$B54,clean!$D$2:$D$998,$C54,clean!$E$2:$E$998,$D54,clean!$F$2:$F$998,$E54)</f>
        <v>10038004625</v>
      </c>
      <c r="V54">
        <f>AVERAGEIFS(clean!V$2:V$998,clean!$B$2:$B$998,$A54,clean!$C$2:$C$998,$B54,clean!$D$2:$D$998,$C54,clean!$E$2:$E$998,$D54,clean!$F$2:$F$998,$E54)</f>
        <v>38870463800</v>
      </c>
      <c r="W54">
        <f>AVERAGEIFS(clean!W$2:W$998,clean!$B$2:$B$998,$A54,clean!$C$2:$C$998,$B54,clean!$D$2:$D$998,$C54,clean!$E$2:$E$998,$D54,clean!$F$2:$F$998,$E54)</f>
        <v>419025</v>
      </c>
      <c r="X54">
        <f t="shared" si="1"/>
        <v>3156247325</v>
      </c>
      <c r="Y54">
        <f>AVERAGEIFS(clean!X$2:X$998,clean!$B$2:$B$998,$A54,clean!$C$2:$C$998,$B54,clean!$D$2:$D$998,$C54,clean!$E$2:$E$998,$D54,clean!$F$2:$F$998,$E54)</f>
        <v>9585800425</v>
      </c>
    </row>
    <row r="55" spans="1:25" x14ac:dyDescent="0.3">
      <c r="A55">
        <v>131072</v>
      </c>
      <c r="B55">
        <v>6</v>
      </c>
      <c r="C55">
        <v>343</v>
      </c>
      <c r="D55">
        <v>0.35</v>
      </c>
      <c r="E55">
        <v>9</v>
      </c>
      <c r="F55">
        <f>AVERAGEIFS(clean!G$2:G$998,clean!$B$2:$B$998,$A55,clean!$C$2:$C$998,$B55,clean!$D$2:$D$998,$C55,clean!$E$2:$E$998,$D55,clean!$F$2:$F$998,$E55)</f>
        <v>1023</v>
      </c>
      <c r="G55">
        <f>AVERAGEIFS(clean!H$2:H$998,clean!$B$2:$B$998,$A55,clean!$C$2:$C$998,$B55,clean!$D$2:$D$998,$C55,clean!$E$2:$E$998,$D55,clean!$F$2:$F$998,$E55)</f>
        <v>49461.333333333336</v>
      </c>
      <c r="H55">
        <f>AVERAGEIFS(clean!I$2:I$998,clean!$B$2:$B$998,$A55,clean!$C$2:$C$998,$B55,clean!$D$2:$D$998,$C55,clean!$E$2:$E$998,$D55,clean!$F$2:$F$998,$E55)</f>
        <v>13732019666.666666</v>
      </c>
      <c r="I55">
        <f>AVERAGEIFS(clean!J$2:J$998,clean!$B$2:$B$998,$A55,clean!$C$2:$C$998,$B55,clean!$D$2:$D$998,$C55,clean!$E$2:$E$998,$D55,clean!$F$2:$F$998,$E55)</f>
        <v>75637879433.333328</v>
      </c>
      <c r="J55">
        <f>AVERAGEIFS(clean!K$2:K$998,clean!$B$2:$B$998,$A55,clean!$C$2:$C$998,$B55,clean!$D$2:$D$998,$C55,clean!$E$2:$E$998,$D55,clean!$F$2:$F$998,$E55)</f>
        <v>5.5082278559814304</v>
      </c>
      <c r="K55">
        <f>AVERAGEIFS(clean!L$2:L$998,clean!$B$2:$B$998,$A55,clean!$C$2:$C$998,$B55,clean!$D$2:$D$998,$C55,clean!$E$2:$E$998,$D55,clean!$F$2:$F$998,$E55)</f>
        <v>6674600</v>
      </c>
      <c r="L55">
        <f>AVERAGEIFS(clean!M$2:M$998,clean!$B$2:$B$998,$A55,clean!$C$2:$C$998,$B55,clean!$D$2:$D$998,$C55,clean!$E$2:$E$998,$D55,clean!$F$2:$F$998,$E55)</f>
        <v>1894458766.6666667</v>
      </c>
      <c r="M55">
        <f>AVERAGEIFS(clean!N$2:N$998,clean!$B$2:$B$998,$A55,clean!$C$2:$C$998,$B55,clean!$D$2:$D$998,$C55,clean!$E$2:$E$998,$D55,clean!$F$2:$F$998,$E55)</f>
        <v>4608259400</v>
      </c>
      <c r="N55">
        <f>AVERAGEIFS(clean!O$2:O$998,clean!$B$2:$B$998,$A55,clean!$C$2:$C$998,$B55,clean!$D$2:$D$998,$C55,clean!$E$2:$E$998,$D55,clean!$F$2:$F$998,$E55)</f>
        <v>6502718166.666667</v>
      </c>
      <c r="O55">
        <f>AVERAGEIFS(clean!P$2:P$998,clean!$B$2:$B$998,$A55,clean!$C$2:$C$998,$B55,clean!$D$2:$D$998,$C55,clean!$E$2:$E$998,$D55,clean!$F$2:$F$998,$E55)</f>
        <v>163400</v>
      </c>
      <c r="P55">
        <f>AVERAGEIFS(clean!Q$2:Q$998,clean!$B$2:$B$998,$A55,clean!$C$2:$C$998,$B55,clean!$D$2:$D$998,$C55,clean!$E$2:$E$998,$D55,clean!$F$2:$F$998,$E55)</f>
        <v>6631832400</v>
      </c>
      <c r="Q55">
        <f>AVERAGEIFS(clean!R$2:R$998,clean!$B$2:$B$998,$A55,clean!$C$2:$C$998,$B55,clean!$D$2:$D$998,$C55,clean!$E$2:$E$998,$D55,clean!$F$2:$F$998,$E55)</f>
        <v>6631995800</v>
      </c>
      <c r="R55">
        <f>AVERAGEIFS(clean!S$2:S$998,clean!$B$2:$B$998,$A55,clean!$C$2:$C$998,$B55,clean!$D$2:$D$998,$C55,clean!$E$2:$E$998,$D55,clean!$F$2:$F$998,$E55)</f>
        <v>1375600</v>
      </c>
      <c r="S55">
        <f t="shared" si="0"/>
        <v>589255499.99999905</v>
      </c>
      <c r="T55">
        <f>AVERAGEIFS(clean!T$2:T$998,clean!$B$2:$B$998,$A55,clean!$C$2:$C$998,$B55,clean!$D$2:$D$998,$C55,clean!$E$2:$E$998,$D55,clean!$F$2:$F$998,$E55)</f>
        <v>34286133.333333336</v>
      </c>
      <c r="U55">
        <f>AVERAGEIFS(clean!U$2:U$998,clean!$B$2:$B$998,$A55,clean!$C$2:$C$998,$B55,clean!$D$2:$D$998,$C55,clean!$E$2:$E$998,$D55,clean!$F$2:$F$998,$E55)</f>
        <v>21828530600</v>
      </c>
      <c r="V55">
        <f>AVERAGEIFS(clean!V$2:V$998,clean!$B$2:$B$998,$A55,clean!$C$2:$C$998,$B55,clean!$D$2:$D$998,$C55,clean!$E$2:$E$998,$D55,clean!$F$2:$F$998,$E55)</f>
        <v>50964868800</v>
      </c>
      <c r="W55">
        <f>AVERAGEIFS(clean!W$2:W$998,clean!$B$2:$B$998,$A55,clean!$C$2:$C$998,$B55,clean!$D$2:$D$998,$C55,clean!$E$2:$E$998,$D55,clean!$F$2:$F$998,$E55)</f>
        <v>419300</v>
      </c>
      <c r="X55">
        <f t="shared" si="1"/>
        <v>2809774600</v>
      </c>
      <c r="Y55">
        <f>AVERAGEIFS(clean!X$2:X$998,clean!$B$2:$B$998,$A55,clean!$C$2:$C$998,$B55,clean!$D$2:$D$998,$C55,clean!$E$2:$E$998,$D55,clean!$F$2:$F$998,$E55)</f>
        <v>13732019666.666666</v>
      </c>
    </row>
    <row r="56" spans="1:25" x14ac:dyDescent="0.3">
      <c r="A56">
        <v>131072</v>
      </c>
      <c r="B56">
        <v>3</v>
      </c>
      <c r="C56">
        <v>64</v>
      </c>
      <c r="D56">
        <v>0.2</v>
      </c>
      <c r="E56">
        <v>11</v>
      </c>
      <c r="F56">
        <f>AVERAGEIFS(clean!G$2:G$998,clean!$B$2:$B$998,$A56,clean!$C$2:$C$998,$B56,clean!$D$2:$D$998,$C56,clean!$E$2:$E$998,$D56,clean!$F$2:$F$998,$E56)</f>
        <v>4095</v>
      </c>
      <c r="G56">
        <f>AVERAGEIFS(clean!H$2:H$998,clean!$B$2:$B$998,$A56,clean!$C$2:$C$998,$B56,clean!$D$2:$D$998,$C56,clean!$E$2:$E$998,$D56,clean!$F$2:$F$998,$E56)</f>
        <v>913132</v>
      </c>
      <c r="H56">
        <f>AVERAGEIFS(clean!I$2:I$998,clean!$B$2:$B$998,$A56,clean!$C$2:$C$998,$B56,clean!$D$2:$D$998,$C56,clean!$E$2:$E$998,$D56,clean!$F$2:$F$998,$E56)</f>
        <v>10966608566.666666</v>
      </c>
      <c r="I56">
        <f>AVERAGEIFS(clean!J$2:J$998,clean!$B$2:$B$998,$A56,clean!$C$2:$C$998,$B56,clean!$D$2:$D$998,$C56,clean!$E$2:$E$998,$D56,clean!$F$2:$F$998,$E56)</f>
        <v>71377753833.333328</v>
      </c>
      <c r="J56">
        <f>AVERAGEIFS(clean!K$2:K$998,clean!$B$2:$B$998,$A56,clean!$C$2:$C$998,$B56,clean!$D$2:$D$998,$C56,clean!$E$2:$E$998,$D56,clean!$F$2:$F$998,$E56)</f>
        <v>6.5082397287288964</v>
      </c>
      <c r="K56">
        <f>AVERAGEIFS(clean!L$2:L$998,clean!$B$2:$B$998,$A56,clean!$C$2:$C$998,$B56,clean!$D$2:$D$998,$C56,clean!$E$2:$E$998,$D56,clean!$F$2:$F$998,$E56)</f>
        <v>147862100</v>
      </c>
      <c r="L56">
        <f>AVERAGEIFS(clean!M$2:M$998,clean!$B$2:$B$998,$A56,clean!$C$2:$C$998,$B56,clean!$D$2:$D$998,$C56,clean!$E$2:$E$998,$D56,clean!$F$2:$F$998,$E56)</f>
        <v>290444100</v>
      </c>
      <c r="M56">
        <f>AVERAGEIFS(clean!N$2:N$998,clean!$B$2:$B$998,$A56,clean!$C$2:$C$998,$B56,clean!$D$2:$D$998,$C56,clean!$E$2:$E$998,$D56,clean!$F$2:$F$998,$E56)</f>
        <v>2783116533.3333335</v>
      </c>
      <c r="N56">
        <f>AVERAGEIFS(clean!O$2:O$998,clean!$B$2:$B$998,$A56,clean!$C$2:$C$998,$B56,clean!$D$2:$D$998,$C56,clean!$E$2:$E$998,$D56,clean!$F$2:$F$998,$E56)</f>
        <v>3073560633.3333335</v>
      </c>
      <c r="O56">
        <f>AVERAGEIFS(clean!P$2:P$998,clean!$B$2:$B$998,$A56,clean!$C$2:$C$998,$B56,clean!$D$2:$D$998,$C56,clean!$E$2:$E$998,$D56,clean!$F$2:$F$998,$E56)</f>
        <v>2360533.3333333335</v>
      </c>
      <c r="P56">
        <f>AVERAGEIFS(clean!Q$2:Q$998,clean!$B$2:$B$998,$A56,clean!$C$2:$C$998,$B56,clean!$D$2:$D$998,$C56,clean!$E$2:$E$998,$D56,clean!$F$2:$F$998,$E56)</f>
        <v>7678203533.333333</v>
      </c>
      <c r="Q56">
        <f>AVERAGEIFS(clean!R$2:R$998,clean!$B$2:$B$998,$A56,clean!$C$2:$C$998,$B56,clean!$D$2:$D$998,$C56,clean!$E$2:$E$998,$D56,clean!$F$2:$F$998,$E56)</f>
        <v>7680564066.666667</v>
      </c>
      <c r="R56">
        <f>AVERAGEIFS(clean!S$2:S$998,clean!$B$2:$B$998,$A56,clean!$C$2:$C$998,$B56,clean!$D$2:$D$998,$C56,clean!$E$2:$E$998,$D56,clean!$F$2:$F$998,$E56)</f>
        <v>1262966.6666666667</v>
      </c>
      <c r="S56">
        <f t="shared" si="0"/>
        <v>63358799.999998413</v>
      </c>
      <c r="T56">
        <f>AVERAGEIFS(clean!T$2:T$998,clean!$B$2:$B$998,$A56,clean!$C$2:$C$998,$B56,clean!$D$2:$D$998,$C56,clean!$E$2:$E$998,$D56,clean!$F$2:$F$998,$E56)</f>
        <v>38443433.333333336</v>
      </c>
      <c r="U56">
        <f>AVERAGEIFS(clean!U$2:U$998,clean!$B$2:$B$998,$A56,clean!$C$2:$C$998,$B56,clean!$D$2:$D$998,$C56,clean!$E$2:$E$998,$D56,clean!$F$2:$F$998,$E56)</f>
        <v>14579237933.333334</v>
      </c>
      <c r="V56">
        <f>AVERAGEIFS(clean!V$2:V$998,clean!$B$2:$B$998,$A56,clean!$C$2:$C$998,$B56,clean!$D$2:$D$998,$C56,clean!$E$2:$E$998,$D56,clean!$F$2:$F$998,$E56)</f>
        <v>55789068466.666664</v>
      </c>
      <c r="W56">
        <f>AVERAGEIFS(clean!W$2:W$998,clean!$B$2:$B$998,$A56,clean!$C$2:$C$998,$B56,clean!$D$2:$D$998,$C56,clean!$E$2:$E$998,$D56,clean!$F$2:$F$998,$E56)</f>
        <v>388400</v>
      </c>
      <c r="X56">
        <f t="shared" si="1"/>
        <v>970615600</v>
      </c>
      <c r="Y56">
        <f>AVERAGEIFS(clean!X$2:X$998,clean!$B$2:$B$998,$A56,clean!$C$2:$C$998,$B56,clean!$D$2:$D$998,$C56,clean!$E$2:$E$998,$D56,clean!$F$2:$F$998,$E56)</f>
        <v>10966608566.666666</v>
      </c>
    </row>
    <row r="57" spans="1:25" x14ac:dyDescent="0.3">
      <c r="A57">
        <v>131072</v>
      </c>
      <c r="B57">
        <v>4</v>
      </c>
      <c r="C57">
        <v>125</v>
      </c>
      <c r="D57">
        <v>0.2</v>
      </c>
      <c r="E57">
        <v>11</v>
      </c>
      <c r="F57">
        <f>AVERAGEIFS(clean!G$2:G$998,clean!$B$2:$B$998,$A57,clean!$C$2:$C$998,$B57,clean!$D$2:$D$998,$C57,clean!$E$2:$E$998,$D57,clean!$F$2:$F$998,$E57)</f>
        <v>4095</v>
      </c>
      <c r="G57">
        <f>AVERAGEIFS(clean!H$2:H$998,clean!$B$2:$B$998,$A57,clean!$C$2:$C$998,$B57,clean!$D$2:$D$998,$C57,clean!$E$2:$E$998,$D57,clean!$F$2:$F$998,$E57)</f>
        <v>915456</v>
      </c>
      <c r="H57">
        <f>AVERAGEIFS(clean!I$2:I$998,clean!$B$2:$B$998,$A57,clean!$C$2:$C$998,$B57,clean!$D$2:$D$998,$C57,clean!$E$2:$E$998,$D57,clean!$F$2:$F$998,$E57)</f>
        <v>17938551333.333332</v>
      </c>
      <c r="I57">
        <f>AVERAGEIFS(clean!J$2:J$998,clean!$B$2:$B$998,$A57,clean!$C$2:$C$998,$B57,clean!$D$2:$D$998,$C57,clean!$E$2:$E$998,$D57,clean!$F$2:$F$998,$E57)</f>
        <v>107910102366.66667</v>
      </c>
      <c r="J57">
        <f>AVERAGEIFS(clean!K$2:K$998,clean!$B$2:$B$998,$A57,clean!$C$2:$C$998,$B57,clean!$D$2:$D$998,$C57,clean!$E$2:$E$998,$D57,clean!$F$2:$F$998,$E57)</f>
        <v>6.0162439056041697</v>
      </c>
      <c r="K57">
        <f>AVERAGEIFS(clean!L$2:L$998,clean!$B$2:$B$998,$A57,clean!$C$2:$C$998,$B57,clean!$D$2:$D$998,$C57,clean!$E$2:$E$998,$D57,clean!$F$2:$F$998,$E57)</f>
        <v>141493833.33333334</v>
      </c>
      <c r="L57">
        <f>AVERAGEIFS(clean!M$2:M$998,clean!$B$2:$B$998,$A57,clean!$C$2:$C$998,$B57,clean!$D$2:$D$998,$C57,clean!$E$2:$E$998,$D57,clean!$F$2:$F$998,$E57)</f>
        <v>518650400</v>
      </c>
      <c r="M57">
        <f>AVERAGEIFS(clean!N$2:N$998,clean!$B$2:$B$998,$A57,clean!$C$2:$C$998,$B57,clean!$D$2:$D$998,$C57,clean!$E$2:$E$998,$D57,clean!$F$2:$F$998,$E57)</f>
        <v>8992298300</v>
      </c>
      <c r="N57">
        <f>AVERAGEIFS(clean!O$2:O$998,clean!$B$2:$B$998,$A57,clean!$C$2:$C$998,$B57,clean!$D$2:$D$998,$C57,clean!$E$2:$E$998,$D57,clean!$F$2:$F$998,$E57)</f>
        <v>9510948700</v>
      </c>
      <c r="O57">
        <f>AVERAGEIFS(clean!P$2:P$998,clean!$B$2:$B$998,$A57,clean!$C$2:$C$998,$B57,clean!$D$2:$D$998,$C57,clean!$E$2:$E$998,$D57,clean!$F$2:$F$998,$E57)</f>
        <v>4300133.333333333</v>
      </c>
      <c r="P57">
        <f>AVERAGEIFS(clean!Q$2:Q$998,clean!$B$2:$B$998,$A57,clean!$C$2:$C$998,$B57,clean!$D$2:$D$998,$C57,clean!$E$2:$E$998,$D57,clean!$F$2:$F$998,$E57)</f>
        <v>8023821133.333333</v>
      </c>
      <c r="Q57">
        <f>AVERAGEIFS(clean!R$2:R$998,clean!$B$2:$B$998,$A57,clean!$C$2:$C$998,$B57,clean!$D$2:$D$998,$C57,clean!$E$2:$E$998,$D57,clean!$F$2:$F$998,$E57)</f>
        <v>8028121266.666667</v>
      </c>
      <c r="R57">
        <f>AVERAGEIFS(clean!S$2:S$998,clean!$B$2:$B$998,$A57,clean!$C$2:$C$998,$B57,clean!$D$2:$D$998,$C57,clean!$E$2:$E$998,$D57,clean!$F$2:$F$998,$E57)</f>
        <v>1361700</v>
      </c>
      <c r="S57">
        <f t="shared" si="0"/>
        <v>256625833.33333302</v>
      </c>
      <c r="T57">
        <f>AVERAGEIFS(clean!T$2:T$998,clean!$B$2:$B$998,$A57,clean!$C$2:$C$998,$B57,clean!$D$2:$D$998,$C57,clean!$E$2:$E$998,$D57,clean!$F$2:$F$998,$E57)</f>
        <v>41571800</v>
      </c>
      <c r="U57">
        <f>AVERAGEIFS(clean!U$2:U$998,clean!$B$2:$B$998,$A57,clean!$C$2:$C$998,$B57,clean!$D$2:$D$998,$C57,clean!$E$2:$E$998,$D57,clean!$F$2:$F$998,$E57)</f>
        <v>51854986100</v>
      </c>
      <c r="V57">
        <f>AVERAGEIFS(clean!V$2:V$998,clean!$B$2:$B$998,$A57,clean!$C$2:$C$998,$B57,clean!$D$2:$D$998,$C57,clean!$E$2:$E$998,$D57,clean!$F$2:$F$998,$E57)</f>
        <v>54199412100</v>
      </c>
      <c r="W57">
        <f>AVERAGEIFS(clean!W$2:W$998,clean!$B$2:$B$998,$A57,clean!$C$2:$C$998,$B57,clean!$D$2:$D$998,$C57,clean!$E$2:$E$998,$D57,clean!$F$2:$F$998,$E57)</f>
        <v>383366.66666666669</v>
      </c>
      <c r="X57">
        <f t="shared" si="1"/>
        <v>1813749000.000005</v>
      </c>
      <c r="Y57">
        <f>AVERAGEIFS(clean!X$2:X$998,clean!$B$2:$B$998,$A57,clean!$C$2:$C$998,$B57,clean!$D$2:$D$998,$C57,clean!$E$2:$E$998,$D57,clean!$F$2:$F$998,$E57)</f>
        <v>17938551333.333332</v>
      </c>
    </row>
    <row r="58" spans="1:25" x14ac:dyDescent="0.3">
      <c r="A58">
        <v>131072</v>
      </c>
      <c r="B58">
        <v>7</v>
      </c>
      <c r="C58">
        <v>512</v>
      </c>
      <c r="D58">
        <v>0.35</v>
      </c>
      <c r="E58">
        <v>8</v>
      </c>
      <c r="F58">
        <f>AVERAGEIFS(clean!G$2:G$998,clean!$B$2:$B$998,$A58,clean!$C$2:$C$998,$B58,clean!$D$2:$D$998,$C58,clean!$E$2:$E$998,$D58,clean!$F$2:$F$998,$E58)</f>
        <v>511</v>
      </c>
      <c r="G58">
        <f>AVERAGEIFS(clean!H$2:H$998,clean!$B$2:$B$998,$A58,clean!$C$2:$C$998,$B58,clean!$D$2:$D$998,$C58,clean!$E$2:$E$998,$D58,clean!$F$2:$F$998,$E58)</f>
        <v>19505.333333333332</v>
      </c>
      <c r="H58">
        <f>AVERAGEIFS(clean!I$2:I$998,clean!$B$2:$B$998,$A58,clean!$C$2:$C$998,$B58,clean!$D$2:$D$998,$C58,clean!$E$2:$E$998,$D58,clean!$F$2:$F$998,$E58)</f>
        <v>16945024500</v>
      </c>
      <c r="I58">
        <f>AVERAGEIFS(clean!J$2:J$998,clean!$B$2:$B$998,$A58,clean!$C$2:$C$998,$B58,clean!$D$2:$D$998,$C58,clean!$E$2:$E$998,$D58,clean!$F$2:$F$998,$E58)</f>
        <v>105512770100</v>
      </c>
      <c r="J58">
        <f>AVERAGEIFS(clean!K$2:K$998,clean!$B$2:$B$998,$A58,clean!$C$2:$C$998,$B58,clean!$D$2:$D$998,$C58,clean!$E$2:$E$998,$D58,clean!$F$2:$F$998,$E58)</f>
        <v>6.2268992122098235</v>
      </c>
      <c r="K58">
        <f>AVERAGEIFS(clean!L$2:L$998,clean!$B$2:$B$998,$A58,clean!$C$2:$C$998,$B58,clean!$D$2:$D$998,$C58,clean!$E$2:$E$998,$D58,clean!$F$2:$F$998,$E58)</f>
        <v>2845133.3333333335</v>
      </c>
      <c r="L58">
        <f>AVERAGEIFS(clean!M$2:M$998,clean!$B$2:$B$998,$A58,clean!$C$2:$C$998,$B58,clean!$D$2:$D$998,$C58,clean!$E$2:$E$998,$D58,clean!$F$2:$F$998,$E58)</f>
        <v>2276094466.6666665</v>
      </c>
      <c r="M58">
        <f>AVERAGEIFS(clean!N$2:N$998,clean!$B$2:$B$998,$A58,clean!$C$2:$C$998,$B58,clean!$D$2:$D$998,$C58,clean!$E$2:$E$998,$D58,clean!$F$2:$F$998,$E58)</f>
        <v>3587295400</v>
      </c>
      <c r="N58">
        <f>AVERAGEIFS(clean!O$2:O$998,clean!$B$2:$B$998,$A58,clean!$C$2:$C$998,$B58,clean!$D$2:$D$998,$C58,clean!$E$2:$E$998,$D58,clean!$F$2:$F$998,$E58)</f>
        <v>5863389866.666667</v>
      </c>
      <c r="O58">
        <f>AVERAGEIFS(clean!P$2:P$998,clean!$B$2:$B$998,$A58,clean!$C$2:$C$998,$B58,clean!$D$2:$D$998,$C58,clean!$E$2:$E$998,$D58,clean!$F$2:$F$998,$E58)</f>
        <v>116700</v>
      </c>
      <c r="P58">
        <f>AVERAGEIFS(clean!Q$2:Q$998,clean!$B$2:$B$998,$A58,clean!$C$2:$C$998,$B58,clean!$D$2:$D$998,$C58,clean!$E$2:$E$998,$D58,clean!$F$2:$F$998,$E58)</f>
        <v>10482590300</v>
      </c>
      <c r="Q58">
        <f>AVERAGEIFS(clean!R$2:R$998,clean!$B$2:$B$998,$A58,clean!$C$2:$C$998,$B58,clean!$D$2:$D$998,$C58,clean!$E$2:$E$998,$D58,clean!$F$2:$F$998,$E58)</f>
        <v>10482707000</v>
      </c>
      <c r="R58">
        <f>AVERAGEIFS(clean!S$2:S$998,clean!$B$2:$B$998,$A58,clean!$C$2:$C$998,$B58,clean!$D$2:$D$998,$C58,clean!$E$2:$E$998,$D58,clean!$F$2:$F$998,$E58)</f>
        <v>1271633.3333333333</v>
      </c>
      <c r="S58">
        <f t="shared" si="0"/>
        <v>594810866.66666663</v>
      </c>
      <c r="T58">
        <f>AVERAGEIFS(clean!T$2:T$998,clean!$B$2:$B$998,$A58,clean!$C$2:$C$998,$B58,clean!$D$2:$D$998,$C58,clean!$E$2:$E$998,$D58,clean!$F$2:$F$998,$E58)</f>
        <v>30422000</v>
      </c>
      <c r="U58">
        <f>AVERAGEIFS(clean!U$2:U$998,clean!$B$2:$B$998,$A58,clean!$C$2:$C$998,$B58,clean!$D$2:$D$998,$C58,clean!$E$2:$E$998,$D58,clean!$F$2:$F$998,$E58)</f>
        <v>19122945566.666668</v>
      </c>
      <c r="V58">
        <f>AVERAGEIFS(clean!V$2:V$998,clean!$B$2:$B$998,$A58,clean!$C$2:$C$998,$B58,clean!$D$2:$D$998,$C58,clean!$E$2:$E$998,$D58,clean!$F$2:$F$998,$E58)</f>
        <v>82968689000</v>
      </c>
      <c r="W58">
        <f>AVERAGEIFS(clean!W$2:W$998,clean!$B$2:$B$998,$A58,clean!$C$2:$C$998,$B58,clean!$D$2:$D$998,$C58,clean!$E$2:$E$998,$D58,clean!$F$2:$F$998,$E58)</f>
        <v>422833.33333333331</v>
      </c>
      <c r="X58">
        <f t="shared" si="1"/>
        <v>3390290699.9999948</v>
      </c>
      <c r="Y58">
        <f>AVERAGEIFS(clean!X$2:X$998,clean!$B$2:$B$998,$A58,clean!$C$2:$C$998,$B58,clean!$D$2:$D$998,$C58,clean!$E$2:$E$998,$D58,clean!$F$2:$F$998,$E58)</f>
        <v>16945024500</v>
      </c>
    </row>
    <row r="59" spans="1:25" x14ac:dyDescent="0.3">
      <c r="A59">
        <v>131072</v>
      </c>
      <c r="B59">
        <v>5</v>
      </c>
      <c r="C59">
        <v>216</v>
      </c>
      <c r="D59">
        <v>0.2</v>
      </c>
      <c r="E59">
        <v>10</v>
      </c>
      <c r="F59">
        <f>AVERAGEIFS(clean!G$2:G$998,clean!$B$2:$B$998,$A59,clean!$C$2:$C$998,$B59,clean!$D$2:$D$998,$C59,clean!$E$2:$E$998,$D59,clean!$F$2:$F$998,$E59)</f>
        <v>2047</v>
      </c>
      <c r="G59">
        <f>AVERAGEIFS(clean!H$2:H$998,clean!$B$2:$B$998,$A59,clean!$C$2:$C$998,$B59,clean!$D$2:$D$998,$C59,clean!$E$2:$E$998,$D59,clean!$F$2:$F$998,$E59)</f>
        <v>330368</v>
      </c>
      <c r="H59">
        <f>AVERAGEIFS(clean!I$2:I$998,clean!$B$2:$B$998,$A59,clean!$C$2:$C$998,$B59,clean!$D$2:$D$998,$C59,clean!$E$2:$E$998,$D59,clean!$F$2:$F$998,$E59)</f>
        <v>27488740800</v>
      </c>
      <c r="I59">
        <f>AVERAGEIFS(clean!J$2:J$998,clean!$B$2:$B$998,$A59,clean!$C$2:$C$998,$B59,clean!$D$2:$D$998,$C59,clean!$E$2:$E$998,$D59,clean!$F$2:$F$998,$E59)</f>
        <v>154736375733.33334</v>
      </c>
      <c r="J59">
        <f>AVERAGEIFS(clean!K$2:K$998,clean!$B$2:$B$998,$A59,clean!$C$2:$C$998,$B59,clean!$D$2:$D$998,$C59,clean!$E$2:$E$998,$D59,clean!$F$2:$F$998,$E59)</f>
        <v>5.6291897235529502</v>
      </c>
      <c r="K59">
        <f>AVERAGEIFS(clean!L$2:L$998,clean!$B$2:$B$998,$A59,clean!$C$2:$C$998,$B59,clean!$D$2:$D$998,$C59,clean!$E$2:$E$998,$D59,clean!$F$2:$F$998,$E59)</f>
        <v>59648900</v>
      </c>
      <c r="L59">
        <f>AVERAGEIFS(clean!M$2:M$998,clean!$B$2:$B$998,$A59,clean!$C$2:$C$998,$B59,clean!$D$2:$D$998,$C59,clean!$E$2:$E$998,$D59,clean!$F$2:$F$998,$E59)</f>
        <v>890365266.66666663</v>
      </c>
      <c r="M59">
        <f>AVERAGEIFS(clean!N$2:N$998,clean!$B$2:$B$998,$A59,clean!$C$2:$C$998,$B59,clean!$D$2:$D$998,$C59,clean!$E$2:$E$998,$D59,clean!$F$2:$F$998,$E59)</f>
        <v>15151801866.666666</v>
      </c>
      <c r="N59">
        <f>AVERAGEIFS(clean!O$2:O$998,clean!$B$2:$B$998,$A59,clean!$C$2:$C$998,$B59,clean!$D$2:$D$998,$C59,clean!$E$2:$E$998,$D59,clean!$F$2:$F$998,$E59)</f>
        <v>16042167133.333334</v>
      </c>
      <c r="O59">
        <f>AVERAGEIFS(clean!P$2:P$998,clean!$B$2:$B$998,$A59,clean!$C$2:$C$998,$B59,clean!$D$2:$D$998,$C59,clean!$E$2:$E$998,$D59,clean!$F$2:$F$998,$E59)</f>
        <v>926033.33333333337</v>
      </c>
      <c r="P59">
        <f>AVERAGEIFS(clean!Q$2:Q$998,clean!$B$2:$B$998,$A59,clean!$C$2:$C$998,$B59,clean!$D$2:$D$998,$C59,clean!$E$2:$E$998,$D59,clean!$F$2:$F$998,$E59)</f>
        <v>11140016166.666666</v>
      </c>
      <c r="Q59">
        <f>AVERAGEIFS(clean!R$2:R$998,clean!$B$2:$B$998,$A59,clean!$C$2:$C$998,$B59,clean!$D$2:$D$998,$C59,clean!$E$2:$E$998,$D59,clean!$F$2:$F$998,$E59)</f>
        <v>11140942200</v>
      </c>
      <c r="R59">
        <f>AVERAGEIFS(clean!S$2:S$998,clean!$B$2:$B$998,$A59,clean!$C$2:$C$998,$B59,clean!$D$2:$D$998,$C59,clean!$E$2:$E$998,$D59,clean!$F$2:$F$998,$E59)</f>
        <v>1303400</v>
      </c>
      <c r="S59">
        <f t="shared" si="0"/>
        <v>244679166.66666603</v>
      </c>
      <c r="T59">
        <f>AVERAGEIFS(clean!T$2:T$998,clean!$B$2:$B$998,$A59,clean!$C$2:$C$998,$B59,clean!$D$2:$D$998,$C59,clean!$E$2:$E$998,$D59,clean!$F$2:$F$998,$E59)</f>
        <v>38924866.666666664</v>
      </c>
      <c r="U59">
        <f>AVERAGEIFS(clean!U$2:U$998,clean!$B$2:$B$998,$A59,clean!$C$2:$C$998,$B59,clean!$D$2:$D$998,$C59,clean!$E$2:$E$998,$D59,clean!$F$2:$F$998,$E59)</f>
        <v>71923053800</v>
      </c>
      <c r="V59">
        <f>AVERAGEIFS(clean!V$2:V$998,clean!$B$2:$B$998,$A59,clean!$C$2:$C$998,$B59,clean!$D$2:$D$998,$C59,clean!$E$2:$E$998,$D59,clean!$F$2:$F$998,$E59)</f>
        <v>80681361133.333328</v>
      </c>
      <c r="W59">
        <f>AVERAGEIFS(clean!W$2:W$998,clean!$B$2:$B$998,$A59,clean!$C$2:$C$998,$B59,clean!$D$2:$D$998,$C59,clean!$E$2:$E$998,$D59,clean!$F$2:$F$998,$E59)</f>
        <v>370966.66666666669</v>
      </c>
      <c r="X59">
        <f t="shared" si="1"/>
        <v>2092664966.666692</v>
      </c>
      <c r="Y59">
        <f>AVERAGEIFS(clean!X$2:X$998,clean!$B$2:$B$998,$A59,clean!$C$2:$C$998,$B59,clean!$D$2:$D$998,$C59,clean!$E$2:$E$998,$D59,clean!$F$2:$F$998,$E59)</f>
        <v>27488740800</v>
      </c>
    </row>
    <row r="60" spans="1:25" x14ac:dyDescent="0.3">
      <c r="A60">
        <v>131072</v>
      </c>
      <c r="B60">
        <v>6</v>
      </c>
      <c r="C60">
        <v>343</v>
      </c>
      <c r="D60">
        <v>0.2</v>
      </c>
      <c r="E60">
        <v>9</v>
      </c>
      <c r="F60">
        <f>AVERAGEIFS(clean!G$2:G$998,clean!$B$2:$B$998,$A60,clean!$C$2:$C$998,$B60,clean!$D$2:$D$998,$C60,clean!$E$2:$E$998,$D60,clean!$F$2:$F$998,$E60)</f>
        <v>1023</v>
      </c>
      <c r="G60">
        <f>AVERAGEIFS(clean!H$2:H$998,clean!$B$2:$B$998,$A60,clean!$C$2:$C$998,$B60,clean!$D$2:$D$998,$C60,clean!$E$2:$E$998,$D60,clean!$F$2:$F$998,$E60)</f>
        <v>163284</v>
      </c>
      <c r="H60">
        <f>AVERAGEIFS(clean!I$2:I$998,clean!$B$2:$B$998,$A60,clean!$C$2:$C$998,$B60,clean!$D$2:$D$998,$C60,clean!$E$2:$E$998,$D60,clean!$F$2:$F$998,$E60)</f>
        <v>31334839166.666668</v>
      </c>
      <c r="I60">
        <f>AVERAGEIFS(clean!J$2:J$998,clean!$B$2:$B$998,$A60,clean!$C$2:$C$998,$B60,clean!$D$2:$D$998,$C60,clean!$E$2:$E$998,$D60,clean!$F$2:$F$998,$E60)</f>
        <v>203969738600</v>
      </c>
      <c r="J60">
        <f>AVERAGEIFS(clean!K$2:K$998,clean!$B$2:$B$998,$A60,clean!$C$2:$C$998,$B60,clean!$D$2:$D$998,$C60,clean!$E$2:$E$998,$D60,clean!$F$2:$F$998,$E60)</f>
        <v>6.5094226532531394</v>
      </c>
      <c r="K60">
        <f>AVERAGEIFS(clean!L$2:L$998,clean!$B$2:$B$998,$A60,clean!$C$2:$C$998,$B60,clean!$D$2:$D$998,$C60,clean!$E$2:$E$998,$D60,clean!$F$2:$F$998,$E60)</f>
        <v>20446833.333333332</v>
      </c>
      <c r="L60">
        <f>AVERAGEIFS(clean!M$2:M$998,clean!$B$2:$B$998,$A60,clean!$C$2:$C$998,$B60,clean!$D$2:$D$998,$C60,clean!$E$2:$E$998,$D60,clean!$F$2:$F$998,$E60)</f>
        <v>1941288766.6666667</v>
      </c>
      <c r="M60">
        <f>AVERAGEIFS(clean!N$2:N$998,clean!$B$2:$B$998,$A60,clean!$C$2:$C$998,$B60,clean!$D$2:$D$998,$C60,clean!$E$2:$E$998,$D60,clean!$F$2:$F$998,$E60)</f>
        <v>7049427733.333333</v>
      </c>
      <c r="N60">
        <f>AVERAGEIFS(clean!O$2:O$998,clean!$B$2:$B$998,$A60,clean!$C$2:$C$998,$B60,clean!$D$2:$D$998,$C60,clean!$E$2:$E$998,$D60,clean!$F$2:$F$998,$E60)</f>
        <v>8990716500</v>
      </c>
      <c r="O60">
        <f>AVERAGEIFS(clean!P$2:P$998,clean!$B$2:$B$998,$A60,clean!$C$2:$C$998,$B60,clean!$D$2:$D$998,$C60,clean!$E$2:$E$998,$D60,clean!$F$2:$F$998,$E60)</f>
        <v>482600</v>
      </c>
      <c r="P60">
        <f>AVERAGEIFS(clean!Q$2:Q$998,clean!$B$2:$B$998,$A60,clean!$C$2:$C$998,$B60,clean!$D$2:$D$998,$C60,clean!$E$2:$E$998,$D60,clean!$F$2:$F$998,$E60)</f>
        <v>22034824566.666668</v>
      </c>
      <c r="Q60">
        <f>AVERAGEIFS(clean!R$2:R$998,clean!$B$2:$B$998,$A60,clean!$C$2:$C$998,$B60,clean!$D$2:$D$998,$C60,clean!$E$2:$E$998,$D60,clean!$F$2:$F$998,$E60)</f>
        <v>22035307166.666668</v>
      </c>
      <c r="R60">
        <f>AVERAGEIFS(clean!S$2:S$998,clean!$B$2:$B$998,$A60,clean!$C$2:$C$998,$B60,clean!$D$2:$D$998,$C60,clean!$E$2:$E$998,$D60,clean!$F$2:$F$998,$E60)</f>
        <v>1263700</v>
      </c>
      <c r="S60">
        <f t="shared" si="0"/>
        <v>287104966.66666794</v>
      </c>
      <c r="T60">
        <f>AVERAGEIFS(clean!T$2:T$998,clean!$B$2:$B$998,$A60,clean!$C$2:$C$998,$B60,clean!$D$2:$D$998,$C60,clean!$E$2:$E$998,$D60,clean!$F$2:$F$998,$E60)</f>
        <v>33760300</v>
      </c>
      <c r="U60">
        <f>AVERAGEIFS(clean!U$2:U$998,clean!$B$2:$B$998,$A60,clean!$C$2:$C$998,$B60,clean!$D$2:$D$998,$C60,clean!$E$2:$E$998,$D60,clean!$F$2:$F$998,$E60)</f>
        <v>33196888933.333332</v>
      </c>
      <c r="V60">
        <f>AVERAGEIFS(clean!V$2:V$998,clean!$B$2:$B$998,$A60,clean!$C$2:$C$998,$B60,clean!$D$2:$D$998,$C60,clean!$E$2:$E$998,$D60,clean!$F$2:$F$998,$E60)</f>
        <v>168005504800</v>
      </c>
      <c r="W60">
        <f>AVERAGEIFS(clean!W$2:W$998,clean!$B$2:$B$998,$A60,clean!$C$2:$C$998,$B60,clean!$D$2:$D$998,$C60,clean!$E$2:$E$998,$D60,clean!$F$2:$F$998,$E60)</f>
        <v>388733.33333333331</v>
      </c>
      <c r="X60">
        <f t="shared" si="1"/>
        <v>2733195833.333323</v>
      </c>
      <c r="Y60">
        <f>AVERAGEIFS(clean!X$2:X$998,clean!$B$2:$B$998,$A60,clean!$C$2:$C$998,$B60,clean!$D$2:$D$998,$C60,clean!$E$2:$E$998,$D60,clean!$F$2:$F$998,$E60)</f>
        <v>31334839166.666668</v>
      </c>
    </row>
    <row r="61" spans="1:25" x14ac:dyDescent="0.3">
      <c r="A61">
        <v>131072</v>
      </c>
      <c r="B61">
        <v>7</v>
      </c>
      <c r="C61">
        <v>512</v>
      </c>
      <c r="D61">
        <v>0.2</v>
      </c>
      <c r="E61">
        <v>8</v>
      </c>
      <c r="F61">
        <f>AVERAGEIFS(clean!G$2:G$998,clean!$B$2:$B$998,$A61,clean!$C$2:$C$998,$B61,clean!$D$2:$D$998,$C61,clean!$E$2:$E$998,$D61,clean!$F$2:$F$998,$E61)</f>
        <v>511</v>
      </c>
      <c r="G61">
        <f>AVERAGEIFS(clean!H$2:H$998,clean!$B$2:$B$998,$A61,clean!$C$2:$C$998,$B61,clean!$D$2:$D$998,$C61,clean!$E$2:$E$998,$D61,clean!$F$2:$F$998,$E61)</f>
        <v>56325.333333333336</v>
      </c>
      <c r="H61">
        <f>AVERAGEIFS(clean!I$2:I$998,clean!$B$2:$B$998,$A61,clean!$C$2:$C$998,$B61,clean!$D$2:$D$998,$C61,clean!$E$2:$E$998,$D61,clean!$F$2:$F$998,$E61)</f>
        <v>34727042866.666664</v>
      </c>
      <c r="I61">
        <f>AVERAGEIFS(clean!J$2:J$998,clean!$B$2:$B$998,$A61,clean!$C$2:$C$998,$B61,clean!$D$2:$D$998,$C61,clean!$E$2:$E$998,$D61,clean!$F$2:$F$998,$E61)</f>
        <v>251078806166.66666</v>
      </c>
      <c r="J61">
        <f>AVERAGEIFS(clean!K$2:K$998,clean!$B$2:$B$998,$A61,clean!$C$2:$C$998,$B61,clean!$D$2:$D$998,$C61,clean!$E$2:$E$998,$D61,clean!$F$2:$F$998,$E61)</f>
        <v>7.2300917990918068</v>
      </c>
      <c r="K61">
        <f>AVERAGEIFS(clean!L$2:L$998,clean!$B$2:$B$998,$A61,clean!$C$2:$C$998,$B61,clean!$D$2:$D$998,$C61,clean!$E$2:$E$998,$D61,clean!$F$2:$F$998,$E61)</f>
        <v>9920133.333333334</v>
      </c>
      <c r="L61">
        <f>AVERAGEIFS(clean!M$2:M$998,clean!$B$2:$B$998,$A61,clean!$C$2:$C$998,$B61,clean!$D$2:$D$998,$C61,clean!$E$2:$E$998,$D61,clean!$F$2:$F$998,$E61)</f>
        <v>2312605200</v>
      </c>
      <c r="M61">
        <f>AVERAGEIFS(clean!N$2:N$998,clean!$B$2:$B$998,$A61,clean!$C$2:$C$998,$B61,clean!$D$2:$D$998,$C61,clean!$E$2:$E$998,$D61,clean!$F$2:$F$998,$E61)</f>
        <v>1594980133.3333333</v>
      </c>
      <c r="N61">
        <f>AVERAGEIFS(clean!O$2:O$998,clean!$B$2:$B$998,$A61,clean!$C$2:$C$998,$B61,clean!$D$2:$D$998,$C61,clean!$E$2:$E$998,$D61,clean!$F$2:$F$998,$E61)</f>
        <v>3907585333.3333335</v>
      </c>
      <c r="O61">
        <f>AVERAGEIFS(clean!P$2:P$998,clean!$B$2:$B$998,$A61,clean!$C$2:$C$998,$B61,clean!$D$2:$D$998,$C61,clean!$E$2:$E$998,$D61,clean!$F$2:$F$998,$E61)</f>
        <v>171733.33333333334</v>
      </c>
      <c r="P61">
        <f>AVERAGEIFS(clean!Q$2:Q$998,clean!$B$2:$B$998,$A61,clean!$C$2:$C$998,$B61,clean!$D$2:$D$998,$C61,clean!$E$2:$E$998,$D61,clean!$F$2:$F$998,$E61)</f>
        <v>30519790433.333332</v>
      </c>
      <c r="Q61">
        <f>AVERAGEIFS(clean!R$2:R$998,clean!$B$2:$B$998,$A61,clean!$C$2:$C$998,$B61,clean!$D$2:$D$998,$C61,clean!$E$2:$E$998,$D61,clean!$F$2:$F$998,$E61)</f>
        <v>30519962166.666668</v>
      </c>
      <c r="R61">
        <f>AVERAGEIFS(clean!S$2:S$998,clean!$B$2:$B$998,$A61,clean!$C$2:$C$998,$B61,clean!$D$2:$D$998,$C61,clean!$E$2:$E$998,$D61,clean!$F$2:$F$998,$E61)</f>
        <v>1442366.6666666667</v>
      </c>
      <c r="S61">
        <f t="shared" si="0"/>
        <v>288132866.66666156</v>
      </c>
      <c r="T61">
        <f>AVERAGEIFS(clean!T$2:T$998,clean!$B$2:$B$998,$A61,clean!$C$2:$C$998,$B61,clean!$D$2:$D$998,$C61,clean!$E$2:$E$998,$D61,clean!$F$2:$F$998,$E61)</f>
        <v>34226866.666666664</v>
      </c>
      <c r="U61">
        <f>AVERAGEIFS(clean!U$2:U$998,clean!$B$2:$B$998,$A61,clean!$C$2:$C$998,$B61,clean!$D$2:$D$998,$C61,clean!$E$2:$E$998,$D61,clean!$F$2:$F$998,$E61)</f>
        <v>8412804333.333333</v>
      </c>
      <c r="V61">
        <f>AVERAGEIFS(clean!V$2:V$998,clean!$B$2:$B$998,$A61,clean!$C$2:$C$998,$B61,clean!$D$2:$D$998,$C61,clean!$E$2:$E$998,$D61,clean!$F$2:$F$998,$E61)</f>
        <v>239602925300</v>
      </c>
      <c r="W61">
        <f>AVERAGEIFS(clean!W$2:W$998,clean!$B$2:$B$998,$A61,clean!$C$2:$C$998,$B61,clean!$D$2:$D$998,$C61,clean!$E$2:$E$998,$D61,clean!$F$2:$F$998,$E61)</f>
        <v>399666.66666666669</v>
      </c>
      <c r="X61">
        <f t="shared" si="1"/>
        <v>3028449999.99999</v>
      </c>
      <c r="Y61">
        <f>AVERAGEIFS(clean!X$2:X$998,clean!$B$2:$B$998,$A61,clean!$C$2:$C$998,$B61,clean!$D$2:$D$998,$C61,clean!$E$2:$E$998,$D61,clean!$F$2:$F$998,$E61)</f>
        <v>34727042866.666664</v>
      </c>
    </row>
    <row r="62" spans="1:25" x14ac:dyDescent="0.3">
      <c r="A62">
        <v>262144</v>
      </c>
      <c r="B62">
        <v>4</v>
      </c>
      <c r="C62">
        <v>125</v>
      </c>
      <c r="D62">
        <v>0.95</v>
      </c>
      <c r="E62">
        <v>12</v>
      </c>
      <c r="F62">
        <f>AVERAGEIFS(clean!G$2:G$998,clean!$B$2:$B$998,$A62,clean!$C$2:$C$998,$B62,clean!$D$2:$D$998,$C62,clean!$E$2:$E$998,$D62,clean!$F$2:$F$998,$E62)</f>
        <v>8191</v>
      </c>
      <c r="G62">
        <f>AVERAGEIFS(clean!H$2:H$998,clean!$B$2:$B$998,$A62,clean!$C$2:$C$998,$B62,clean!$D$2:$D$998,$C62,clean!$E$2:$E$998,$D62,clean!$F$2:$F$998,$E62)</f>
        <v>24481.333333333332</v>
      </c>
      <c r="H62">
        <f>AVERAGEIFS(clean!I$2:I$998,clean!$B$2:$B$998,$A62,clean!$C$2:$C$998,$B62,clean!$D$2:$D$998,$C62,clean!$E$2:$E$998,$D62,clean!$F$2:$F$998,$E62)</f>
        <v>1528670700</v>
      </c>
      <c r="I62">
        <f>AVERAGEIFS(clean!J$2:J$998,clean!$B$2:$B$998,$A62,clean!$C$2:$C$998,$B62,clean!$D$2:$D$998,$C62,clean!$E$2:$E$998,$D62,clean!$F$2:$F$998,$E62)</f>
        <v>6202387133.333333</v>
      </c>
      <c r="J62">
        <f>AVERAGEIFS(clean!K$2:K$998,clean!$B$2:$B$998,$A62,clean!$C$2:$C$998,$B62,clean!$D$2:$D$998,$C62,clean!$E$2:$E$998,$D62,clean!$F$2:$F$998,$E62)</f>
        <v>4.0585967614881406</v>
      </c>
      <c r="K62">
        <f>AVERAGEIFS(clean!L$2:L$998,clean!$B$2:$B$998,$A62,clean!$C$2:$C$998,$B62,clean!$D$2:$D$998,$C62,clean!$E$2:$E$998,$D62,clean!$F$2:$F$998,$E62)</f>
        <v>3342633.3333333335</v>
      </c>
      <c r="L62">
        <f>AVERAGEIFS(clean!M$2:M$998,clean!$B$2:$B$998,$A62,clean!$C$2:$C$998,$B62,clean!$D$2:$D$998,$C62,clean!$E$2:$E$998,$D62,clean!$F$2:$F$998,$E62)</f>
        <v>864801433.33333337</v>
      </c>
      <c r="M62">
        <f>AVERAGEIFS(clean!N$2:N$998,clean!$B$2:$B$998,$A62,clean!$C$2:$C$998,$B62,clean!$D$2:$D$998,$C62,clean!$E$2:$E$998,$D62,clean!$F$2:$F$998,$E62)</f>
        <v>217865700</v>
      </c>
      <c r="N62">
        <f>AVERAGEIFS(clean!O$2:O$998,clean!$B$2:$B$998,$A62,clean!$C$2:$C$998,$B62,clean!$D$2:$D$998,$C62,clean!$E$2:$E$998,$D62,clean!$F$2:$F$998,$E62)</f>
        <v>1082667133.3333333</v>
      </c>
      <c r="O62">
        <f>AVERAGEIFS(clean!P$2:P$998,clean!$B$2:$B$998,$A62,clean!$C$2:$C$998,$B62,clean!$D$2:$D$998,$C62,clean!$E$2:$E$998,$D62,clean!$F$2:$F$998,$E62)</f>
        <v>135400</v>
      </c>
      <c r="P62">
        <f>AVERAGEIFS(clean!Q$2:Q$998,clean!$B$2:$B$998,$A62,clean!$C$2:$C$998,$B62,clean!$D$2:$D$998,$C62,clean!$E$2:$E$998,$D62,clean!$F$2:$F$998,$E62)</f>
        <v>215843500</v>
      </c>
      <c r="Q62">
        <f>AVERAGEIFS(clean!R$2:R$998,clean!$B$2:$B$998,$A62,clean!$C$2:$C$998,$B62,clean!$D$2:$D$998,$C62,clean!$E$2:$E$998,$D62,clean!$F$2:$F$998,$E62)</f>
        <v>215978900</v>
      </c>
      <c r="R62">
        <f>AVERAGEIFS(clean!S$2:S$998,clean!$B$2:$B$998,$A62,clean!$C$2:$C$998,$B62,clean!$D$2:$D$998,$C62,clean!$E$2:$E$998,$D62,clean!$F$2:$F$998,$E62)</f>
        <v>2177033.3333333335</v>
      </c>
      <c r="S62">
        <f t="shared" si="0"/>
        <v>224505000.00000015</v>
      </c>
      <c r="T62">
        <f>AVERAGEIFS(clean!T$2:T$998,clean!$B$2:$B$998,$A62,clean!$C$2:$C$998,$B62,clean!$D$2:$D$998,$C62,clean!$E$2:$E$998,$D62,clean!$F$2:$F$998,$E62)</f>
        <v>89790066.666666672</v>
      </c>
      <c r="U62">
        <f>AVERAGEIFS(clean!U$2:U$998,clean!$B$2:$B$998,$A62,clean!$C$2:$C$998,$B62,clean!$D$2:$D$998,$C62,clean!$E$2:$E$998,$D62,clean!$F$2:$F$998,$E62)</f>
        <v>1256866266.6666667</v>
      </c>
      <c r="V62">
        <f>AVERAGEIFS(clean!V$2:V$998,clean!$B$2:$B$998,$A62,clean!$C$2:$C$998,$B62,clean!$D$2:$D$998,$C62,clean!$E$2:$E$998,$D62,clean!$F$2:$F$998,$E62)</f>
        <v>1469534466.6666667</v>
      </c>
      <c r="W62">
        <f>AVERAGEIFS(clean!W$2:W$998,clean!$B$2:$B$998,$A62,clean!$C$2:$C$998,$B62,clean!$D$2:$D$998,$C62,clean!$E$2:$E$998,$D62,clean!$F$2:$F$998,$E62)</f>
        <v>849866.66666666663</v>
      </c>
      <c r="X62">
        <f t="shared" si="1"/>
        <v>3385346466.6666656</v>
      </c>
      <c r="Y62">
        <f>AVERAGEIFS(clean!X$2:X$998,clean!$B$2:$B$998,$A62,clean!$C$2:$C$998,$B62,clean!$D$2:$D$998,$C62,clean!$E$2:$E$998,$D62,clean!$F$2:$F$998,$E62)</f>
        <v>1528670700</v>
      </c>
    </row>
    <row r="63" spans="1:25" x14ac:dyDescent="0.3">
      <c r="A63">
        <v>262144</v>
      </c>
      <c r="B63">
        <v>3</v>
      </c>
      <c r="C63">
        <v>64</v>
      </c>
      <c r="D63">
        <v>0.95</v>
      </c>
      <c r="E63">
        <v>12</v>
      </c>
      <c r="F63">
        <f>AVERAGEIFS(clean!G$2:G$998,clean!$B$2:$B$998,$A63,clean!$C$2:$C$998,$B63,clean!$D$2:$D$998,$C63,clean!$E$2:$E$998,$D63,clean!$F$2:$F$998,$E63)</f>
        <v>8191</v>
      </c>
      <c r="G63">
        <f>AVERAGEIFS(clean!H$2:H$998,clean!$B$2:$B$998,$A63,clean!$C$2:$C$998,$B63,clean!$D$2:$D$998,$C63,clean!$E$2:$E$998,$D63,clean!$F$2:$F$998,$E63)</f>
        <v>24472</v>
      </c>
      <c r="H63">
        <f>AVERAGEIFS(clean!I$2:I$998,clean!$B$2:$B$998,$A63,clean!$C$2:$C$998,$B63,clean!$D$2:$D$998,$C63,clean!$E$2:$E$998,$D63,clean!$F$2:$F$998,$E63)</f>
        <v>852484566.66666663</v>
      </c>
      <c r="I63">
        <f>AVERAGEIFS(clean!J$2:J$998,clean!$B$2:$B$998,$A63,clean!$C$2:$C$998,$B63,clean!$D$2:$D$998,$C63,clean!$E$2:$E$998,$D63,clean!$F$2:$F$998,$E63)</f>
        <v>3562095400</v>
      </c>
      <c r="J63">
        <f>AVERAGEIFS(clean!K$2:K$998,clean!$B$2:$B$998,$A63,clean!$C$2:$C$998,$B63,clean!$D$2:$D$998,$C63,clean!$E$2:$E$998,$D63,clean!$F$2:$F$998,$E63)</f>
        <v>4.1856925743871995</v>
      </c>
      <c r="K63">
        <f>AVERAGEIFS(clean!L$2:L$998,clean!$B$2:$B$998,$A63,clean!$C$2:$C$998,$B63,clean!$D$2:$D$998,$C63,clean!$E$2:$E$998,$D63,clean!$F$2:$F$998,$E63)</f>
        <v>3246633.3333333335</v>
      </c>
      <c r="L63">
        <f>AVERAGEIFS(clean!M$2:M$998,clean!$B$2:$B$998,$A63,clean!$C$2:$C$998,$B63,clean!$D$2:$D$998,$C63,clean!$E$2:$E$998,$D63,clean!$F$2:$F$998,$E63)</f>
        <v>409667166.66666669</v>
      </c>
      <c r="M63">
        <f>AVERAGEIFS(clean!N$2:N$998,clean!$B$2:$B$998,$A63,clean!$C$2:$C$998,$B63,clean!$D$2:$D$998,$C63,clean!$E$2:$E$998,$D63,clean!$F$2:$F$998,$E63)</f>
        <v>77967733.333333328</v>
      </c>
      <c r="N63">
        <f>AVERAGEIFS(clean!O$2:O$998,clean!$B$2:$B$998,$A63,clean!$C$2:$C$998,$B63,clean!$D$2:$D$998,$C63,clean!$E$2:$E$998,$D63,clean!$F$2:$F$998,$E63)</f>
        <v>487634900</v>
      </c>
      <c r="O63">
        <f>AVERAGEIFS(clean!P$2:P$998,clean!$B$2:$B$998,$A63,clean!$C$2:$C$998,$B63,clean!$D$2:$D$998,$C63,clean!$E$2:$E$998,$D63,clean!$F$2:$F$998,$E63)</f>
        <v>119666.66666666667</v>
      </c>
      <c r="P63">
        <f>AVERAGEIFS(clean!Q$2:Q$998,clean!$B$2:$B$998,$A63,clean!$C$2:$C$998,$B63,clean!$D$2:$D$998,$C63,clean!$E$2:$E$998,$D63,clean!$F$2:$F$998,$E63)</f>
        <v>228115733.33333334</v>
      </c>
      <c r="Q63">
        <f>AVERAGEIFS(clean!R$2:R$998,clean!$B$2:$B$998,$A63,clean!$C$2:$C$998,$B63,clean!$D$2:$D$998,$C63,clean!$E$2:$E$998,$D63,clean!$F$2:$F$998,$E63)</f>
        <v>228235400</v>
      </c>
      <c r="R63">
        <f>AVERAGEIFS(clean!S$2:S$998,clean!$B$2:$B$998,$A63,clean!$C$2:$C$998,$B63,clean!$D$2:$D$998,$C63,clean!$E$2:$E$998,$D63,clean!$F$2:$F$998,$E63)</f>
        <v>2126000</v>
      </c>
      <c r="S63">
        <f t="shared" si="0"/>
        <v>131241633.33333325</v>
      </c>
      <c r="T63">
        <f>AVERAGEIFS(clean!T$2:T$998,clean!$B$2:$B$998,$A63,clean!$C$2:$C$998,$B63,clean!$D$2:$D$998,$C63,clean!$E$2:$E$998,$D63,clean!$F$2:$F$998,$E63)</f>
        <v>83802166.666666672</v>
      </c>
      <c r="U63">
        <f>AVERAGEIFS(clean!U$2:U$998,clean!$B$2:$B$998,$A63,clean!$C$2:$C$998,$B63,clean!$D$2:$D$998,$C63,clean!$E$2:$E$998,$D63,clean!$F$2:$F$998,$E63)</f>
        <v>359722866.66666669</v>
      </c>
      <c r="V63">
        <f>AVERAGEIFS(clean!V$2:V$998,clean!$B$2:$B$998,$A63,clean!$C$2:$C$998,$B63,clean!$D$2:$D$998,$C63,clean!$E$2:$E$998,$D63,clean!$F$2:$F$998,$E63)</f>
        <v>1467883700</v>
      </c>
      <c r="W63">
        <f>AVERAGEIFS(clean!W$2:W$998,clean!$B$2:$B$998,$A63,clean!$C$2:$C$998,$B63,clean!$D$2:$D$998,$C63,clean!$E$2:$E$998,$D63,clean!$F$2:$F$998,$E63)</f>
        <v>853733.33333333337</v>
      </c>
      <c r="X63">
        <f t="shared" si="1"/>
        <v>1649832933.3333337</v>
      </c>
      <c r="Y63">
        <f>AVERAGEIFS(clean!X$2:X$998,clean!$B$2:$B$998,$A63,clean!$C$2:$C$998,$B63,clean!$D$2:$D$998,$C63,clean!$E$2:$E$998,$D63,clean!$F$2:$F$998,$E63)</f>
        <v>852484566.66666663</v>
      </c>
    </row>
    <row r="64" spans="1:25" x14ac:dyDescent="0.3">
      <c r="A64">
        <v>262144</v>
      </c>
      <c r="B64">
        <v>3</v>
      </c>
      <c r="C64">
        <v>64</v>
      </c>
      <c r="D64">
        <v>0.8</v>
      </c>
      <c r="E64">
        <v>12</v>
      </c>
      <c r="F64">
        <f>AVERAGEIFS(clean!G$2:G$998,clean!$B$2:$B$998,$A64,clean!$C$2:$C$998,$B64,clean!$D$2:$D$998,$C64,clean!$E$2:$E$998,$D64,clean!$F$2:$F$998,$E64)</f>
        <v>8191</v>
      </c>
      <c r="G64">
        <f>AVERAGEIFS(clean!H$2:H$998,clean!$B$2:$B$998,$A64,clean!$C$2:$C$998,$B64,clean!$D$2:$D$998,$C64,clean!$E$2:$E$998,$D64,clean!$F$2:$F$998,$E64)</f>
        <v>32366.666666666668</v>
      </c>
      <c r="H64">
        <f>AVERAGEIFS(clean!I$2:I$998,clean!$B$2:$B$998,$A64,clean!$C$2:$C$998,$B64,clean!$D$2:$D$998,$C64,clean!$E$2:$E$998,$D64,clean!$F$2:$F$998,$E64)</f>
        <v>1033676000</v>
      </c>
      <c r="I64">
        <f>AVERAGEIFS(clean!J$2:J$998,clean!$B$2:$B$998,$A64,clean!$C$2:$C$998,$B64,clean!$D$2:$D$998,$C64,clean!$E$2:$E$998,$D64,clean!$F$2:$F$998,$E64)</f>
        <v>4758407466.666667</v>
      </c>
      <c r="J64">
        <f>AVERAGEIFS(clean!K$2:K$998,clean!$B$2:$B$998,$A64,clean!$C$2:$C$998,$B64,clean!$D$2:$D$998,$C64,clean!$E$2:$E$998,$D64,clean!$F$2:$F$998,$E64)</f>
        <v>4.6034867774288566</v>
      </c>
      <c r="K64">
        <f>AVERAGEIFS(clean!L$2:L$998,clean!$B$2:$B$998,$A64,clean!$C$2:$C$998,$B64,clean!$D$2:$D$998,$C64,clean!$E$2:$E$998,$D64,clean!$F$2:$F$998,$E64)</f>
        <v>10756566.666666666</v>
      </c>
      <c r="L64">
        <f>AVERAGEIFS(clean!M$2:M$998,clean!$B$2:$B$998,$A64,clean!$C$2:$C$998,$B64,clean!$D$2:$D$998,$C64,clean!$E$2:$E$998,$D64,clean!$F$2:$F$998,$E64)</f>
        <v>365540933.33333331</v>
      </c>
      <c r="M64">
        <f>AVERAGEIFS(clean!N$2:N$998,clean!$B$2:$B$998,$A64,clean!$C$2:$C$998,$B64,clean!$D$2:$D$998,$C64,clean!$E$2:$E$998,$D64,clean!$F$2:$F$998,$E64)</f>
        <v>242392400</v>
      </c>
      <c r="N64">
        <f>AVERAGEIFS(clean!O$2:O$998,clean!$B$2:$B$998,$A64,clean!$C$2:$C$998,$B64,clean!$D$2:$D$998,$C64,clean!$E$2:$E$998,$D64,clean!$F$2:$F$998,$E64)</f>
        <v>607933333.33333337</v>
      </c>
      <c r="O64">
        <f>AVERAGEIFS(clean!P$2:P$998,clean!$B$2:$B$998,$A64,clean!$C$2:$C$998,$B64,clean!$D$2:$D$998,$C64,clean!$E$2:$E$998,$D64,clean!$F$2:$F$998,$E64)</f>
        <v>156933.33333333334</v>
      </c>
      <c r="P64">
        <f>AVERAGEIFS(clean!Q$2:Q$998,clean!$B$2:$B$998,$A64,clean!$C$2:$C$998,$B64,clean!$D$2:$D$998,$C64,clean!$E$2:$E$998,$D64,clean!$F$2:$F$998,$E64)</f>
        <v>281626400</v>
      </c>
      <c r="Q64">
        <f>AVERAGEIFS(clean!R$2:R$998,clean!$B$2:$B$998,$A64,clean!$C$2:$C$998,$B64,clean!$D$2:$D$998,$C64,clean!$E$2:$E$998,$D64,clean!$F$2:$F$998,$E64)</f>
        <v>281783333.33333331</v>
      </c>
      <c r="R64">
        <f>AVERAGEIFS(clean!S$2:S$998,clean!$B$2:$B$998,$A64,clean!$C$2:$C$998,$B64,clean!$D$2:$D$998,$C64,clean!$E$2:$E$998,$D64,clean!$F$2:$F$998,$E64)</f>
        <v>2109066.6666666665</v>
      </c>
      <c r="S64">
        <f t="shared" si="0"/>
        <v>131093700.00000001</v>
      </c>
      <c r="T64">
        <f>AVERAGEIFS(clean!T$2:T$998,clean!$B$2:$B$998,$A64,clean!$C$2:$C$998,$B64,clean!$D$2:$D$998,$C64,clean!$E$2:$E$998,$D64,clean!$F$2:$F$998,$E64)</f>
        <v>80336033.333333328</v>
      </c>
      <c r="U64">
        <f>AVERAGEIFS(clean!U$2:U$998,clean!$B$2:$B$998,$A64,clean!$C$2:$C$998,$B64,clean!$D$2:$D$998,$C64,clean!$E$2:$E$998,$D64,clean!$F$2:$F$998,$E64)</f>
        <v>1113804900</v>
      </c>
      <c r="V64">
        <f>AVERAGEIFS(clean!V$2:V$998,clean!$B$2:$B$998,$A64,clean!$C$2:$C$998,$B64,clean!$D$2:$D$998,$C64,clean!$E$2:$E$998,$D64,clean!$F$2:$F$998,$E64)</f>
        <v>1939739100</v>
      </c>
      <c r="W64">
        <f>AVERAGEIFS(clean!W$2:W$998,clean!$B$2:$B$998,$A64,clean!$C$2:$C$998,$B64,clean!$D$2:$D$998,$C64,clean!$E$2:$E$998,$D64,clean!$F$2:$F$998,$E64)</f>
        <v>838933.33333333337</v>
      </c>
      <c r="X64">
        <f t="shared" si="1"/>
        <v>1623688500.0000007</v>
      </c>
      <c r="Y64">
        <f>AVERAGEIFS(clean!X$2:X$998,clean!$B$2:$B$998,$A64,clean!$C$2:$C$998,$B64,clean!$D$2:$D$998,$C64,clean!$E$2:$E$998,$D64,clean!$F$2:$F$998,$E64)</f>
        <v>1033676000</v>
      </c>
    </row>
    <row r="65" spans="1:25" x14ac:dyDescent="0.3">
      <c r="A65">
        <v>262144</v>
      </c>
      <c r="B65">
        <v>5</v>
      </c>
      <c r="C65">
        <v>216</v>
      </c>
      <c r="D65">
        <v>0.95</v>
      </c>
      <c r="E65">
        <v>11</v>
      </c>
      <c r="F65">
        <f>AVERAGEIFS(clean!G$2:G$998,clean!$B$2:$B$998,$A65,clean!$C$2:$C$998,$B65,clean!$D$2:$D$998,$C65,clean!$E$2:$E$998,$D65,clean!$F$2:$F$998,$E65)</f>
        <v>4095</v>
      </c>
      <c r="G65">
        <f>AVERAGEIFS(clean!H$2:H$998,clean!$B$2:$B$998,$A65,clean!$C$2:$C$998,$B65,clean!$D$2:$D$998,$C65,clean!$E$2:$E$998,$D65,clean!$F$2:$F$998,$E65)</f>
        <v>8192</v>
      </c>
      <c r="H65">
        <f>AVERAGEIFS(clean!I$2:I$998,clean!$B$2:$B$998,$A65,clean!$C$2:$C$998,$B65,clean!$D$2:$D$998,$C65,clean!$E$2:$E$998,$D65,clean!$F$2:$F$998,$E65)</f>
        <v>3202193366.6666665</v>
      </c>
      <c r="I65">
        <f>AVERAGEIFS(clean!J$2:J$998,clean!$B$2:$B$998,$A65,clean!$C$2:$C$998,$B65,clean!$D$2:$D$998,$C65,clean!$E$2:$E$998,$D65,clean!$F$2:$F$998,$E65)</f>
        <v>8728428933.333334</v>
      </c>
      <c r="J65">
        <f>AVERAGEIFS(clean!K$2:K$998,clean!$B$2:$B$998,$A65,clean!$C$2:$C$998,$B65,clean!$D$2:$D$998,$C65,clean!$E$2:$E$998,$D65,clean!$F$2:$F$998,$E65)</f>
        <v>2.725960738054217</v>
      </c>
      <c r="K65">
        <f>AVERAGEIFS(clean!L$2:L$998,clean!$B$2:$B$998,$A65,clean!$C$2:$C$998,$B65,clean!$D$2:$D$998,$C65,clean!$E$2:$E$998,$D65,clean!$F$2:$F$998,$E65)</f>
        <v>1379133.3333333333</v>
      </c>
      <c r="L65">
        <f>AVERAGEIFS(clean!M$2:M$998,clean!$B$2:$B$998,$A65,clean!$C$2:$C$998,$B65,clean!$D$2:$D$998,$C65,clean!$E$2:$E$998,$D65,clean!$F$2:$F$998,$E65)</f>
        <v>1576273733.3333333</v>
      </c>
      <c r="M65">
        <f>AVERAGEIFS(clean!N$2:N$998,clean!$B$2:$B$998,$A65,clean!$C$2:$C$998,$B65,clean!$D$2:$D$998,$C65,clean!$E$2:$E$998,$D65,clean!$F$2:$F$998,$E65)</f>
        <v>452559100</v>
      </c>
      <c r="N65">
        <f>AVERAGEIFS(clean!O$2:O$998,clean!$B$2:$B$998,$A65,clean!$C$2:$C$998,$B65,clean!$D$2:$D$998,$C65,clean!$E$2:$E$998,$D65,clean!$F$2:$F$998,$E65)</f>
        <v>2028832833.3333333</v>
      </c>
      <c r="O65">
        <f>AVERAGEIFS(clean!P$2:P$998,clean!$B$2:$B$998,$A65,clean!$C$2:$C$998,$B65,clean!$D$2:$D$998,$C65,clean!$E$2:$E$998,$D65,clean!$F$2:$F$998,$E65)</f>
        <v>129033.33333333333</v>
      </c>
      <c r="P65">
        <f>AVERAGEIFS(clean!Q$2:Q$998,clean!$B$2:$B$998,$A65,clean!$C$2:$C$998,$B65,clean!$D$2:$D$998,$C65,clean!$E$2:$E$998,$D65,clean!$F$2:$F$998,$E65)</f>
        <v>282998100</v>
      </c>
      <c r="Q65">
        <f>AVERAGEIFS(clean!R$2:R$998,clean!$B$2:$B$998,$A65,clean!$C$2:$C$998,$B65,clean!$D$2:$D$998,$C65,clean!$E$2:$E$998,$D65,clean!$F$2:$F$998,$E65)</f>
        <v>283127133.33333331</v>
      </c>
      <c r="R65">
        <f>AVERAGEIFS(clean!S$2:S$998,clean!$B$2:$B$998,$A65,clean!$C$2:$C$998,$B65,clean!$D$2:$D$998,$C65,clean!$E$2:$E$998,$D65,clean!$F$2:$F$998,$E65)</f>
        <v>2163233.3333333335</v>
      </c>
      <c r="S65">
        <f t="shared" si="0"/>
        <v>886691033.33333313</v>
      </c>
      <c r="T65">
        <f>AVERAGEIFS(clean!T$2:T$998,clean!$B$2:$B$998,$A65,clean!$C$2:$C$998,$B65,clean!$D$2:$D$998,$C65,clean!$E$2:$E$998,$D65,clean!$F$2:$F$998,$E65)</f>
        <v>84569366.666666672</v>
      </c>
      <c r="U65">
        <f>AVERAGEIFS(clean!U$2:U$998,clean!$B$2:$B$998,$A65,clean!$C$2:$C$998,$B65,clean!$D$2:$D$998,$C65,clean!$E$2:$E$998,$D65,clean!$F$2:$F$998,$E65)</f>
        <v>2155839166.6666665</v>
      </c>
      <c r="V65">
        <f>AVERAGEIFS(clean!V$2:V$998,clean!$B$2:$B$998,$A65,clean!$C$2:$C$998,$B65,clean!$D$2:$D$998,$C65,clean!$E$2:$E$998,$D65,clean!$F$2:$F$998,$E65)</f>
        <v>2020833633.3333333</v>
      </c>
      <c r="W65">
        <f>AVERAGEIFS(clean!W$2:W$998,clean!$B$2:$B$998,$A65,clean!$C$2:$C$998,$B65,clean!$D$2:$D$998,$C65,clean!$E$2:$E$998,$D65,clean!$F$2:$F$998,$E65)</f>
        <v>859766.66666666663</v>
      </c>
      <c r="X65">
        <f t="shared" si="1"/>
        <v>4466327000.0000019</v>
      </c>
      <c r="Y65">
        <f>AVERAGEIFS(clean!X$2:X$998,clean!$B$2:$B$998,$A65,clean!$C$2:$C$998,$B65,clean!$D$2:$D$998,$C65,clean!$E$2:$E$998,$D65,clean!$F$2:$F$998,$E65)</f>
        <v>3202193366.6666665</v>
      </c>
    </row>
    <row r="66" spans="1:25" x14ac:dyDescent="0.3">
      <c r="A66">
        <v>262144</v>
      </c>
      <c r="B66">
        <v>6</v>
      </c>
      <c r="C66">
        <v>343</v>
      </c>
      <c r="D66">
        <v>0.95</v>
      </c>
      <c r="E66">
        <v>10</v>
      </c>
      <c r="F66">
        <f>AVERAGEIFS(clean!G$2:G$998,clean!$B$2:$B$998,$A66,clean!$C$2:$C$998,$B66,clean!$D$2:$D$998,$C66,clean!$E$2:$E$998,$D66,clean!$F$2:$F$998,$E66)</f>
        <v>2047</v>
      </c>
      <c r="G66">
        <f>AVERAGEIFS(clean!H$2:H$998,clean!$B$2:$B$998,$A66,clean!$C$2:$C$998,$B66,clean!$D$2:$D$998,$C66,clean!$E$2:$E$998,$D66,clean!$F$2:$F$998,$E66)</f>
        <v>2048</v>
      </c>
      <c r="H66">
        <f>AVERAGEIFS(clean!I$2:I$998,clean!$B$2:$B$998,$A66,clean!$C$2:$C$998,$B66,clean!$D$2:$D$998,$C66,clean!$E$2:$E$998,$D66,clean!$F$2:$F$998,$E66)</f>
        <v>5852622566.666667</v>
      </c>
      <c r="I66">
        <f>AVERAGEIFS(clean!J$2:J$998,clean!$B$2:$B$998,$A66,clean!$C$2:$C$998,$B66,clean!$D$2:$D$998,$C66,clean!$E$2:$E$998,$D66,clean!$F$2:$F$998,$E66)</f>
        <v>13190028333.333334</v>
      </c>
      <c r="J66">
        <f>AVERAGEIFS(clean!K$2:K$998,clean!$B$2:$B$998,$A66,clean!$C$2:$C$998,$B66,clean!$D$2:$D$998,$C66,clean!$E$2:$E$998,$D66,clean!$F$2:$F$998,$E66)</f>
        <v>2.2539289463690366</v>
      </c>
      <c r="K66">
        <f>AVERAGEIFS(clean!L$2:L$998,clean!$B$2:$B$998,$A66,clean!$C$2:$C$998,$B66,clean!$D$2:$D$998,$C66,clean!$E$2:$E$998,$D66,clean!$F$2:$F$998,$E66)</f>
        <v>776033.33333333337</v>
      </c>
      <c r="L66">
        <f>AVERAGEIFS(clean!M$2:M$998,clean!$B$2:$B$998,$A66,clean!$C$2:$C$998,$B66,clean!$D$2:$D$998,$C66,clean!$E$2:$E$998,$D66,clean!$F$2:$F$998,$E66)</f>
        <v>3624389600</v>
      </c>
      <c r="M66">
        <f>AVERAGEIFS(clean!N$2:N$998,clean!$B$2:$B$998,$A66,clean!$C$2:$C$998,$B66,clean!$D$2:$D$998,$C66,clean!$E$2:$E$998,$D66,clean!$F$2:$F$998,$E66)</f>
        <v>1143372266.6666667</v>
      </c>
      <c r="N66">
        <f>AVERAGEIFS(clean!O$2:O$998,clean!$B$2:$B$998,$A66,clean!$C$2:$C$998,$B66,clean!$D$2:$D$998,$C66,clean!$E$2:$E$998,$D66,clean!$F$2:$F$998,$E66)</f>
        <v>4767761866.666667</v>
      </c>
      <c r="O66">
        <f>AVERAGEIFS(clean!P$2:P$998,clean!$B$2:$B$998,$A66,clean!$C$2:$C$998,$B66,clean!$D$2:$D$998,$C66,clean!$E$2:$E$998,$D66,clean!$F$2:$F$998,$E66)</f>
        <v>88433.333333333328</v>
      </c>
      <c r="P66">
        <f>AVERAGEIFS(clean!Q$2:Q$998,clean!$B$2:$B$998,$A66,clean!$C$2:$C$998,$B66,clean!$D$2:$D$998,$C66,clean!$E$2:$E$998,$D66,clean!$F$2:$F$998,$E66)</f>
        <v>284058700</v>
      </c>
      <c r="Q66">
        <f>AVERAGEIFS(clean!R$2:R$998,clean!$B$2:$B$998,$A66,clean!$C$2:$C$998,$B66,clean!$D$2:$D$998,$C66,clean!$E$2:$E$998,$D66,clean!$F$2:$F$998,$E66)</f>
        <v>284147133.33333331</v>
      </c>
      <c r="R66">
        <f>AVERAGEIFS(clean!S$2:S$998,clean!$B$2:$B$998,$A66,clean!$C$2:$C$998,$B66,clean!$D$2:$D$998,$C66,clean!$E$2:$E$998,$D66,clean!$F$2:$F$998,$E66)</f>
        <v>2116133.3333333335</v>
      </c>
      <c r="S66">
        <f t="shared" si="0"/>
        <v>797821400.00000036</v>
      </c>
      <c r="T66">
        <f>AVERAGEIFS(clean!T$2:T$998,clean!$B$2:$B$998,$A66,clean!$C$2:$C$998,$B66,clean!$D$2:$D$998,$C66,clean!$E$2:$E$998,$D66,clean!$F$2:$F$998,$E66)</f>
        <v>73191666.666666672</v>
      </c>
      <c r="U66">
        <f>AVERAGEIFS(clean!U$2:U$998,clean!$B$2:$B$998,$A66,clean!$C$2:$C$998,$B66,clean!$D$2:$D$998,$C66,clean!$E$2:$E$998,$D66,clean!$F$2:$F$998,$E66)</f>
        <v>5355107366.666667</v>
      </c>
      <c r="V66">
        <f>AVERAGEIFS(clean!V$2:V$998,clean!$B$2:$B$998,$A66,clean!$C$2:$C$998,$B66,clean!$D$2:$D$998,$C66,clean!$E$2:$E$998,$D66,clean!$F$2:$F$998,$E66)</f>
        <v>2128731333.3333333</v>
      </c>
      <c r="W66">
        <f>AVERAGEIFS(clean!W$2:W$998,clean!$B$2:$B$998,$A66,clean!$C$2:$C$998,$B66,clean!$D$2:$D$998,$C66,clean!$E$2:$E$998,$D66,clean!$F$2:$F$998,$E66)</f>
        <v>881633.33333333337</v>
      </c>
      <c r="X66">
        <f t="shared" si="1"/>
        <v>5632116333.3333349</v>
      </c>
      <c r="Y66">
        <f>AVERAGEIFS(clean!X$2:X$998,clean!$B$2:$B$998,$A66,clean!$C$2:$C$998,$B66,clean!$D$2:$D$998,$C66,clean!$E$2:$E$998,$D66,clean!$F$2:$F$998,$E66)</f>
        <v>5852622566.666667</v>
      </c>
    </row>
    <row r="67" spans="1:25" x14ac:dyDescent="0.3">
      <c r="A67">
        <v>262144</v>
      </c>
      <c r="B67">
        <v>4</v>
      </c>
      <c r="C67">
        <v>125</v>
      </c>
      <c r="D67">
        <v>0.8</v>
      </c>
      <c r="E67">
        <v>12</v>
      </c>
      <c r="F67">
        <f>AVERAGEIFS(clean!G$2:G$998,clean!$B$2:$B$998,$A67,clean!$C$2:$C$998,$B67,clean!$D$2:$D$998,$C67,clean!$E$2:$E$998,$D67,clean!$F$2:$F$998,$E67)</f>
        <v>8191</v>
      </c>
      <c r="G67">
        <f>AVERAGEIFS(clean!H$2:H$998,clean!$B$2:$B$998,$A67,clean!$C$2:$C$998,$B67,clean!$D$2:$D$998,$C67,clean!$E$2:$E$998,$D67,clean!$F$2:$F$998,$E67)</f>
        <v>32648</v>
      </c>
      <c r="H67">
        <f>AVERAGEIFS(clean!I$2:I$998,clean!$B$2:$B$998,$A67,clean!$C$2:$C$998,$B67,clean!$D$2:$D$998,$C67,clean!$E$2:$E$998,$D67,clean!$F$2:$F$998,$E67)</f>
        <v>2659528400</v>
      </c>
      <c r="I67">
        <f>AVERAGEIFS(clean!J$2:J$998,clean!$B$2:$B$998,$A67,clean!$C$2:$C$998,$B67,clean!$D$2:$D$998,$C67,clean!$E$2:$E$998,$D67,clean!$F$2:$F$998,$E67)</f>
        <v>9585861366.666666</v>
      </c>
      <c r="J67">
        <f>AVERAGEIFS(clean!K$2:K$998,clean!$B$2:$B$998,$A67,clean!$C$2:$C$998,$B67,clean!$D$2:$D$998,$C67,clean!$E$2:$E$998,$D67,clean!$F$2:$F$998,$E67)</f>
        <v>3.6049524751503932</v>
      </c>
      <c r="K67">
        <f>AVERAGEIFS(clean!L$2:L$998,clean!$B$2:$B$998,$A67,clean!$C$2:$C$998,$B67,clean!$D$2:$D$998,$C67,clean!$E$2:$E$998,$D67,clean!$F$2:$F$998,$E67)</f>
        <v>6055533.333333333</v>
      </c>
      <c r="L67">
        <f>AVERAGEIFS(clean!M$2:M$998,clean!$B$2:$B$998,$A67,clean!$C$2:$C$998,$B67,clean!$D$2:$D$998,$C67,clean!$E$2:$E$998,$D67,clean!$F$2:$F$998,$E67)</f>
        <v>831689033.33333337</v>
      </c>
      <c r="M67">
        <f>AVERAGEIFS(clean!N$2:N$998,clean!$B$2:$B$998,$A67,clean!$C$2:$C$998,$B67,clean!$D$2:$D$998,$C67,clean!$E$2:$E$998,$D67,clean!$F$2:$F$998,$E67)</f>
        <v>727050666.66666663</v>
      </c>
      <c r="N67">
        <f>AVERAGEIFS(clean!O$2:O$998,clean!$B$2:$B$998,$A67,clean!$C$2:$C$998,$B67,clean!$D$2:$D$998,$C67,clean!$E$2:$E$998,$D67,clean!$F$2:$F$998,$E67)</f>
        <v>1558739700</v>
      </c>
      <c r="O67">
        <f>AVERAGEIFS(clean!P$2:P$998,clean!$B$2:$B$998,$A67,clean!$C$2:$C$998,$B67,clean!$D$2:$D$998,$C67,clean!$E$2:$E$998,$D67,clean!$F$2:$F$998,$E67)</f>
        <v>181000</v>
      </c>
      <c r="P67">
        <f>AVERAGEIFS(clean!Q$2:Q$998,clean!$B$2:$B$998,$A67,clean!$C$2:$C$998,$B67,clean!$D$2:$D$998,$C67,clean!$E$2:$E$998,$D67,clean!$F$2:$F$998,$E67)</f>
        <v>290985500</v>
      </c>
      <c r="Q67">
        <f>AVERAGEIFS(clean!R$2:R$998,clean!$B$2:$B$998,$A67,clean!$C$2:$C$998,$B67,clean!$D$2:$D$998,$C67,clean!$E$2:$E$998,$D67,clean!$F$2:$F$998,$E67)</f>
        <v>291166500</v>
      </c>
      <c r="R67">
        <f>AVERAGEIFS(clean!S$2:S$998,clean!$B$2:$B$998,$A67,clean!$C$2:$C$998,$B67,clean!$D$2:$D$998,$C67,clean!$E$2:$E$998,$D67,clean!$F$2:$F$998,$E67)</f>
        <v>2180766.6666666665</v>
      </c>
      <c r="S67">
        <f t="shared" ref="S67:S130" si="2">H67-K67-N67-Q67-R67</f>
        <v>801385899.99999988</v>
      </c>
      <c r="T67">
        <f>AVERAGEIFS(clean!T$2:T$998,clean!$B$2:$B$998,$A67,clean!$C$2:$C$998,$B67,clean!$D$2:$D$998,$C67,clean!$E$2:$E$998,$D67,clean!$F$2:$F$998,$E67)</f>
        <v>91221600</v>
      </c>
      <c r="U67">
        <f>AVERAGEIFS(clean!U$2:U$998,clean!$B$2:$B$998,$A67,clean!$C$2:$C$998,$B67,clean!$D$2:$D$998,$C67,clean!$E$2:$E$998,$D67,clean!$F$2:$F$998,$E67)</f>
        <v>4178915533.3333335</v>
      </c>
      <c r="V67">
        <f>AVERAGEIFS(clean!V$2:V$998,clean!$B$2:$B$998,$A67,clean!$C$2:$C$998,$B67,clean!$D$2:$D$998,$C67,clean!$E$2:$E$998,$D67,clean!$F$2:$F$998,$E67)</f>
        <v>1954929466.6666667</v>
      </c>
      <c r="W67">
        <f>AVERAGEIFS(clean!W$2:W$998,clean!$B$2:$B$998,$A67,clean!$C$2:$C$998,$B67,clean!$D$2:$D$998,$C67,clean!$E$2:$E$998,$D67,clean!$F$2:$F$998,$E67)</f>
        <v>862533.33333333337</v>
      </c>
      <c r="X67">
        <f t="shared" ref="X67:X130" si="3">I67-T67-U67-V67-W67</f>
        <v>3359932233.3333316</v>
      </c>
      <c r="Y67">
        <f>AVERAGEIFS(clean!X$2:X$998,clean!$B$2:$B$998,$A67,clean!$C$2:$C$998,$B67,clean!$D$2:$D$998,$C67,clean!$E$2:$E$998,$D67,clean!$F$2:$F$998,$E67)</f>
        <v>2659528400</v>
      </c>
    </row>
    <row r="68" spans="1:25" x14ac:dyDescent="0.3">
      <c r="A68">
        <v>262144</v>
      </c>
      <c r="B68">
        <v>5</v>
      </c>
      <c r="C68">
        <v>216</v>
      </c>
      <c r="D68">
        <v>0.8</v>
      </c>
      <c r="E68">
        <v>11</v>
      </c>
      <c r="F68">
        <f>AVERAGEIFS(clean!G$2:G$998,clean!$B$2:$B$998,$A68,clean!$C$2:$C$998,$B68,clean!$D$2:$D$998,$C68,clean!$E$2:$E$998,$D68,clean!$F$2:$F$998,$E68)</f>
        <v>4095</v>
      </c>
      <c r="G68">
        <f>AVERAGEIFS(clean!H$2:H$998,clean!$B$2:$B$998,$A68,clean!$C$2:$C$998,$B68,clean!$D$2:$D$998,$C68,clean!$E$2:$E$998,$D68,clean!$F$2:$F$998,$E68)</f>
        <v>15148</v>
      </c>
      <c r="H68">
        <f>AVERAGEIFS(clean!I$2:I$998,clean!$B$2:$B$998,$A68,clean!$C$2:$C$998,$B68,clean!$D$2:$D$998,$C68,clean!$E$2:$E$998,$D68,clean!$F$2:$F$998,$E68)</f>
        <v>4099699100</v>
      </c>
      <c r="I68">
        <f>AVERAGEIFS(clean!J$2:J$998,clean!$B$2:$B$998,$A68,clean!$C$2:$C$998,$B68,clean!$D$2:$D$998,$C68,clean!$E$2:$E$998,$D68,clean!$F$2:$F$998,$E68)</f>
        <v>14573172300</v>
      </c>
      <c r="J68">
        <f>AVERAGEIFS(clean!K$2:K$998,clean!$B$2:$B$998,$A68,clean!$C$2:$C$998,$B68,clean!$D$2:$D$998,$C68,clean!$E$2:$E$998,$D68,clean!$F$2:$F$998,$E68)</f>
        <v>3.5548217770201336</v>
      </c>
      <c r="K68">
        <f>AVERAGEIFS(clean!L$2:L$998,clean!$B$2:$B$998,$A68,clean!$C$2:$C$998,$B68,clean!$D$2:$D$998,$C68,clean!$E$2:$E$998,$D68,clean!$F$2:$F$998,$E68)</f>
        <v>3010733.3333333335</v>
      </c>
      <c r="L68">
        <f>AVERAGEIFS(clean!M$2:M$998,clean!$B$2:$B$998,$A68,clean!$C$2:$C$998,$B68,clean!$D$2:$D$998,$C68,clean!$E$2:$E$998,$D68,clean!$F$2:$F$998,$E68)</f>
        <v>1575515433.3333333</v>
      </c>
      <c r="M68">
        <f>AVERAGEIFS(clean!N$2:N$998,clean!$B$2:$B$998,$A68,clean!$C$2:$C$998,$B68,clean!$D$2:$D$998,$C68,clean!$E$2:$E$998,$D68,clean!$F$2:$F$998,$E68)</f>
        <v>1289371633.3333333</v>
      </c>
      <c r="N68">
        <f>AVERAGEIFS(clean!O$2:O$998,clean!$B$2:$B$998,$A68,clean!$C$2:$C$998,$B68,clean!$D$2:$D$998,$C68,clean!$E$2:$E$998,$D68,clean!$F$2:$F$998,$E68)</f>
        <v>2864887066.6666665</v>
      </c>
      <c r="O68">
        <f>AVERAGEIFS(clean!P$2:P$998,clean!$B$2:$B$998,$A68,clean!$C$2:$C$998,$B68,clean!$D$2:$D$998,$C68,clean!$E$2:$E$998,$D68,clean!$F$2:$F$998,$E68)</f>
        <v>157533.33333333334</v>
      </c>
      <c r="P68">
        <f>AVERAGEIFS(clean!Q$2:Q$998,clean!$B$2:$B$998,$A68,clean!$C$2:$C$998,$B68,clean!$D$2:$D$998,$C68,clean!$E$2:$E$998,$D68,clean!$F$2:$F$998,$E68)</f>
        <v>514413833.33333331</v>
      </c>
      <c r="Q68">
        <f>AVERAGEIFS(clean!R$2:R$998,clean!$B$2:$B$998,$A68,clean!$C$2:$C$998,$B68,clean!$D$2:$D$998,$C68,clean!$E$2:$E$998,$D68,clean!$F$2:$F$998,$E68)</f>
        <v>514571366.66666669</v>
      </c>
      <c r="R68">
        <f>AVERAGEIFS(clean!S$2:S$998,clean!$B$2:$B$998,$A68,clean!$C$2:$C$998,$B68,clean!$D$2:$D$998,$C68,clean!$E$2:$E$998,$D68,clean!$F$2:$F$998,$E68)</f>
        <v>2208766.6666666665</v>
      </c>
      <c r="S68">
        <f t="shared" si="2"/>
        <v>715021166.66666663</v>
      </c>
      <c r="T68">
        <f>AVERAGEIFS(clean!T$2:T$998,clean!$B$2:$B$998,$A68,clean!$C$2:$C$998,$B68,clean!$D$2:$D$998,$C68,clean!$E$2:$E$998,$D68,clean!$F$2:$F$998,$E68)</f>
        <v>82987900</v>
      </c>
      <c r="U68">
        <f>AVERAGEIFS(clean!U$2:U$998,clean!$B$2:$B$998,$A68,clean!$C$2:$C$998,$B68,clean!$D$2:$D$998,$C68,clean!$E$2:$E$998,$D68,clean!$F$2:$F$998,$E68)</f>
        <v>6194560033.333333</v>
      </c>
      <c r="V68">
        <f>AVERAGEIFS(clean!V$2:V$998,clean!$B$2:$B$998,$A68,clean!$C$2:$C$998,$B68,clean!$D$2:$D$998,$C68,clean!$E$2:$E$998,$D68,clean!$F$2:$F$998,$E68)</f>
        <v>3737194366.6666665</v>
      </c>
      <c r="W68">
        <f>AVERAGEIFS(clean!W$2:W$998,clean!$B$2:$B$998,$A68,clean!$C$2:$C$998,$B68,clean!$D$2:$D$998,$C68,clean!$E$2:$E$998,$D68,clean!$F$2:$F$998,$E68)</f>
        <v>893900</v>
      </c>
      <c r="X68">
        <f t="shared" si="3"/>
        <v>4557536100</v>
      </c>
      <c r="Y68">
        <f>AVERAGEIFS(clean!X$2:X$998,clean!$B$2:$B$998,$A68,clean!$C$2:$C$998,$B68,clean!$D$2:$D$998,$C68,clean!$E$2:$E$998,$D68,clean!$F$2:$F$998,$E68)</f>
        <v>4099699100</v>
      </c>
    </row>
    <row r="69" spans="1:25" x14ac:dyDescent="0.3">
      <c r="A69">
        <v>262144</v>
      </c>
      <c r="B69">
        <v>3</v>
      </c>
      <c r="C69">
        <v>64</v>
      </c>
      <c r="D69">
        <v>0.65</v>
      </c>
      <c r="E69">
        <v>12</v>
      </c>
      <c r="F69">
        <f>AVERAGEIFS(clean!G$2:G$998,clean!$B$2:$B$998,$A69,clean!$C$2:$C$998,$B69,clean!$D$2:$D$998,$C69,clean!$E$2:$E$998,$D69,clean!$F$2:$F$998,$E69)</f>
        <v>8191</v>
      </c>
      <c r="G69">
        <f>AVERAGEIFS(clean!H$2:H$998,clean!$B$2:$B$998,$A69,clean!$C$2:$C$998,$B69,clean!$D$2:$D$998,$C69,clean!$E$2:$E$998,$D69,clean!$F$2:$F$998,$E69)</f>
        <v>68510.666666666672</v>
      </c>
      <c r="H69">
        <f>AVERAGEIFS(clean!I$2:I$998,clean!$B$2:$B$998,$A69,clean!$C$2:$C$998,$B69,clean!$D$2:$D$998,$C69,clean!$E$2:$E$998,$D69,clean!$F$2:$F$998,$E69)</f>
        <v>1865781533.3333333</v>
      </c>
      <c r="I69">
        <f>AVERAGEIFS(clean!J$2:J$998,clean!$B$2:$B$998,$A69,clean!$C$2:$C$998,$B69,clean!$D$2:$D$998,$C69,clean!$E$2:$E$998,$D69,clean!$F$2:$F$998,$E69)</f>
        <v>7753511866.666667</v>
      </c>
      <c r="J69">
        <f>AVERAGEIFS(clean!K$2:K$998,clean!$B$2:$B$998,$A69,clean!$C$2:$C$998,$B69,clean!$D$2:$D$998,$C69,clean!$E$2:$E$998,$D69,clean!$F$2:$F$998,$E69)</f>
        <v>4.1572124845127334</v>
      </c>
      <c r="K69">
        <f>AVERAGEIFS(clean!L$2:L$998,clean!$B$2:$B$998,$A69,clean!$C$2:$C$998,$B69,clean!$D$2:$D$998,$C69,clean!$E$2:$E$998,$D69,clean!$F$2:$F$998,$E69)</f>
        <v>11871133.333333334</v>
      </c>
      <c r="L69">
        <f>AVERAGEIFS(clean!M$2:M$998,clean!$B$2:$B$998,$A69,clean!$C$2:$C$998,$B69,clean!$D$2:$D$998,$C69,clean!$E$2:$E$998,$D69,clean!$F$2:$F$998,$E69)</f>
        <v>327846300</v>
      </c>
      <c r="M69">
        <f>AVERAGEIFS(clean!N$2:N$998,clean!$B$2:$B$998,$A69,clean!$C$2:$C$998,$B69,clean!$D$2:$D$998,$C69,clean!$E$2:$E$998,$D69,clean!$F$2:$F$998,$E69)</f>
        <v>402250400</v>
      </c>
      <c r="N69">
        <f>AVERAGEIFS(clean!O$2:O$998,clean!$B$2:$B$998,$A69,clean!$C$2:$C$998,$B69,clean!$D$2:$D$998,$C69,clean!$E$2:$E$998,$D69,clean!$F$2:$F$998,$E69)</f>
        <v>730096700</v>
      </c>
      <c r="O69">
        <f>AVERAGEIFS(clean!P$2:P$998,clean!$B$2:$B$998,$A69,clean!$C$2:$C$998,$B69,clean!$D$2:$D$998,$C69,clean!$E$2:$E$998,$D69,clean!$F$2:$F$998,$E69)</f>
        <v>205933.33333333334</v>
      </c>
      <c r="P69">
        <f>AVERAGEIFS(clean!Q$2:Q$998,clean!$B$2:$B$998,$A69,clean!$C$2:$C$998,$B69,clean!$D$2:$D$998,$C69,clean!$E$2:$E$998,$D69,clean!$F$2:$F$998,$E69)</f>
        <v>583530600</v>
      </c>
      <c r="Q69">
        <f>AVERAGEIFS(clean!R$2:R$998,clean!$B$2:$B$998,$A69,clean!$C$2:$C$998,$B69,clean!$D$2:$D$998,$C69,clean!$E$2:$E$998,$D69,clean!$F$2:$F$998,$E69)</f>
        <v>583736533.33333337</v>
      </c>
      <c r="R69">
        <f>AVERAGEIFS(clean!S$2:S$998,clean!$B$2:$B$998,$A69,clean!$C$2:$C$998,$B69,clean!$D$2:$D$998,$C69,clean!$E$2:$E$998,$D69,clean!$F$2:$F$998,$E69)</f>
        <v>2128233.3333333335</v>
      </c>
      <c r="S69">
        <f t="shared" si="2"/>
        <v>537948933.33333325</v>
      </c>
      <c r="T69">
        <f>AVERAGEIFS(clean!T$2:T$998,clean!$B$2:$B$998,$A69,clean!$C$2:$C$998,$B69,clean!$D$2:$D$998,$C69,clean!$E$2:$E$998,$D69,clean!$F$2:$F$998,$E69)</f>
        <v>85767033.333333328</v>
      </c>
      <c r="U69">
        <f>AVERAGEIFS(clean!U$2:U$998,clean!$B$2:$B$998,$A69,clean!$C$2:$C$998,$B69,clean!$D$2:$D$998,$C69,clean!$E$2:$E$998,$D69,clean!$F$2:$F$998,$E69)</f>
        <v>1937237366.6666667</v>
      </c>
      <c r="V69">
        <f>AVERAGEIFS(clean!V$2:V$998,clean!$B$2:$B$998,$A69,clean!$C$2:$C$998,$B69,clean!$D$2:$D$998,$C69,clean!$E$2:$E$998,$D69,clean!$F$2:$F$998,$E69)</f>
        <v>4098792833.3333335</v>
      </c>
      <c r="W69">
        <f>AVERAGEIFS(clean!W$2:W$998,clean!$B$2:$B$998,$A69,clean!$C$2:$C$998,$B69,clean!$D$2:$D$998,$C69,clean!$E$2:$E$998,$D69,clean!$F$2:$F$998,$E69)</f>
        <v>846966.66666666663</v>
      </c>
      <c r="X69">
        <f t="shared" si="3"/>
        <v>1630867666.6666667</v>
      </c>
      <c r="Y69">
        <f>AVERAGEIFS(clean!X$2:X$998,clean!$B$2:$B$998,$A69,clean!$C$2:$C$998,$B69,clean!$D$2:$D$998,$C69,clean!$E$2:$E$998,$D69,clean!$F$2:$F$998,$E69)</f>
        <v>1865781533.3333333</v>
      </c>
    </row>
    <row r="70" spans="1:25" x14ac:dyDescent="0.3">
      <c r="A70">
        <v>262144</v>
      </c>
      <c r="B70">
        <v>4</v>
      </c>
      <c r="C70">
        <v>125</v>
      </c>
      <c r="D70">
        <v>0.65</v>
      </c>
      <c r="E70">
        <v>12</v>
      </c>
      <c r="F70">
        <f>AVERAGEIFS(clean!G$2:G$998,clean!$B$2:$B$998,$A70,clean!$C$2:$C$998,$B70,clean!$D$2:$D$998,$C70,clean!$E$2:$E$998,$D70,clean!$F$2:$F$998,$E70)</f>
        <v>8191</v>
      </c>
      <c r="G70">
        <f>AVERAGEIFS(clean!H$2:H$998,clean!$B$2:$B$998,$A70,clean!$C$2:$C$998,$B70,clean!$D$2:$D$998,$C70,clean!$E$2:$E$998,$D70,clean!$F$2:$F$998,$E70)</f>
        <v>68812</v>
      </c>
      <c r="H70">
        <f>AVERAGEIFS(clean!I$2:I$998,clean!$B$2:$B$998,$A70,clean!$C$2:$C$998,$B70,clean!$D$2:$D$998,$C70,clean!$E$2:$E$998,$D70,clean!$F$2:$F$998,$E70)</f>
        <v>3326574600</v>
      </c>
      <c r="I70">
        <f>AVERAGEIFS(clean!J$2:J$998,clean!$B$2:$B$998,$A70,clean!$C$2:$C$998,$B70,clean!$D$2:$D$998,$C70,clean!$E$2:$E$998,$D70,clean!$F$2:$F$998,$E70)</f>
        <v>14779837433.333334</v>
      </c>
      <c r="J70">
        <f>AVERAGEIFS(clean!K$2:K$998,clean!$B$2:$B$998,$A70,clean!$C$2:$C$998,$B70,clean!$D$2:$D$998,$C70,clean!$E$2:$E$998,$D70,clean!$F$2:$F$998,$E70)</f>
        <v>4.4430565652888268</v>
      </c>
      <c r="K70">
        <f>AVERAGEIFS(clean!L$2:L$998,clean!$B$2:$B$998,$A70,clean!$C$2:$C$998,$B70,clean!$D$2:$D$998,$C70,clean!$E$2:$E$998,$D70,clean!$F$2:$F$998,$E70)</f>
        <v>12857900</v>
      </c>
      <c r="L70">
        <f>AVERAGEIFS(clean!M$2:M$998,clean!$B$2:$B$998,$A70,clean!$C$2:$C$998,$B70,clean!$D$2:$D$998,$C70,clean!$E$2:$E$998,$D70,clean!$F$2:$F$998,$E70)</f>
        <v>830202000</v>
      </c>
      <c r="M70">
        <f>AVERAGEIFS(clean!N$2:N$998,clean!$B$2:$B$998,$A70,clean!$C$2:$C$998,$B70,clean!$D$2:$D$998,$C70,clean!$E$2:$E$998,$D70,clean!$F$2:$F$998,$E70)</f>
        <v>1244338833.3333333</v>
      </c>
      <c r="N70">
        <f>AVERAGEIFS(clean!O$2:O$998,clean!$B$2:$B$998,$A70,clean!$C$2:$C$998,$B70,clean!$D$2:$D$998,$C70,clean!$E$2:$E$998,$D70,clean!$F$2:$F$998,$E70)</f>
        <v>2074540833.3333333</v>
      </c>
      <c r="O70">
        <f>AVERAGEIFS(clean!P$2:P$998,clean!$B$2:$B$998,$A70,clean!$C$2:$C$998,$B70,clean!$D$2:$D$998,$C70,clean!$E$2:$E$998,$D70,clean!$F$2:$F$998,$E70)</f>
        <v>226900</v>
      </c>
      <c r="P70">
        <f>AVERAGEIFS(clean!Q$2:Q$998,clean!$B$2:$B$998,$A70,clean!$C$2:$C$998,$B70,clean!$D$2:$D$998,$C70,clean!$E$2:$E$998,$D70,clean!$F$2:$F$998,$E70)</f>
        <v>599225500</v>
      </c>
      <c r="Q70">
        <f>AVERAGEIFS(clean!R$2:R$998,clean!$B$2:$B$998,$A70,clean!$C$2:$C$998,$B70,clean!$D$2:$D$998,$C70,clean!$E$2:$E$998,$D70,clean!$F$2:$F$998,$E70)</f>
        <v>599452400</v>
      </c>
      <c r="R70">
        <f>AVERAGEIFS(clean!S$2:S$998,clean!$B$2:$B$998,$A70,clean!$C$2:$C$998,$B70,clean!$D$2:$D$998,$C70,clean!$E$2:$E$998,$D70,clean!$F$2:$F$998,$E70)</f>
        <v>2129500</v>
      </c>
      <c r="S70">
        <f t="shared" si="2"/>
        <v>637593966.66666675</v>
      </c>
      <c r="T70">
        <f>AVERAGEIFS(clean!T$2:T$998,clean!$B$2:$B$998,$A70,clean!$C$2:$C$998,$B70,clean!$D$2:$D$998,$C70,clean!$E$2:$E$998,$D70,clean!$F$2:$F$998,$E70)</f>
        <v>86991866.666666672</v>
      </c>
      <c r="U70">
        <f>AVERAGEIFS(clean!U$2:U$998,clean!$B$2:$B$998,$A70,clean!$C$2:$C$998,$B70,clean!$D$2:$D$998,$C70,clean!$E$2:$E$998,$D70,clean!$F$2:$F$998,$E70)</f>
        <v>7233045500</v>
      </c>
      <c r="V70">
        <f>AVERAGEIFS(clean!V$2:V$998,clean!$B$2:$B$998,$A70,clean!$C$2:$C$998,$B70,clean!$D$2:$D$998,$C70,clean!$E$2:$E$998,$D70,clean!$F$2:$F$998,$E70)</f>
        <v>4112852933.3333335</v>
      </c>
      <c r="W70">
        <f>AVERAGEIFS(clean!W$2:W$998,clean!$B$2:$B$998,$A70,clean!$C$2:$C$998,$B70,clean!$D$2:$D$998,$C70,clean!$E$2:$E$998,$D70,clean!$F$2:$F$998,$E70)</f>
        <v>863566.66666666663</v>
      </c>
      <c r="X70">
        <f t="shared" si="3"/>
        <v>3346083566.6666679</v>
      </c>
      <c r="Y70">
        <f>AVERAGEIFS(clean!X$2:X$998,clean!$B$2:$B$998,$A70,clean!$C$2:$C$998,$B70,clean!$D$2:$D$998,$C70,clean!$E$2:$E$998,$D70,clean!$F$2:$F$998,$E70)</f>
        <v>3326574600</v>
      </c>
    </row>
    <row r="71" spans="1:25" x14ac:dyDescent="0.3">
      <c r="A71">
        <v>262144</v>
      </c>
      <c r="B71">
        <v>6</v>
      </c>
      <c r="C71">
        <v>343</v>
      </c>
      <c r="D71">
        <v>0.8</v>
      </c>
      <c r="E71">
        <v>10</v>
      </c>
      <c r="F71">
        <f>AVERAGEIFS(clean!G$2:G$998,clean!$B$2:$B$998,$A71,clean!$C$2:$C$998,$B71,clean!$D$2:$D$998,$C71,clean!$E$2:$E$998,$D71,clean!$F$2:$F$998,$E71)</f>
        <v>2047</v>
      </c>
      <c r="G71">
        <f>AVERAGEIFS(clean!H$2:H$998,clean!$B$2:$B$998,$A71,clean!$C$2:$C$998,$B71,clean!$D$2:$D$998,$C71,clean!$E$2:$E$998,$D71,clean!$F$2:$F$998,$E71)</f>
        <v>7661.333333333333</v>
      </c>
      <c r="H71">
        <f>AVERAGEIFS(clean!I$2:I$998,clean!$B$2:$B$998,$A71,clean!$C$2:$C$998,$B71,clean!$D$2:$D$998,$C71,clean!$E$2:$E$998,$D71,clean!$F$2:$F$998,$E71)</f>
        <v>7254045133.333333</v>
      </c>
      <c r="I71">
        <f>AVERAGEIFS(clean!J$2:J$998,clean!$B$2:$B$998,$A71,clean!$C$2:$C$998,$B71,clean!$D$2:$D$998,$C71,clean!$E$2:$E$998,$D71,clean!$F$2:$F$998,$E71)</f>
        <v>22012803366.666668</v>
      </c>
      <c r="J71">
        <f>AVERAGEIFS(clean!K$2:K$998,clean!$B$2:$B$998,$A71,clean!$C$2:$C$998,$B71,clean!$D$2:$D$998,$C71,clean!$E$2:$E$998,$D71,clean!$F$2:$F$998,$E71)</f>
        <v>3.0346323968884437</v>
      </c>
      <c r="K71">
        <f>AVERAGEIFS(clean!L$2:L$998,clean!$B$2:$B$998,$A71,clean!$C$2:$C$998,$B71,clean!$D$2:$D$998,$C71,clean!$E$2:$E$998,$D71,clean!$F$2:$F$998,$E71)</f>
        <v>1751566.6666666667</v>
      </c>
      <c r="L71">
        <f>AVERAGEIFS(clean!M$2:M$998,clean!$B$2:$B$998,$A71,clean!$C$2:$C$998,$B71,clean!$D$2:$D$998,$C71,clean!$E$2:$E$998,$D71,clean!$F$2:$F$998,$E71)</f>
        <v>3613637500</v>
      </c>
      <c r="M71">
        <f>AVERAGEIFS(clean!N$2:N$998,clean!$B$2:$B$998,$A71,clean!$C$2:$C$998,$B71,clean!$D$2:$D$998,$C71,clean!$E$2:$E$998,$D71,clean!$F$2:$F$998,$E71)</f>
        <v>1804174466.6666667</v>
      </c>
      <c r="N71">
        <f>AVERAGEIFS(clean!O$2:O$998,clean!$B$2:$B$998,$A71,clean!$C$2:$C$998,$B71,clean!$D$2:$D$998,$C71,clean!$E$2:$E$998,$D71,clean!$F$2:$F$998,$E71)</f>
        <v>5417811966.666667</v>
      </c>
      <c r="O71">
        <f>AVERAGEIFS(clean!P$2:P$998,clean!$B$2:$B$998,$A71,clean!$C$2:$C$998,$B71,clean!$D$2:$D$998,$C71,clean!$E$2:$E$998,$D71,clean!$F$2:$F$998,$E71)</f>
        <v>81866.666666666672</v>
      </c>
      <c r="P71">
        <f>AVERAGEIFS(clean!Q$2:Q$998,clean!$B$2:$B$998,$A71,clean!$C$2:$C$998,$B71,clean!$D$2:$D$998,$C71,clean!$E$2:$E$998,$D71,clean!$F$2:$F$998,$E71)</f>
        <v>1031832766.6666666</v>
      </c>
      <c r="Q71">
        <f>AVERAGEIFS(clean!R$2:R$998,clean!$B$2:$B$998,$A71,clean!$C$2:$C$998,$B71,clean!$D$2:$D$998,$C71,clean!$E$2:$E$998,$D71,clean!$F$2:$F$998,$E71)</f>
        <v>1031914633.3333334</v>
      </c>
      <c r="R71">
        <f>AVERAGEIFS(clean!S$2:S$998,clean!$B$2:$B$998,$A71,clean!$C$2:$C$998,$B71,clean!$D$2:$D$998,$C71,clean!$E$2:$E$998,$D71,clean!$F$2:$F$998,$E71)</f>
        <v>2216800</v>
      </c>
      <c r="S71">
        <f t="shared" si="2"/>
        <v>800350166.66666567</v>
      </c>
      <c r="T71">
        <f>AVERAGEIFS(clean!T$2:T$998,clean!$B$2:$B$998,$A71,clean!$C$2:$C$998,$B71,clean!$D$2:$D$998,$C71,clean!$E$2:$E$998,$D71,clean!$F$2:$F$998,$E71)</f>
        <v>79937466.666666672</v>
      </c>
      <c r="U71">
        <f>AVERAGEIFS(clean!U$2:U$998,clean!$B$2:$B$998,$A71,clean!$C$2:$C$998,$B71,clean!$D$2:$D$998,$C71,clean!$E$2:$E$998,$D71,clean!$F$2:$F$998,$E71)</f>
        <v>8517871533.333333</v>
      </c>
      <c r="V71">
        <f>AVERAGEIFS(clean!V$2:V$998,clean!$B$2:$B$998,$A71,clean!$C$2:$C$998,$B71,clean!$D$2:$D$998,$C71,clean!$E$2:$E$998,$D71,clean!$F$2:$F$998,$E71)</f>
        <v>7902263500</v>
      </c>
      <c r="W71">
        <f>AVERAGEIFS(clean!W$2:W$998,clean!$B$2:$B$998,$A71,clean!$C$2:$C$998,$B71,clean!$D$2:$D$998,$C71,clean!$E$2:$E$998,$D71,clean!$F$2:$F$998,$E71)</f>
        <v>898900</v>
      </c>
      <c r="X71">
        <f t="shared" si="3"/>
        <v>5511831966.6666679</v>
      </c>
      <c r="Y71">
        <f>AVERAGEIFS(clean!X$2:X$998,clean!$B$2:$B$998,$A71,clean!$C$2:$C$998,$B71,clean!$D$2:$D$998,$C71,clean!$E$2:$E$998,$D71,clean!$F$2:$F$998,$E71)</f>
        <v>7254045133.333333</v>
      </c>
    </row>
    <row r="72" spans="1:25" x14ac:dyDescent="0.3">
      <c r="A72">
        <v>262144</v>
      </c>
      <c r="B72">
        <v>5</v>
      </c>
      <c r="C72">
        <v>216</v>
      </c>
      <c r="D72">
        <v>0.65</v>
      </c>
      <c r="E72">
        <v>11</v>
      </c>
      <c r="F72">
        <f>AVERAGEIFS(clean!G$2:G$998,clean!$B$2:$B$998,$A72,clean!$C$2:$C$998,$B72,clean!$D$2:$D$998,$C72,clean!$E$2:$E$998,$D72,clean!$F$2:$F$998,$E72)</f>
        <v>4095</v>
      </c>
      <c r="G72">
        <f>AVERAGEIFS(clean!H$2:H$998,clean!$B$2:$B$998,$A72,clean!$C$2:$C$998,$B72,clean!$D$2:$D$998,$C72,clean!$E$2:$E$998,$D72,clean!$F$2:$F$998,$E72)</f>
        <v>30738.666666666668</v>
      </c>
      <c r="H72">
        <f>AVERAGEIFS(clean!I$2:I$998,clean!$B$2:$B$998,$A72,clean!$C$2:$C$998,$B72,clean!$D$2:$D$998,$C72,clean!$E$2:$E$998,$D72,clean!$F$2:$F$998,$E72)</f>
        <v>5467417733.333333</v>
      </c>
      <c r="I72">
        <f>AVERAGEIFS(clean!J$2:J$998,clean!$B$2:$B$998,$A72,clean!$C$2:$C$998,$B72,clean!$D$2:$D$998,$C72,clean!$E$2:$E$998,$D72,clean!$F$2:$F$998,$E72)</f>
        <v>22518939500</v>
      </c>
      <c r="J72">
        <f>AVERAGEIFS(clean!K$2:K$998,clean!$B$2:$B$998,$A72,clean!$C$2:$C$998,$B72,clean!$D$2:$D$998,$C72,clean!$E$2:$E$998,$D72,clean!$F$2:$F$998,$E72)</f>
        <v>4.1188103121306296</v>
      </c>
      <c r="K72">
        <f>AVERAGEIFS(clean!L$2:L$998,clean!$B$2:$B$998,$A72,clean!$C$2:$C$998,$B72,clean!$D$2:$D$998,$C72,clean!$E$2:$E$998,$D72,clean!$F$2:$F$998,$E72)</f>
        <v>6099500</v>
      </c>
      <c r="L72">
        <f>AVERAGEIFS(clean!M$2:M$998,clean!$B$2:$B$998,$A72,clean!$C$2:$C$998,$B72,clean!$D$2:$D$998,$C72,clean!$E$2:$E$998,$D72,clean!$F$2:$F$998,$E72)</f>
        <v>1560727400</v>
      </c>
      <c r="M72">
        <f>AVERAGEIFS(clean!N$2:N$998,clean!$B$2:$B$998,$A72,clean!$C$2:$C$998,$B72,clean!$D$2:$D$998,$C72,clean!$E$2:$E$998,$D72,clean!$F$2:$F$998,$E72)</f>
        <v>2148365233.3333335</v>
      </c>
      <c r="N72">
        <f>AVERAGEIFS(clean!O$2:O$998,clean!$B$2:$B$998,$A72,clean!$C$2:$C$998,$B72,clean!$D$2:$D$998,$C72,clean!$E$2:$E$998,$D72,clean!$F$2:$F$998,$E72)</f>
        <v>3709092633.3333335</v>
      </c>
      <c r="O72">
        <f>AVERAGEIFS(clean!P$2:P$998,clean!$B$2:$B$998,$A72,clean!$C$2:$C$998,$B72,clean!$D$2:$D$998,$C72,clean!$E$2:$E$998,$D72,clean!$F$2:$F$998,$E72)</f>
        <v>173900</v>
      </c>
      <c r="P72">
        <f>AVERAGEIFS(clean!Q$2:Q$998,clean!$B$2:$B$998,$A72,clean!$C$2:$C$998,$B72,clean!$D$2:$D$998,$C72,clean!$E$2:$E$998,$D72,clean!$F$2:$F$998,$E72)</f>
        <v>1033444800</v>
      </c>
      <c r="Q72">
        <f>AVERAGEIFS(clean!R$2:R$998,clean!$B$2:$B$998,$A72,clean!$C$2:$C$998,$B72,clean!$D$2:$D$998,$C72,clean!$E$2:$E$998,$D72,clean!$F$2:$F$998,$E72)</f>
        <v>1033618700</v>
      </c>
      <c r="R72">
        <f>AVERAGEIFS(clean!S$2:S$998,clean!$B$2:$B$998,$A72,clean!$C$2:$C$998,$B72,clean!$D$2:$D$998,$C72,clean!$E$2:$E$998,$D72,clean!$F$2:$F$998,$E72)</f>
        <v>2210900</v>
      </c>
      <c r="S72">
        <f t="shared" si="2"/>
        <v>716395999.99999952</v>
      </c>
      <c r="T72">
        <f>AVERAGEIFS(clean!T$2:T$998,clean!$B$2:$B$998,$A72,clean!$C$2:$C$998,$B72,clean!$D$2:$D$998,$C72,clean!$E$2:$E$998,$D72,clean!$F$2:$F$998,$E72)</f>
        <v>84352366.666666672</v>
      </c>
      <c r="U72">
        <f>AVERAGEIFS(clean!U$2:U$998,clean!$B$2:$B$998,$A72,clean!$C$2:$C$998,$B72,clean!$D$2:$D$998,$C72,clean!$E$2:$E$998,$D72,clean!$F$2:$F$998,$E72)</f>
        <v>10296537633.333334</v>
      </c>
      <c r="V72">
        <f>AVERAGEIFS(clean!V$2:V$998,clean!$B$2:$B$998,$A72,clean!$C$2:$C$998,$B72,clean!$D$2:$D$998,$C72,clean!$E$2:$E$998,$D72,clean!$F$2:$F$998,$E72)</f>
        <v>7611828866.666667</v>
      </c>
      <c r="W72">
        <f>AVERAGEIFS(clean!W$2:W$998,clean!$B$2:$B$998,$A72,clean!$C$2:$C$998,$B72,clean!$D$2:$D$998,$C72,clean!$E$2:$E$998,$D72,clean!$F$2:$F$998,$E72)</f>
        <v>875533.33333333337</v>
      </c>
      <c r="X72">
        <f t="shared" si="3"/>
        <v>4525345099.9999981</v>
      </c>
      <c r="Y72">
        <f>AVERAGEIFS(clean!X$2:X$998,clean!$B$2:$B$998,$A72,clean!$C$2:$C$998,$B72,clean!$D$2:$D$998,$C72,clean!$E$2:$E$998,$D72,clean!$F$2:$F$998,$E72)</f>
        <v>5467417733.333333</v>
      </c>
    </row>
    <row r="73" spans="1:25" x14ac:dyDescent="0.3">
      <c r="A73">
        <v>262144</v>
      </c>
      <c r="B73">
        <v>3</v>
      </c>
      <c r="C73">
        <v>64</v>
      </c>
      <c r="D73">
        <v>0.5</v>
      </c>
      <c r="E73">
        <v>12</v>
      </c>
      <c r="F73">
        <f>AVERAGEIFS(clean!G$2:G$998,clean!$B$2:$B$998,$A73,clean!$C$2:$C$998,$B73,clean!$D$2:$D$998,$C73,clean!$E$2:$E$998,$D73,clean!$F$2:$F$998,$E73)</f>
        <v>8191</v>
      </c>
      <c r="G73">
        <f>AVERAGEIFS(clean!H$2:H$998,clean!$B$2:$B$998,$A73,clean!$C$2:$C$998,$B73,clean!$D$2:$D$998,$C73,clean!$E$2:$E$998,$D73,clean!$F$2:$F$998,$E73)</f>
        <v>173344</v>
      </c>
      <c r="H73">
        <f>AVERAGEIFS(clean!I$2:I$998,clean!$B$2:$B$998,$A73,clean!$C$2:$C$998,$B73,clean!$D$2:$D$998,$C73,clean!$E$2:$E$998,$D73,clean!$F$2:$F$998,$E73)</f>
        <v>3325234150</v>
      </c>
      <c r="I73">
        <f>AVERAGEIFS(clean!J$2:J$998,clean!$B$2:$B$998,$A73,clean!$C$2:$C$998,$B73,clean!$D$2:$D$998,$C73,clean!$E$2:$E$998,$D73,clean!$F$2:$F$998,$E73)</f>
        <v>17393868800</v>
      </c>
      <c r="J73">
        <f>AVERAGEIFS(clean!K$2:K$998,clean!$B$2:$B$998,$A73,clean!$C$2:$C$998,$B73,clean!$D$2:$D$998,$C73,clean!$E$2:$E$998,$D73,clean!$F$2:$F$998,$E73)</f>
        <v>5.2422738257783905</v>
      </c>
      <c r="K73">
        <f>AVERAGEIFS(clean!L$2:L$998,clean!$B$2:$B$998,$A73,clean!$C$2:$C$998,$B73,clean!$D$2:$D$998,$C73,clean!$E$2:$E$998,$D73,clean!$F$2:$F$998,$E73)</f>
        <v>36633775</v>
      </c>
      <c r="L73">
        <f>AVERAGEIFS(clean!M$2:M$998,clean!$B$2:$B$998,$A73,clean!$C$2:$C$998,$B73,clean!$D$2:$D$998,$C73,clean!$E$2:$E$998,$D73,clean!$F$2:$F$998,$E73)</f>
        <v>327745200</v>
      </c>
      <c r="M73">
        <f>AVERAGEIFS(clean!N$2:N$998,clean!$B$2:$B$998,$A73,clean!$C$2:$C$998,$B73,clean!$D$2:$D$998,$C73,clean!$E$2:$E$998,$D73,clean!$F$2:$F$998,$E73)</f>
        <v>1058600700</v>
      </c>
      <c r="N73">
        <f>AVERAGEIFS(clean!O$2:O$998,clean!$B$2:$B$998,$A73,clean!$C$2:$C$998,$B73,clean!$D$2:$D$998,$C73,clean!$E$2:$E$998,$D73,clean!$F$2:$F$998,$E73)</f>
        <v>1386345900</v>
      </c>
      <c r="O73">
        <f>AVERAGEIFS(clean!P$2:P$998,clean!$B$2:$B$998,$A73,clean!$C$2:$C$998,$B73,clean!$D$2:$D$998,$C73,clean!$E$2:$E$998,$D73,clean!$F$2:$F$998,$E73)</f>
        <v>555550</v>
      </c>
      <c r="P73">
        <f>AVERAGEIFS(clean!Q$2:Q$998,clean!$B$2:$B$998,$A73,clean!$C$2:$C$998,$B73,clean!$D$2:$D$998,$C73,clean!$E$2:$E$998,$D73,clean!$F$2:$F$998,$E73)</f>
        <v>1461051400</v>
      </c>
      <c r="Q73">
        <f>AVERAGEIFS(clean!R$2:R$998,clean!$B$2:$B$998,$A73,clean!$C$2:$C$998,$B73,clean!$D$2:$D$998,$C73,clean!$E$2:$E$998,$D73,clean!$F$2:$F$998,$E73)</f>
        <v>1461606950</v>
      </c>
      <c r="R73">
        <f>AVERAGEIFS(clean!S$2:S$998,clean!$B$2:$B$998,$A73,clean!$C$2:$C$998,$B73,clean!$D$2:$D$998,$C73,clean!$E$2:$E$998,$D73,clean!$F$2:$F$998,$E73)</f>
        <v>2248800</v>
      </c>
      <c r="S73">
        <f t="shared" si="2"/>
        <v>438398725</v>
      </c>
      <c r="T73">
        <f>AVERAGEIFS(clean!T$2:T$998,clean!$B$2:$B$998,$A73,clean!$C$2:$C$998,$B73,clean!$D$2:$D$998,$C73,clean!$E$2:$E$998,$D73,clean!$F$2:$F$998,$E73)</f>
        <v>80163300</v>
      </c>
      <c r="U73">
        <f>AVERAGEIFS(clean!U$2:U$998,clean!$B$2:$B$998,$A73,clean!$C$2:$C$998,$B73,clean!$D$2:$D$998,$C73,clean!$E$2:$E$998,$D73,clean!$F$2:$F$998,$E73)</f>
        <v>5279333075</v>
      </c>
      <c r="V73">
        <f>AVERAGEIFS(clean!V$2:V$998,clean!$B$2:$B$998,$A73,clean!$C$2:$C$998,$B73,clean!$D$2:$D$998,$C73,clean!$E$2:$E$998,$D73,clean!$F$2:$F$998,$E73)</f>
        <v>10397969025</v>
      </c>
      <c r="W73">
        <f>AVERAGEIFS(clean!W$2:W$998,clean!$B$2:$B$998,$A73,clean!$C$2:$C$998,$B73,clean!$D$2:$D$998,$C73,clean!$E$2:$E$998,$D73,clean!$F$2:$F$998,$E73)</f>
        <v>840950</v>
      </c>
      <c r="X73">
        <f t="shared" si="3"/>
        <v>1635562450</v>
      </c>
      <c r="Y73">
        <f>AVERAGEIFS(clean!X$2:X$998,clean!$B$2:$B$998,$A73,clean!$C$2:$C$998,$B73,clean!$D$2:$D$998,$C73,clean!$E$2:$E$998,$D73,clean!$F$2:$F$998,$E73)</f>
        <v>3325234150</v>
      </c>
    </row>
    <row r="74" spans="1:25" x14ac:dyDescent="0.3">
      <c r="A74">
        <v>262144</v>
      </c>
      <c r="B74">
        <v>4</v>
      </c>
      <c r="C74">
        <v>125</v>
      </c>
      <c r="D74">
        <v>0.5</v>
      </c>
      <c r="E74">
        <v>12</v>
      </c>
      <c r="F74">
        <f>AVERAGEIFS(clean!G$2:G$998,clean!$B$2:$B$998,$A74,clean!$C$2:$C$998,$B74,clean!$D$2:$D$998,$C74,clean!$E$2:$E$998,$D74,clean!$F$2:$F$998,$E74)</f>
        <v>8191</v>
      </c>
      <c r="G74">
        <f>AVERAGEIFS(clean!H$2:H$998,clean!$B$2:$B$998,$A74,clean!$C$2:$C$998,$B74,clean!$D$2:$D$998,$C74,clean!$E$2:$E$998,$D74,clean!$F$2:$F$998,$E74)</f>
        <v>173785</v>
      </c>
      <c r="H74">
        <f>AVERAGEIFS(clean!I$2:I$998,clean!$B$2:$B$998,$A74,clean!$C$2:$C$998,$B74,clean!$D$2:$D$998,$C74,clean!$E$2:$E$998,$D74,clean!$F$2:$F$998,$E74)</f>
        <v>6272611275</v>
      </c>
      <c r="I74">
        <f>AVERAGEIFS(clean!J$2:J$998,clean!$B$2:$B$998,$A74,clean!$C$2:$C$998,$B74,clean!$D$2:$D$998,$C74,clean!$E$2:$E$998,$D74,clean!$F$2:$F$998,$E74)</f>
        <v>33491168475</v>
      </c>
      <c r="J74">
        <f>AVERAGEIFS(clean!K$2:K$998,clean!$B$2:$B$998,$A74,clean!$C$2:$C$998,$B74,clean!$D$2:$D$998,$C74,clean!$E$2:$E$998,$D74,clean!$F$2:$F$998,$E74)</f>
        <v>5.344714275657628</v>
      </c>
      <c r="K74">
        <f>AVERAGEIFS(clean!L$2:L$998,clean!$B$2:$B$998,$A74,clean!$C$2:$C$998,$B74,clean!$D$2:$D$998,$C74,clean!$E$2:$E$998,$D74,clean!$F$2:$F$998,$E74)</f>
        <v>36833950</v>
      </c>
      <c r="L74">
        <f>AVERAGEIFS(clean!M$2:M$998,clean!$B$2:$B$998,$A74,clean!$C$2:$C$998,$B74,clean!$D$2:$D$998,$C74,clean!$E$2:$E$998,$D74,clean!$F$2:$F$998,$E74)</f>
        <v>800013650</v>
      </c>
      <c r="M74">
        <f>AVERAGEIFS(clean!N$2:N$998,clean!$B$2:$B$998,$A74,clean!$C$2:$C$998,$B74,clean!$D$2:$D$998,$C74,clean!$E$2:$E$998,$D74,clean!$F$2:$F$998,$E74)</f>
        <v>3390228425</v>
      </c>
      <c r="N74">
        <f>AVERAGEIFS(clean!O$2:O$998,clean!$B$2:$B$998,$A74,clean!$C$2:$C$998,$B74,clean!$D$2:$D$998,$C74,clean!$E$2:$E$998,$D74,clean!$F$2:$F$998,$E74)</f>
        <v>4190242075</v>
      </c>
      <c r="O74">
        <f>AVERAGEIFS(clean!P$2:P$998,clean!$B$2:$B$998,$A74,clean!$C$2:$C$998,$B74,clean!$D$2:$D$998,$C74,clean!$E$2:$E$998,$D74,clean!$F$2:$F$998,$E74)</f>
        <v>572375</v>
      </c>
      <c r="P74">
        <f>AVERAGEIFS(clean!Q$2:Q$998,clean!$B$2:$B$998,$A74,clean!$C$2:$C$998,$B74,clean!$D$2:$D$998,$C74,clean!$E$2:$E$998,$D74,clean!$F$2:$F$998,$E74)</f>
        <v>1505678525</v>
      </c>
      <c r="Q74">
        <f>AVERAGEIFS(clean!R$2:R$998,clean!$B$2:$B$998,$A74,clean!$C$2:$C$998,$B74,clean!$D$2:$D$998,$C74,clean!$E$2:$E$998,$D74,clean!$F$2:$F$998,$E74)</f>
        <v>1506250900</v>
      </c>
      <c r="R74">
        <f>AVERAGEIFS(clean!S$2:S$998,clean!$B$2:$B$998,$A74,clean!$C$2:$C$998,$B74,clean!$D$2:$D$998,$C74,clean!$E$2:$E$998,$D74,clean!$F$2:$F$998,$E74)</f>
        <v>2287050</v>
      </c>
      <c r="S74">
        <f t="shared" si="2"/>
        <v>536997300</v>
      </c>
      <c r="T74">
        <f>AVERAGEIFS(clean!T$2:T$998,clean!$B$2:$B$998,$A74,clean!$C$2:$C$998,$B74,clean!$D$2:$D$998,$C74,clean!$E$2:$E$998,$D74,clean!$F$2:$F$998,$E74)</f>
        <v>86985125</v>
      </c>
      <c r="U74">
        <f>AVERAGEIFS(clean!U$2:U$998,clean!$B$2:$B$998,$A74,clean!$C$2:$C$998,$B74,clean!$D$2:$D$998,$C74,clean!$E$2:$E$998,$D74,clean!$F$2:$F$998,$E74)</f>
        <v>19621475175</v>
      </c>
      <c r="V74">
        <f>AVERAGEIFS(clean!V$2:V$998,clean!$B$2:$B$998,$A74,clean!$C$2:$C$998,$B74,clean!$D$2:$D$998,$C74,clean!$E$2:$E$998,$D74,clean!$F$2:$F$998,$E74)</f>
        <v>10376920950</v>
      </c>
      <c r="W74">
        <f>AVERAGEIFS(clean!W$2:W$998,clean!$B$2:$B$998,$A74,clean!$C$2:$C$998,$B74,clean!$D$2:$D$998,$C74,clean!$E$2:$E$998,$D74,clean!$F$2:$F$998,$E74)</f>
        <v>851325</v>
      </c>
      <c r="X74">
        <f t="shared" si="3"/>
        <v>3404935900</v>
      </c>
      <c r="Y74">
        <f>AVERAGEIFS(clean!X$2:X$998,clean!$B$2:$B$998,$A74,clean!$C$2:$C$998,$B74,clean!$D$2:$D$998,$C74,clean!$E$2:$E$998,$D74,clean!$F$2:$F$998,$E74)</f>
        <v>6272611275</v>
      </c>
    </row>
    <row r="75" spans="1:25" x14ac:dyDescent="0.3">
      <c r="A75">
        <v>262144</v>
      </c>
      <c r="B75">
        <v>7</v>
      </c>
      <c r="C75">
        <v>512</v>
      </c>
      <c r="D75">
        <v>0.95</v>
      </c>
      <c r="E75">
        <v>9</v>
      </c>
      <c r="F75">
        <f>AVERAGEIFS(clean!G$2:G$998,clean!$B$2:$B$998,$A75,clean!$C$2:$C$998,$B75,clean!$D$2:$D$998,$C75,clean!$E$2:$E$998,$D75,clean!$F$2:$F$998,$E75)</f>
        <v>1023</v>
      </c>
      <c r="G75">
        <f>AVERAGEIFS(clean!H$2:H$998,clean!$B$2:$B$998,$A75,clean!$C$2:$C$998,$B75,clean!$D$2:$D$998,$C75,clean!$E$2:$E$998,$D75,clean!$F$2:$F$998,$E75)</f>
        <v>3072</v>
      </c>
      <c r="H75">
        <f>AVERAGEIFS(clean!I$2:I$998,clean!$B$2:$B$998,$A75,clean!$C$2:$C$998,$B75,clean!$D$2:$D$998,$C75,clean!$E$2:$E$998,$D75,clean!$F$2:$F$998,$E75)</f>
        <v>7257784200</v>
      </c>
      <c r="I75">
        <f>AVERAGEIFS(clean!J$2:J$998,clean!$B$2:$B$998,$A75,clean!$C$2:$C$998,$B75,clean!$D$2:$D$998,$C75,clean!$E$2:$E$998,$D75,clean!$F$2:$F$998,$E75)</f>
        <v>22127609266.666668</v>
      </c>
      <c r="J75">
        <f>AVERAGEIFS(clean!K$2:K$998,clean!$B$2:$B$998,$A75,clean!$C$2:$C$998,$B75,clean!$D$2:$D$998,$C75,clean!$E$2:$E$998,$D75,clean!$F$2:$F$998,$E75)</f>
        <v>3.0490113305576334</v>
      </c>
      <c r="K75">
        <f>AVERAGEIFS(clean!L$2:L$998,clean!$B$2:$B$998,$A75,clean!$C$2:$C$998,$B75,clean!$D$2:$D$998,$C75,clean!$E$2:$E$998,$D75,clean!$F$2:$F$998,$E75)</f>
        <v>424600</v>
      </c>
      <c r="L75">
        <f>AVERAGEIFS(clean!M$2:M$998,clean!$B$2:$B$998,$A75,clean!$C$2:$C$998,$B75,clean!$D$2:$D$998,$C75,clean!$E$2:$E$998,$D75,clean!$F$2:$F$998,$E75)</f>
        <v>4330886566.666667</v>
      </c>
      <c r="M75">
        <f>AVERAGEIFS(clean!N$2:N$998,clean!$B$2:$B$998,$A75,clean!$C$2:$C$998,$B75,clean!$D$2:$D$998,$C75,clean!$E$2:$E$998,$D75,clean!$F$2:$F$998,$E75)</f>
        <v>467587700</v>
      </c>
      <c r="N75">
        <f>AVERAGEIFS(clean!O$2:O$998,clean!$B$2:$B$998,$A75,clean!$C$2:$C$998,$B75,clean!$D$2:$D$998,$C75,clean!$E$2:$E$998,$D75,clean!$F$2:$F$998,$E75)</f>
        <v>4798474266.666667</v>
      </c>
      <c r="O75">
        <f>AVERAGEIFS(clean!P$2:P$998,clean!$B$2:$B$998,$A75,clean!$C$2:$C$998,$B75,clean!$D$2:$D$998,$C75,clean!$E$2:$E$998,$D75,clean!$F$2:$F$998,$E75)</f>
        <v>94200</v>
      </c>
      <c r="P75">
        <f>AVERAGEIFS(clean!Q$2:Q$998,clean!$B$2:$B$998,$A75,clean!$C$2:$C$998,$B75,clean!$D$2:$D$998,$C75,clean!$E$2:$E$998,$D75,clean!$F$2:$F$998,$E75)</f>
        <v>1657408966.6666667</v>
      </c>
      <c r="Q75">
        <f>AVERAGEIFS(clean!R$2:R$998,clean!$B$2:$B$998,$A75,clean!$C$2:$C$998,$B75,clean!$D$2:$D$998,$C75,clean!$E$2:$E$998,$D75,clean!$F$2:$F$998,$E75)</f>
        <v>1657503166.6666667</v>
      </c>
      <c r="R75">
        <f>AVERAGEIFS(clean!S$2:S$998,clean!$B$2:$B$998,$A75,clean!$C$2:$C$998,$B75,clean!$D$2:$D$998,$C75,clean!$E$2:$E$998,$D75,clean!$F$2:$F$998,$E75)</f>
        <v>2215400</v>
      </c>
      <c r="S75">
        <f t="shared" si="2"/>
        <v>799166766.66666627</v>
      </c>
      <c r="T75">
        <f>AVERAGEIFS(clean!T$2:T$998,clean!$B$2:$B$998,$A75,clean!$C$2:$C$998,$B75,clean!$D$2:$D$998,$C75,clean!$E$2:$E$998,$D75,clean!$F$2:$F$998,$E75)</f>
        <v>69821833.333333328</v>
      </c>
      <c r="U75">
        <f>AVERAGEIFS(clean!U$2:U$998,clean!$B$2:$B$998,$A75,clean!$C$2:$C$998,$B75,clean!$D$2:$D$998,$C75,clean!$E$2:$E$998,$D75,clean!$F$2:$F$998,$E75)</f>
        <v>2483419866.6666665</v>
      </c>
      <c r="V75">
        <f>AVERAGEIFS(clean!V$2:V$998,clean!$B$2:$B$998,$A75,clean!$C$2:$C$998,$B75,clean!$D$2:$D$998,$C75,clean!$E$2:$E$998,$D75,clean!$F$2:$F$998,$E75)</f>
        <v>13112048600</v>
      </c>
      <c r="W75">
        <f>AVERAGEIFS(clean!W$2:W$998,clean!$B$2:$B$998,$A75,clean!$C$2:$C$998,$B75,clean!$D$2:$D$998,$C75,clean!$E$2:$E$998,$D75,clean!$F$2:$F$998,$E75)</f>
        <v>942733.33333333337</v>
      </c>
      <c r="X75">
        <f t="shared" si="3"/>
        <v>6461376233.3333349</v>
      </c>
      <c r="Y75">
        <f>AVERAGEIFS(clean!X$2:X$998,clean!$B$2:$B$998,$A75,clean!$C$2:$C$998,$B75,clean!$D$2:$D$998,$C75,clean!$E$2:$E$998,$D75,clean!$F$2:$F$998,$E75)</f>
        <v>7257784200</v>
      </c>
    </row>
    <row r="76" spans="1:25" x14ac:dyDescent="0.3">
      <c r="A76">
        <v>262144</v>
      </c>
      <c r="B76">
        <v>6</v>
      </c>
      <c r="C76">
        <v>343</v>
      </c>
      <c r="D76">
        <v>0.65</v>
      </c>
      <c r="E76">
        <v>10</v>
      </c>
      <c r="F76">
        <f>AVERAGEIFS(clean!G$2:G$998,clean!$B$2:$B$998,$A76,clean!$C$2:$C$998,$B76,clean!$D$2:$D$998,$C76,clean!$E$2:$E$998,$D76,clean!$F$2:$F$998,$E76)</f>
        <v>2047</v>
      </c>
      <c r="G76">
        <f>AVERAGEIFS(clean!H$2:H$998,clean!$B$2:$B$998,$A76,clean!$C$2:$C$998,$B76,clean!$D$2:$D$998,$C76,clean!$E$2:$E$998,$D76,clean!$F$2:$F$998,$E76)</f>
        <v>12394.666666666666</v>
      </c>
      <c r="H76">
        <f>AVERAGEIFS(clean!I$2:I$998,clean!$B$2:$B$998,$A76,clean!$C$2:$C$998,$B76,clean!$D$2:$D$998,$C76,clean!$E$2:$E$998,$D76,clean!$F$2:$F$998,$E76)</f>
        <v>9224016333.333334</v>
      </c>
      <c r="I76">
        <f>AVERAGEIFS(clean!J$2:J$998,clean!$B$2:$B$998,$A76,clean!$C$2:$C$998,$B76,clean!$D$2:$D$998,$C76,clean!$E$2:$E$998,$D76,clean!$F$2:$F$998,$E76)</f>
        <v>33344478733.333332</v>
      </c>
      <c r="J76">
        <f>AVERAGEIFS(clean!K$2:K$998,clean!$B$2:$B$998,$A76,clean!$C$2:$C$998,$B76,clean!$D$2:$D$998,$C76,clean!$E$2:$E$998,$D76,clean!$F$2:$F$998,$E76)</f>
        <v>3.6149831106822501</v>
      </c>
      <c r="K76">
        <f>AVERAGEIFS(clean!L$2:L$998,clean!$B$2:$B$998,$A76,clean!$C$2:$C$998,$B76,clean!$D$2:$D$998,$C76,clean!$E$2:$E$998,$D76,clean!$F$2:$F$998,$E76)</f>
        <v>2649066.6666666665</v>
      </c>
      <c r="L76">
        <f>AVERAGEIFS(clean!M$2:M$998,clean!$B$2:$B$998,$A76,clean!$C$2:$C$998,$B76,clean!$D$2:$D$998,$C76,clean!$E$2:$E$998,$D76,clean!$F$2:$F$998,$E76)</f>
        <v>3612586800</v>
      </c>
      <c r="M76">
        <f>AVERAGEIFS(clean!N$2:N$998,clean!$B$2:$B$998,$A76,clean!$C$2:$C$998,$B76,clean!$D$2:$D$998,$C76,clean!$E$2:$E$998,$D76,clean!$F$2:$F$998,$E76)</f>
        <v>3142707566.6666665</v>
      </c>
      <c r="N76">
        <f>AVERAGEIFS(clean!O$2:O$998,clean!$B$2:$B$998,$A76,clean!$C$2:$C$998,$B76,clean!$D$2:$D$998,$C76,clean!$E$2:$E$998,$D76,clean!$F$2:$F$998,$E76)</f>
        <v>6755294366.666667</v>
      </c>
      <c r="O76">
        <f>AVERAGEIFS(clean!P$2:P$998,clean!$B$2:$B$998,$A76,clean!$C$2:$C$998,$B76,clean!$D$2:$D$998,$C76,clean!$E$2:$E$998,$D76,clean!$F$2:$F$998,$E76)</f>
        <v>106500</v>
      </c>
      <c r="P76">
        <f>AVERAGEIFS(clean!Q$2:Q$998,clean!$B$2:$B$998,$A76,clean!$C$2:$C$998,$B76,clean!$D$2:$D$998,$C76,clean!$E$2:$E$998,$D76,clean!$F$2:$F$998,$E76)</f>
        <v>1665592533.3333333</v>
      </c>
      <c r="Q76">
        <f>AVERAGEIFS(clean!R$2:R$998,clean!$B$2:$B$998,$A76,clean!$C$2:$C$998,$B76,clean!$D$2:$D$998,$C76,clean!$E$2:$E$998,$D76,clean!$F$2:$F$998,$E76)</f>
        <v>1665699033.3333333</v>
      </c>
      <c r="R76">
        <f>AVERAGEIFS(clean!S$2:S$998,clean!$B$2:$B$998,$A76,clean!$C$2:$C$998,$B76,clean!$D$2:$D$998,$C76,clean!$E$2:$E$998,$D76,clean!$F$2:$F$998,$E76)</f>
        <v>2136600</v>
      </c>
      <c r="S76">
        <f t="shared" si="2"/>
        <v>798237266.6666677</v>
      </c>
      <c r="T76">
        <f>AVERAGEIFS(clean!T$2:T$998,clean!$B$2:$B$998,$A76,clean!$C$2:$C$998,$B76,clean!$D$2:$D$998,$C76,clean!$E$2:$E$998,$D76,clean!$F$2:$F$998,$E76)</f>
        <v>73587900</v>
      </c>
      <c r="U76">
        <f>AVERAGEIFS(clean!U$2:U$998,clean!$B$2:$B$998,$A76,clean!$C$2:$C$998,$B76,clean!$D$2:$D$998,$C76,clean!$E$2:$E$998,$D76,clean!$F$2:$F$998,$E76)</f>
        <v>14821607533.333334</v>
      </c>
      <c r="V76">
        <f>AVERAGEIFS(clean!V$2:V$998,clean!$B$2:$B$998,$A76,clean!$C$2:$C$998,$B76,clean!$D$2:$D$998,$C76,clean!$E$2:$E$998,$D76,clean!$F$2:$F$998,$E76)</f>
        <v>12859529400</v>
      </c>
      <c r="W76">
        <f>AVERAGEIFS(clean!W$2:W$998,clean!$B$2:$B$998,$A76,clean!$C$2:$C$998,$B76,clean!$D$2:$D$998,$C76,clean!$E$2:$E$998,$D76,clean!$F$2:$F$998,$E76)</f>
        <v>900433.33333333337</v>
      </c>
      <c r="X76">
        <f t="shared" si="3"/>
        <v>5588853466.666667</v>
      </c>
      <c r="Y76">
        <f>AVERAGEIFS(clean!X$2:X$998,clean!$B$2:$B$998,$A76,clean!$C$2:$C$998,$B76,clean!$D$2:$D$998,$C76,clean!$E$2:$E$998,$D76,clean!$F$2:$F$998,$E76)</f>
        <v>9224016333.333334</v>
      </c>
    </row>
    <row r="77" spans="1:25" x14ac:dyDescent="0.3">
      <c r="A77">
        <v>262144</v>
      </c>
      <c r="B77">
        <v>7</v>
      </c>
      <c r="C77">
        <v>512</v>
      </c>
      <c r="D77">
        <v>0.8</v>
      </c>
      <c r="E77">
        <v>9</v>
      </c>
      <c r="F77">
        <f>AVERAGEIFS(clean!G$2:G$998,clean!$B$2:$B$998,$A77,clean!$C$2:$C$998,$B77,clean!$D$2:$D$998,$C77,clean!$E$2:$E$998,$D77,clean!$F$2:$F$998,$E77)</f>
        <v>1023</v>
      </c>
      <c r="G77">
        <f>AVERAGEIFS(clean!H$2:H$998,clean!$B$2:$B$998,$A77,clean!$C$2:$C$998,$B77,clean!$D$2:$D$998,$C77,clean!$E$2:$E$998,$D77,clean!$F$2:$F$998,$E77)</f>
        <v>4768</v>
      </c>
      <c r="H77">
        <f>AVERAGEIFS(clean!I$2:I$998,clean!$B$2:$B$998,$A77,clean!$C$2:$C$998,$B77,clean!$D$2:$D$998,$C77,clean!$E$2:$E$998,$D77,clean!$F$2:$F$998,$E77)</f>
        <v>9007365933.333334</v>
      </c>
      <c r="I77">
        <f>AVERAGEIFS(clean!J$2:J$998,clean!$B$2:$B$998,$A77,clean!$C$2:$C$998,$B77,clean!$D$2:$D$998,$C77,clean!$E$2:$E$998,$D77,clean!$F$2:$F$998,$E77)</f>
        <v>33945890333.333332</v>
      </c>
      <c r="J77">
        <f>AVERAGEIFS(clean!K$2:K$998,clean!$B$2:$B$998,$A77,clean!$C$2:$C$998,$B77,clean!$D$2:$D$998,$C77,clean!$E$2:$E$998,$D77,clean!$F$2:$F$998,$E77)</f>
        <v>3.7687489084481438</v>
      </c>
      <c r="K77">
        <f>AVERAGEIFS(clean!L$2:L$998,clean!$B$2:$B$998,$A77,clean!$C$2:$C$998,$B77,clean!$D$2:$D$998,$C77,clean!$E$2:$E$998,$D77,clean!$F$2:$F$998,$E77)</f>
        <v>976100</v>
      </c>
      <c r="L77">
        <f>AVERAGEIFS(clean!M$2:M$998,clean!$B$2:$B$998,$A77,clean!$C$2:$C$998,$B77,clean!$D$2:$D$998,$C77,clean!$E$2:$E$998,$D77,clean!$F$2:$F$998,$E77)</f>
        <v>4330123100</v>
      </c>
      <c r="M77">
        <f>AVERAGEIFS(clean!N$2:N$998,clean!$B$2:$B$998,$A77,clean!$C$2:$C$998,$B77,clean!$D$2:$D$998,$C77,clean!$E$2:$E$998,$D77,clean!$F$2:$F$998,$E77)</f>
        <v>1310952500</v>
      </c>
      <c r="N77">
        <f>AVERAGEIFS(clean!O$2:O$998,clean!$B$2:$B$998,$A77,clean!$C$2:$C$998,$B77,clean!$D$2:$D$998,$C77,clean!$E$2:$E$998,$D77,clean!$F$2:$F$998,$E77)</f>
        <v>5641075600</v>
      </c>
      <c r="O77">
        <f>AVERAGEIFS(clean!P$2:P$998,clean!$B$2:$B$998,$A77,clean!$C$2:$C$998,$B77,clean!$D$2:$D$998,$C77,clean!$E$2:$E$998,$D77,clean!$F$2:$F$998,$E77)</f>
        <v>71166.666666666672</v>
      </c>
      <c r="P77">
        <f>AVERAGEIFS(clean!Q$2:Q$998,clean!$B$2:$B$998,$A77,clean!$C$2:$C$998,$B77,clean!$D$2:$D$998,$C77,clean!$E$2:$E$998,$D77,clean!$F$2:$F$998,$E77)</f>
        <v>2565379366.6666665</v>
      </c>
      <c r="Q77">
        <f>AVERAGEIFS(clean!R$2:R$998,clean!$B$2:$B$998,$A77,clean!$C$2:$C$998,$B77,clean!$D$2:$D$998,$C77,clean!$E$2:$E$998,$D77,clean!$F$2:$F$998,$E77)</f>
        <v>2565450533.3333335</v>
      </c>
      <c r="R77">
        <f>AVERAGEIFS(clean!S$2:S$998,clean!$B$2:$B$998,$A77,clean!$C$2:$C$998,$B77,clean!$D$2:$D$998,$C77,clean!$E$2:$E$998,$D77,clean!$F$2:$F$998,$E77)</f>
        <v>2276300</v>
      </c>
      <c r="S77">
        <f t="shared" si="2"/>
        <v>797587400.00000048</v>
      </c>
      <c r="T77">
        <f>AVERAGEIFS(clean!T$2:T$998,clean!$B$2:$B$998,$A77,clean!$C$2:$C$998,$B77,clean!$D$2:$D$998,$C77,clean!$E$2:$E$998,$D77,clean!$F$2:$F$998,$E77)</f>
        <v>65826966.666666664</v>
      </c>
      <c r="U77">
        <f>AVERAGEIFS(clean!U$2:U$998,clean!$B$2:$B$998,$A77,clean!$C$2:$C$998,$B77,clean!$D$2:$D$998,$C77,clean!$E$2:$E$998,$D77,clean!$F$2:$F$998,$E77)</f>
        <v>6957224400</v>
      </c>
      <c r="V77">
        <f>AVERAGEIFS(clean!V$2:V$998,clean!$B$2:$B$998,$A77,clean!$C$2:$C$998,$B77,clean!$D$2:$D$998,$C77,clean!$E$2:$E$998,$D77,clean!$F$2:$F$998,$E77)</f>
        <v>20419513333.333332</v>
      </c>
      <c r="W77">
        <f>AVERAGEIFS(clean!W$2:W$998,clean!$B$2:$B$998,$A77,clean!$C$2:$C$998,$B77,clean!$D$2:$D$998,$C77,clean!$E$2:$E$998,$D77,clean!$F$2:$F$998,$E77)</f>
        <v>918600</v>
      </c>
      <c r="X77">
        <f t="shared" si="3"/>
        <v>6502407033.3333321</v>
      </c>
      <c r="Y77">
        <f>AVERAGEIFS(clean!X$2:X$998,clean!$B$2:$B$998,$A77,clean!$C$2:$C$998,$B77,clean!$D$2:$D$998,$C77,clean!$E$2:$E$998,$D77,clean!$F$2:$F$998,$E77)</f>
        <v>9007365933.333334</v>
      </c>
    </row>
    <row r="78" spans="1:25" x14ac:dyDescent="0.3">
      <c r="A78">
        <v>262144</v>
      </c>
      <c r="B78">
        <v>5</v>
      </c>
      <c r="C78">
        <v>216</v>
      </c>
      <c r="D78">
        <v>0.5</v>
      </c>
      <c r="E78">
        <v>11</v>
      </c>
      <c r="F78">
        <f>AVERAGEIFS(clean!G$2:G$998,clean!$B$2:$B$998,$A78,clean!$C$2:$C$998,$B78,clean!$D$2:$D$998,$C78,clean!$E$2:$E$998,$D78,clean!$F$2:$F$998,$E78)</f>
        <v>4095</v>
      </c>
      <c r="G78">
        <f>AVERAGEIFS(clean!H$2:H$998,clean!$B$2:$B$998,$A78,clean!$C$2:$C$998,$B78,clean!$D$2:$D$998,$C78,clean!$E$2:$E$998,$D78,clean!$F$2:$F$998,$E78)</f>
        <v>85347</v>
      </c>
      <c r="H78">
        <f>AVERAGEIFS(clean!I$2:I$998,clean!$B$2:$B$998,$A78,clean!$C$2:$C$998,$B78,clean!$D$2:$D$998,$C78,clean!$E$2:$E$998,$D78,clean!$F$2:$F$998,$E78)</f>
        <v>10228422725</v>
      </c>
      <c r="I78">
        <f>AVERAGEIFS(clean!J$2:J$998,clean!$B$2:$B$998,$A78,clean!$C$2:$C$998,$B78,clean!$D$2:$D$998,$C78,clean!$E$2:$E$998,$D78,clean!$F$2:$F$998,$E78)</f>
        <v>50344894800</v>
      </c>
      <c r="J78">
        <f>AVERAGEIFS(clean!K$2:K$998,clean!$B$2:$B$998,$A78,clean!$C$2:$C$998,$B78,clean!$D$2:$D$998,$C78,clean!$E$2:$E$998,$D78,clean!$F$2:$F$998,$E78)</f>
        <v>4.9236135454632075</v>
      </c>
      <c r="K78">
        <f>AVERAGEIFS(clean!L$2:L$998,clean!$B$2:$B$998,$A78,clean!$C$2:$C$998,$B78,clean!$D$2:$D$998,$C78,clean!$E$2:$E$998,$D78,clean!$F$2:$F$998,$E78)</f>
        <v>14582700</v>
      </c>
      <c r="L78">
        <f>AVERAGEIFS(clean!M$2:M$998,clean!$B$2:$B$998,$A78,clean!$C$2:$C$998,$B78,clean!$D$2:$D$998,$C78,clean!$E$2:$E$998,$D78,clean!$F$2:$F$998,$E78)</f>
        <v>1585984050</v>
      </c>
      <c r="M78">
        <f>AVERAGEIFS(clean!N$2:N$998,clean!$B$2:$B$998,$A78,clean!$C$2:$C$998,$B78,clean!$D$2:$D$998,$C78,clean!$E$2:$E$998,$D78,clean!$F$2:$F$998,$E78)</f>
        <v>5156296200</v>
      </c>
      <c r="N78">
        <f>AVERAGEIFS(clean!O$2:O$998,clean!$B$2:$B$998,$A78,clean!$C$2:$C$998,$B78,clean!$D$2:$D$998,$C78,clean!$E$2:$E$998,$D78,clean!$F$2:$F$998,$E78)</f>
        <v>6742280250</v>
      </c>
      <c r="O78">
        <f>AVERAGEIFS(clean!P$2:P$998,clean!$B$2:$B$998,$A78,clean!$C$2:$C$998,$B78,clean!$D$2:$D$998,$C78,clean!$E$2:$E$998,$D78,clean!$F$2:$F$998,$E78)</f>
        <v>259625</v>
      </c>
      <c r="P78">
        <f>AVERAGEIFS(clean!Q$2:Q$998,clean!$B$2:$B$998,$A78,clean!$C$2:$C$998,$B78,clean!$D$2:$D$998,$C78,clean!$E$2:$E$998,$D78,clean!$F$2:$F$998,$E78)</f>
        <v>2855677225</v>
      </c>
      <c r="Q78">
        <f>AVERAGEIFS(clean!R$2:R$998,clean!$B$2:$B$998,$A78,clean!$C$2:$C$998,$B78,clean!$D$2:$D$998,$C78,clean!$E$2:$E$998,$D78,clean!$F$2:$F$998,$E78)</f>
        <v>2855936850</v>
      </c>
      <c r="R78">
        <f>AVERAGEIFS(clean!S$2:S$998,clean!$B$2:$B$998,$A78,clean!$C$2:$C$998,$B78,clean!$D$2:$D$998,$C78,clean!$E$2:$E$998,$D78,clean!$F$2:$F$998,$E78)</f>
        <v>2278400</v>
      </c>
      <c r="S78">
        <f t="shared" si="2"/>
        <v>613344525</v>
      </c>
      <c r="T78">
        <f>AVERAGEIFS(clean!T$2:T$998,clean!$B$2:$B$998,$A78,clean!$C$2:$C$998,$B78,clean!$D$2:$D$998,$C78,clean!$E$2:$E$998,$D78,clean!$F$2:$F$998,$E78)</f>
        <v>84987300</v>
      </c>
      <c r="U78">
        <f>AVERAGEIFS(clean!U$2:U$998,clean!$B$2:$B$998,$A78,clean!$C$2:$C$998,$B78,clean!$D$2:$D$998,$C78,clean!$E$2:$E$998,$D78,clean!$F$2:$F$998,$E78)</f>
        <v>24712058775</v>
      </c>
      <c r="V78">
        <f>AVERAGEIFS(clean!V$2:V$998,clean!$B$2:$B$998,$A78,clean!$C$2:$C$998,$B78,clean!$D$2:$D$998,$C78,clean!$E$2:$E$998,$D78,clean!$F$2:$F$998,$E78)</f>
        <v>21054362025</v>
      </c>
      <c r="W78">
        <f>AVERAGEIFS(clean!W$2:W$998,clean!$B$2:$B$998,$A78,clean!$C$2:$C$998,$B78,clean!$D$2:$D$998,$C78,clean!$E$2:$E$998,$D78,clean!$F$2:$F$998,$E78)</f>
        <v>872550</v>
      </c>
      <c r="X78">
        <f t="shared" si="3"/>
        <v>4492614150</v>
      </c>
      <c r="Y78">
        <f>AVERAGEIFS(clean!X$2:X$998,clean!$B$2:$B$998,$A78,clean!$C$2:$C$998,$B78,clean!$D$2:$D$998,$C78,clean!$E$2:$E$998,$D78,clean!$F$2:$F$998,$E78)</f>
        <v>10228422725</v>
      </c>
    </row>
    <row r="79" spans="1:25" x14ac:dyDescent="0.3">
      <c r="A79">
        <v>262144</v>
      </c>
      <c r="B79">
        <v>3</v>
      </c>
      <c r="C79">
        <v>64</v>
      </c>
      <c r="D79">
        <v>0.35</v>
      </c>
      <c r="E79">
        <v>12</v>
      </c>
      <c r="F79">
        <f>AVERAGEIFS(clean!G$2:G$998,clean!$B$2:$B$998,$A79,clean!$C$2:$C$998,$B79,clean!$D$2:$D$998,$C79,clean!$E$2:$E$998,$D79,clean!$F$2:$F$998,$E79)</f>
        <v>8191</v>
      </c>
      <c r="G79">
        <f>AVERAGEIFS(clean!H$2:H$998,clean!$B$2:$B$998,$A79,clean!$C$2:$C$998,$B79,clean!$D$2:$D$998,$C79,clean!$E$2:$E$998,$D79,clean!$F$2:$F$998,$E79)</f>
        <v>488910.66666666669</v>
      </c>
      <c r="H79">
        <f>AVERAGEIFS(clean!I$2:I$998,clean!$B$2:$B$998,$A79,clean!$C$2:$C$998,$B79,clean!$D$2:$D$998,$C79,clean!$E$2:$E$998,$D79,clean!$F$2:$F$998,$E79)</f>
        <v>7333054466.666667</v>
      </c>
      <c r="I79">
        <f>AVERAGEIFS(clean!J$2:J$998,clean!$B$2:$B$998,$A79,clean!$C$2:$C$998,$B79,clean!$D$2:$D$998,$C79,clean!$E$2:$E$998,$D79,clean!$F$2:$F$998,$E79)</f>
        <v>42816266233.333336</v>
      </c>
      <c r="J79">
        <f>AVERAGEIFS(clean!K$2:K$998,clean!$B$2:$B$998,$A79,clean!$C$2:$C$998,$B79,clean!$D$2:$D$998,$C79,clean!$E$2:$E$998,$D79,clean!$F$2:$F$998,$E79)</f>
        <v>5.8390696247220868</v>
      </c>
      <c r="K79">
        <f>AVERAGEIFS(clean!L$2:L$998,clean!$B$2:$B$998,$A79,clean!$C$2:$C$998,$B79,clean!$D$2:$D$998,$C79,clean!$E$2:$E$998,$D79,clean!$F$2:$F$998,$E79)</f>
        <v>131268933.33333333</v>
      </c>
      <c r="L79">
        <f>AVERAGEIFS(clean!M$2:M$998,clean!$B$2:$B$998,$A79,clean!$C$2:$C$998,$B79,clean!$D$2:$D$998,$C79,clean!$E$2:$E$998,$D79,clean!$F$2:$F$998,$E79)</f>
        <v>205404466.66666666</v>
      </c>
      <c r="M79">
        <f>AVERAGEIFS(clean!N$2:N$998,clean!$B$2:$B$998,$A79,clean!$C$2:$C$998,$B79,clean!$D$2:$D$998,$C79,clean!$E$2:$E$998,$D79,clean!$F$2:$F$998,$E79)</f>
        <v>2343917266.6666665</v>
      </c>
      <c r="N79">
        <f>AVERAGEIFS(clean!O$2:O$998,clean!$B$2:$B$998,$A79,clean!$C$2:$C$998,$B79,clean!$D$2:$D$998,$C79,clean!$E$2:$E$998,$D79,clean!$F$2:$F$998,$E79)</f>
        <v>2549321733.3333335</v>
      </c>
      <c r="O79">
        <f>AVERAGEIFS(clean!P$2:P$998,clean!$B$2:$B$998,$A79,clean!$C$2:$C$998,$B79,clean!$D$2:$D$998,$C79,clean!$E$2:$E$998,$D79,clean!$F$2:$F$998,$E79)</f>
        <v>1271300</v>
      </c>
      <c r="P79">
        <f>AVERAGEIFS(clean!Q$2:Q$998,clean!$B$2:$B$998,$A79,clean!$C$2:$C$998,$B79,clean!$D$2:$D$998,$C79,clean!$E$2:$E$998,$D79,clean!$F$2:$F$998,$E79)</f>
        <v>4102913033.3333335</v>
      </c>
      <c r="Q79">
        <f>AVERAGEIFS(clean!R$2:R$998,clean!$B$2:$B$998,$A79,clean!$C$2:$C$998,$B79,clean!$D$2:$D$998,$C79,clean!$E$2:$E$998,$D79,clean!$F$2:$F$998,$E79)</f>
        <v>4104184333.3333335</v>
      </c>
      <c r="R79">
        <f>AVERAGEIFS(clean!S$2:S$998,clean!$B$2:$B$998,$A79,clean!$C$2:$C$998,$B79,clean!$D$2:$D$998,$C79,clean!$E$2:$E$998,$D79,clean!$F$2:$F$998,$E79)</f>
        <v>2220733.3333333335</v>
      </c>
      <c r="S79">
        <f t="shared" si="2"/>
        <v>546058733.33333313</v>
      </c>
      <c r="T79">
        <f>AVERAGEIFS(clean!T$2:T$998,clean!$B$2:$B$998,$A79,clean!$C$2:$C$998,$B79,clean!$D$2:$D$998,$C79,clean!$E$2:$E$998,$D79,clean!$F$2:$F$998,$E79)</f>
        <v>78295866.666666672</v>
      </c>
      <c r="U79">
        <f>AVERAGEIFS(clean!U$2:U$998,clean!$B$2:$B$998,$A79,clean!$C$2:$C$998,$B79,clean!$D$2:$D$998,$C79,clean!$E$2:$E$998,$D79,clean!$F$2:$F$998,$E79)</f>
        <v>12103971366.666666</v>
      </c>
      <c r="V79">
        <f>AVERAGEIFS(clean!V$2:V$998,clean!$B$2:$B$998,$A79,clean!$C$2:$C$998,$B79,clean!$D$2:$D$998,$C79,clean!$E$2:$E$998,$D79,clean!$F$2:$F$998,$E79)</f>
        <v>29149445533.333332</v>
      </c>
      <c r="W79">
        <f>AVERAGEIFS(clean!W$2:W$998,clean!$B$2:$B$998,$A79,clean!$C$2:$C$998,$B79,clean!$D$2:$D$998,$C79,clean!$E$2:$E$998,$D79,clean!$F$2:$F$998,$E79)</f>
        <v>1057600</v>
      </c>
      <c r="X79">
        <f t="shared" si="3"/>
        <v>1483495866.6666756</v>
      </c>
      <c r="Y79">
        <f>AVERAGEIFS(clean!X$2:X$998,clean!$B$2:$B$998,$A79,clean!$C$2:$C$998,$B79,clean!$D$2:$D$998,$C79,clean!$E$2:$E$998,$D79,clean!$F$2:$F$998,$E79)</f>
        <v>7333054466.666667</v>
      </c>
    </row>
    <row r="80" spans="1:25" x14ac:dyDescent="0.3">
      <c r="A80">
        <v>262144</v>
      </c>
      <c r="B80">
        <v>4</v>
      </c>
      <c r="C80">
        <v>125</v>
      </c>
      <c r="D80">
        <v>0.35</v>
      </c>
      <c r="E80">
        <v>12</v>
      </c>
      <c r="F80">
        <f>AVERAGEIFS(clean!G$2:G$998,clean!$B$2:$B$998,$A80,clean!$C$2:$C$998,$B80,clean!$D$2:$D$998,$C80,clean!$E$2:$E$998,$D80,clean!$F$2:$F$998,$E80)</f>
        <v>8191</v>
      </c>
      <c r="G80">
        <f>AVERAGEIFS(clean!H$2:H$998,clean!$B$2:$B$998,$A80,clean!$C$2:$C$998,$B80,clean!$D$2:$D$998,$C80,clean!$E$2:$E$998,$D80,clean!$F$2:$F$998,$E80)</f>
        <v>489020</v>
      </c>
      <c r="H80">
        <f>AVERAGEIFS(clean!I$2:I$998,clean!$B$2:$B$998,$A80,clean!$C$2:$C$998,$B80,clean!$D$2:$D$998,$C80,clean!$E$2:$E$998,$D80,clean!$F$2:$F$998,$E80)</f>
        <v>13344893733.333334</v>
      </c>
      <c r="I80">
        <f>AVERAGEIFS(clean!J$2:J$998,clean!$B$2:$B$998,$A80,clean!$C$2:$C$998,$B80,clean!$D$2:$D$998,$C80,clean!$E$2:$E$998,$D80,clean!$F$2:$F$998,$E80)</f>
        <v>76659003966.666672</v>
      </c>
      <c r="J80">
        <f>AVERAGEIFS(clean!K$2:K$998,clean!$B$2:$B$998,$A80,clean!$C$2:$C$998,$B80,clean!$D$2:$D$998,$C80,clean!$E$2:$E$998,$D80,clean!$F$2:$F$998,$E80)</f>
        <v>5.7444953727694497</v>
      </c>
      <c r="K80">
        <f>AVERAGEIFS(clean!L$2:L$998,clean!$B$2:$B$998,$A80,clean!$C$2:$C$998,$B80,clean!$D$2:$D$998,$C80,clean!$E$2:$E$998,$D80,clean!$F$2:$F$998,$E80)</f>
        <v>90782400</v>
      </c>
      <c r="L80">
        <f>AVERAGEIFS(clean!M$2:M$998,clean!$B$2:$B$998,$A80,clean!$C$2:$C$998,$B80,clean!$D$2:$D$998,$C80,clean!$E$2:$E$998,$D80,clean!$F$2:$F$998,$E80)</f>
        <v>751361366.66666663</v>
      </c>
      <c r="M80">
        <f>AVERAGEIFS(clean!N$2:N$998,clean!$B$2:$B$998,$A80,clean!$C$2:$C$998,$B80,clean!$D$2:$D$998,$C80,clean!$E$2:$E$998,$D80,clean!$F$2:$F$998,$E80)</f>
        <v>7597148600</v>
      </c>
      <c r="N80">
        <f>AVERAGEIFS(clean!O$2:O$998,clean!$B$2:$B$998,$A80,clean!$C$2:$C$998,$B80,clean!$D$2:$D$998,$C80,clean!$E$2:$E$998,$D80,clean!$F$2:$F$998,$E80)</f>
        <v>8348509966.666667</v>
      </c>
      <c r="O80">
        <f>AVERAGEIFS(clean!P$2:P$998,clean!$B$2:$B$998,$A80,clean!$C$2:$C$998,$B80,clean!$D$2:$D$998,$C80,clean!$E$2:$E$998,$D80,clean!$F$2:$F$998,$E80)</f>
        <v>1268166.6666666667</v>
      </c>
      <c r="P80">
        <f>AVERAGEIFS(clean!Q$2:Q$998,clean!$B$2:$B$998,$A80,clean!$C$2:$C$998,$B80,clean!$D$2:$D$998,$C80,clean!$E$2:$E$998,$D80,clean!$F$2:$F$998,$E80)</f>
        <v>4258600833.3333335</v>
      </c>
      <c r="Q80">
        <f>AVERAGEIFS(clean!R$2:R$998,clean!$B$2:$B$998,$A80,clean!$C$2:$C$998,$B80,clean!$D$2:$D$998,$C80,clean!$E$2:$E$998,$D80,clean!$F$2:$F$998,$E80)</f>
        <v>4259869000</v>
      </c>
      <c r="R80">
        <f>AVERAGEIFS(clean!S$2:S$998,clean!$B$2:$B$998,$A80,clean!$C$2:$C$998,$B80,clean!$D$2:$D$998,$C80,clean!$E$2:$E$998,$D80,clean!$F$2:$F$998,$E80)</f>
        <v>2130600</v>
      </c>
      <c r="S80">
        <f t="shared" si="2"/>
        <v>643601766.66666698</v>
      </c>
      <c r="T80">
        <f>AVERAGEIFS(clean!T$2:T$998,clean!$B$2:$B$998,$A80,clean!$C$2:$C$998,$B80,clean!$D$2:$D$998,$C80,clean!$E$2:$E$998,$D80,clean!$F$2:$F$998,$E80)</f>
        <v>88631233.333333328</v>
      </c>
      <c r="U80">
        <f>AVERAGEIFS(clean!U$2:U$998,clean!$B$2:$B$998,$A80,clean!$C$2:$C$998,$B80,clean!$D$2:$D$998,$C80,clean!$E$2:$E$998,$D80,clean!$F$2:$F$998,$E80)</f>
        <v>44053934066.666664</v>
      </c>
      <c r="V80">
        <f>AVERAGEIFS(clean!V$2:V$998,clean!$B$2:$B$998,$A80,clean!$C$2:$C$998,$B80,clean!$D$2:$D$998,$C80,clean!$E$2:$E$998,$D80,clean!$F$2:$F$998,$E80)</f>
        <v>29107592633.333332</v>
      </c>
      <c r="W80">
        <f>AVERAGEIFS(clean!W$2:W$998,clean!$B$2:$B$998,$A80,clean!$C$2:$C$998,$B80,clean!$D$2:$D$998,$C80,clean!$E$2:$E$998,$D80,clean!$F$2:$F$998,$E80)</f>
        <v>862833.33333333337</v>
      </c>
      <c r="X80">
        <f t="shared" si="3"/>
        <v>3407983200.0000138</v>
      </c>
      <c r="Y80">
        <f>AVERAGEIFS(clean!X$2:X$998,clean!$B$2:$B$998,$A80,clean!$C$2:$C$998,$B80,clean!$D$2:$D$998,$C80,clean!$E$2:$E$998,$D80,clean!$F$2:$F$998,$E80)</f>
        <v>13344893733.333334</v>
      </c>
    </row>
    <row r="81" spans="1:25" x14ac:dyDescent="0.3">
      <c r="A81">
        <v>262144</v>
      </c>
      <c r="B81">
        <v>7</v>
      </c>
      <c r="C81">
        <v>512</v>
      </c>
      <c r="D81">
        <v>0.65</v>
      </c>
      <c r="E81">
        <v>9</v>
      </c>
      <c r="F81">
        <f>AVERAGEIFS(clean!G$2:G$998,clean!$B$2:$B$998,$A81,clean!$C$2:$C$998,$B81,clean!$D$2:$D$998,$C81,clean!$E$2:$E$998,$D81,clean!$F$2:$F$998,$E81)</f>
        <v>1023</v>
      </c>
      <c r="G81">
        <f>AVERAGEIFS(clean!H$2:H$998,clean!$B$2:$B$998,$A81,clean!$C$2:$C$998,$B81,clean!$D$2:$D$998,$C81,clean!$E$2:$E$998,$D81,clean!$F$2:$F$998,$E81)</f>
        <v>8620</v>
      </c>
      <c r="H81">
        <f>AVERAGEIFS(clean!I$2:I$998,clean!$B$2:$B$998,$A81,clean!$C$2:$C$998,$B81,clean!$D$2:$D$998,$C81,clean!$E$2:$E$998,$D81,clean!$F$2:$F$998,$E81)</f>
        <v>12011351833.333334</v>
      </c>
      <c r="I81">
        <f>AVERAGEIFS(clean!J$2:J$998,clean!$B$2:$B$998,$A81,clean!$C$2:$C$998,$B81,clean!$D$2:$D$998,$C81,clean!$E$2:$E$998,$D81,clean!$F$2:$F$998,$E81)</f>
        <v>55476573833.333336</v>
      </c>
      <c r="J81">
        <f>AVERAGEIFS(clean!K$2:K$998,clean!$B$2:$B$998,$A81,clean!$C$2:$C$998,$B81,clean!$D$2:$D$998,$C81,clean!$E$2:$E$998,$D81,clean!$F$2:$F$998,$E81)</f>
        <v>4.6184654149963658</v>
      </c>
      <c r="K81">
        <f>AVERAGEIFS(clean!L$2:L$998,clean!$B$2:$B$998,$A81,clean!$C$2:$C$998,$B81,clean!$D$2:$D$998,$C81,clean!$E$2:$E$998,$D81,clean!$F$2:$F$998,$E81)</f>
        <v>1540933.3333333333</v>
      </c>
      <c r="L81">
        <f>AVERAGEIFS(clean!M$2:M$998,clean!$B$2:$B$998,$A81,clean!$C$2:$C$998,$B81,clean!$D$2:$D$998,$C81,clean!$E$2:$E$998,$D81,clean!$F$2:$F$998,$E81)</f>
        <v>4319387866.666667</v>
      </c>
      <c r="M81">
        <f>AVERAGEIFS(clean!N$2:N$998,clean!$B$2:$B$998,$A81,clean!$C$2:$C$998,$B81,clean!$D$2:$D$998,$C81,clean!$E$2:$E$998,$D81,clean!$F$2:$F$998,$E81)</f>
        <v>2269485666.6666665</v>
      </c>
      <c r="N81">
        <f>AVERAGEIFS(clean!O$2:O$998,clean!$B$2:$B$998,$A81,clean!$C$2:$C$998,$B81,clean!$D$2:$D$998,$C81,clean!$E$2:$E$998,$D81,clean!$F$2:$F$998,$E81)</f>
        <v>6588873533.333333</v>
      </c>
      <c r="O81">
        <f>AVERAGEIFS(clean!P$2:P$998,clean!$B$2:$B$998,$A81,clean!$C$2:$C$998,$B81,clean!$D$2:$D$998,$C81,clean!$E$2:$E$998,$D81,clean!$F$2:$F$998,$E81)</f>
        <v>116766.66666666667</v>
      </c>
      <c r="P81">
        <f>AVERAGEIFS(clean!Q$2:Q$998,clean!$B$2:$B$998,$A81,clean!$C$2:$C$998,$B81,clean!$D$2:$D$998,$C81,clean!$E$2:$E$998,$D81,clean!$F$2:$F$998,$E81)</f>
        <v>4616192966.666667</v>
      </c>
      <c r="Q81">
        <f>AVERAGEIFS(clean!R$2:R$998,clean!$B$2:$B$998,$A81,clean!$C$2:$C$998,$B81,clean!$D$2:$D$998,$C81,clean!$E$2:$E$998,$D81,clean!$F$2:$F$998,$E81)</f>
        <v>4616309733.333333</v>
      </c>
      <c r="R81">
        <f>AVERAGEIFS(clean!S$2:S$998,clean!$B$2:$B$998,$A81,clean!$C$2:$C$998,$B81,clean!$D$2:$D$998,$C81,clean!$E$2:$E$998,$D81,clean!$F$2:$F$998,$E81)</f>
        <v>2183300</v>
      </c>
      <c r="S81">
        <f t="shared" si="2"/>
        <v>802444333.33333397</v>
      </c>
      <c r="T81">
        <f>AVERAGEIFS(clean!T$2:T$998,clean!$B$2:$B$998,$A81,clean!$C$2:$C$998,$B81,clean!$D$2:$D$998,$C81,clean!$E$2:$E$998,$D81,clean!$F$2:$F$998,$E81)</f>
        <v>68803900</v>
      </c>
      <c r="U81">
        <f>AVERAGEIFS(clean!U$2:U$998,clean!$B$2:$B$998,$A81,clean!$C$2:$C$998,$B81,clean!$D$2:$D$998,$C81,clean!$E$2:$E$998,$D81,clean!$F$2:$F$998,$E81)</f>
        <v>12121570933.333334</v>
      </c>
      <c r="V81">
        <f>AVERAGEIFS(clean!V$2:V$998,clean!$B$2:$B$998,$A81,clean!$C$2:$C$998,$B81,clean!$D$2:$D$998,$C81,clean!$E$2:$E$998,$D81,clean!$F$2:$F$998,$E81)</f>
        <v>36829367633.333336</v>
      </c>
      <c r="W81">
        <f>AVERAGEIFS(clean!W$2:W$998,clean!$B$2:$B$998,$A81,clean!$C$2:$C$998,$B81,clean!$D$2:$D$998,$C81,clean!$E$2:$E$998,$D81,clean!$F$2:$F$998,$E81)</f>
        <v>883900</v>
      </c>
      <c r="X81">
        <f t="shared" si="3"/>
        <v>6455947466.6666641</v>
      </c>
      <c r="Y81">
        <f>AVERAGEIFS(clean!X$2:X$998,clean!$B$2:$B$998,$A81,clean!$C$2:$C$998,$B81,clean!$D$2:$D$998,$C81,clean!$E$2:$E$998,$D81,clean!$F$2:$F$998,$E81)</f>
        <v>12011351833.333334</v>
      </c>
    </row>
    <row r="82" spans="1:25" x14ac:dyDescent="0.3">
      <c r="A82">
        <v>262144</v>
      </c>
      <c r="B82">
        <v>6</v>
      </c>
      <c r="C82">
        <v>343</v>
      </c>
      <c r="D82">
        <v>0.5</v>
      </c>
      <c r="E82">
        <v>10</v>
      </c>
      <c r="F82">
        <f>AVERAGEIFS(clean!G$2:G$998,clean!$B$2:$B$998,$A82,clean!$C$2:$C$998,$B82,clean!$D$2:$D$998,$C82,clean!$E$2:$E$998,$D82,clean!$F$2:$F$998,$E82)</f>
        <v>2047</v>
      </c>
      <c r="G82">
        <f>AVERAGEIFS(clean!H$2:H$998,clean!$B$2:$B$998,$A82,clean!$C$2:$C$998,$B82,clean!$D$2:$D$998,$C82,clean!$E$2:$E$998,$D82,clean!$F$2:$F$998,$E82)</f>
        <v>34838</v>
      </c>
      <c r="H82">
        <f>AVERAGEIFS(clean!I$2:I$998,clean!$B$2:$B$998,$A82,clean!$C$2:$C$998,$B82,clean!$D$2:$D$998,$C82,clean!$E$2:$E$998,$D82,clean!$F$2:$F$998,$E82)</f>
        <v>15698883925</v>
      </c>
      <c r="I82">
        <f>AVERAGEIFS(clean!J$2:J$998,clean!$B$2:$B$998,$A82,clean!$C$2:$C$998,$B82,clean!$D$2:$D$998,$C82,clean!$E$2:$E$998,$D82,clean!$F$2:$F$998,$E82)</f>
        <v>73392390175</v>
      </c>
      <c r="J82">
        <f>AVERAGEIFS(clean!K$2:K$998,clean!$B$2:$B$998,$A82,clean!$C$2:$C$998,$B82,clean!$D$2:$D$998,$C82,clean!$E$2:$E$998,$D82,clean!$F$2:$F$998,$E82)</f>
        <v>4.675444934542635</v>
      </c>
      <c r="K82">
        <f>AVERAGEIFS(clean!L$2:L$998,clean!$B$2:$B$998,$A82,clean!$C$2:$C$998,$B82,clean!$D$2:$D$998,$C82,clean!$E$2:$E$998,$D82,clean!$F$2:$F$998,$E82)</f>
        <v>6589325</v>
      </c>
      <c r="L82">
        <f>AVERAGEIFS(clean!M$2:M$998,clean!$B$2:$B$998,$A82,clean!$C$2:$C$998,$B82,clean!$D$2:$D$998,$C82,clean!$E$2:$E$998,$D82,clean!$F$2:$F$998,$E82)</f>
        <v>3609872600</v>
      </c>
      <c r="M82">
        <f>AVERAGEIFS(clean!N$2:N$998,clean!$B$2:$B$998,$A82,clean!$C$2:$C$998,$B82,clean!$D$2:$D$998,$C82,clean!$E$2:$E$998,$D82,clean!$F$2:$F$998,$E82)</f>
        <v>6717848050</v>
      </c>
      <c r="N82">
        <f>AVERAGEIFS(clean!O$2:O$998,clean!$B$2:$B$998,$A82,clean!$C$2:$C$998,$B82,clean!$D$2:$D$998,$C82,clean!$E$2:$E$998,$D82,clean!$F$2:$F$998,$E82)</f>
        <v>10327720650</v>
      </c>
      <c r="O82">
        <f>AVERAGEIFS(clean!P$2:P$998,clean!$B$2:$B$998,$A82,clean!$C$2:$C$998,$B82,clean!$D$2:$D$998,$C82,clean!$E$2:$E$998,$D82,clean!$F$2:$F$998,$E82)</f>
        <v>133150</v>
      </c>
      <c r="P82">
        <f>AVERAGEIFS(clean!Q$2:Q$998,clean!$B$2:$B$998,$A82,clean!$C$2:$C$998,$B82,clean!$D$2:$D$998,$C82,clean!$E$2:$E$998,$D82,clean!$F$2:$F$998,$E82)</f>
        <v>4665209700</v>
      </c>
      <c r="Q82">
        <f>AVERAGEIFS(clean!R$2:R$998,clean!$B$2:$B$998,$A82,clean!$C$2:$C$998,$B82,clean!$D$2:$D$998,$C82,clean!$E$2:$E$998,$D82,clean!$F$2:$F$998,$E82)</f>
        <v>4665342850</v>
      </c>
      <c r="R82">
        <f>AVERAGEIFS(clean!S$2:S$998,clean!$B$2:$B$998,$A82,clean!$C$2:$C$998,$B82,clean!$D$2:$D$998,$C82,clean!$E$2:$E$998,$D82,clean!$F$2:$F$998,$E82)</f>
        <v>2284000</v>
      </c>
      <c r="S82">
        <f t="shared" si="2"/>
        <v>696947100</v>
      </c>
      <c r="T82">
        <f>AVERAGEIFS(clean!T$2:T$998,clean!$B$2:$B$998,$A82,clean!$C$2:$C$998,$B82,clean!$D$2:$D$998,$C82,clean!$E$2:$E$998,$D82,clean!$F$2:$F$998,$E82)</f>
        <v>75299775</v>
      </c>
      <c r="U82">
        <f>AVERAGEIFS(clean!U$2:U$998,clean!$B$2:$B$998,$A82,clean!$C$2:$C$998,$B82,clean!$D$2:$D$998,$C82,clean!$E$2:$E$998,$D82,clean!$F$2:$F$998,$E82)</f>
        <v>31891960350</v>
      </c>
      <c r="V82">
        <f>AVERAGEIFS(clean!V$2:V$998,clean!$B$2:$B$998,$A82,clean!$C$2:$C$998,$B82,clean!$D$2:$D$998,$C82,clean!$E$2:$E$998,$D82,clean!$F$2:$F$998,$E82)</f>
        <v>35887455250</v>
      </c>
      <c r="W82">
        <f>AVERAGEIFS(clean!W$2:W$998,clean!$B$2:$B$998,$A82,clean!$C$2:$C$998,$B82,clean!$D$2:$D$998,$C82,clean!$E$2:$E$998,$D82,clean!$F$2:$F$998,$E82)</f>
        <v>889125</v>
      </c>
      <c r="X82">
        <f t="shared" si="3"/>
        <v>5536785675</v>
      </c>
      <c r="Y82">
        <f>AVERAGEIFS(clean!X$2:X$998,clean!$B$2:$B$998,$A82,clean!$C$2:$C$998,$B82,clean!$D$2:$D$998,$C82,clean!$E$2:$E$998,$D82,clean!$F$2:$F$998,$E82)</f>
        <v>15698883925</v>
      </c>
    </row>
    <row r="83" spans="1:25" x14ac:dyDescent="0.3">
      <c r="A83">
        <v>262144</v>
      </c>
      <c r="B83">
        <v>5</v>
      </c>
      <c r="C83">
        <v>216</v>
      </c>
      <c r="D83">
        <v>0.35</v>
      </c>
      <c r="E83">
        <v>11</v>
      </c>
      <c r="F83">
        <f>AVERAGEIFS(clean!G$2:G$998,clean!$B$2:$B$998,$A83,clean!$C$2:$C$998,$B83,clean!$D$2:$D$998,$C83,clean!$E$2:$E$998,$D83,clean!$F$2:$F$998,$E83)</f>
        <v>4095</v>
      </c>
      <c r="G83">
        <f>AVERAGEIFS(clean!H$2:H$998,clean!$B$2:$B$998,$A83,clean!$C$2:$C$998,$B83,clean!$D$2:$D$998,$C83,clean!$E$2:$E$998,$D83,clean!$F$2:$F$998,$E83)</f>
        <v>213698.66666666666</v>
      </c>
      <c r="H83">
        <f>AVERAGEIFS(clean!I$2:I$998,clean!$B$2:$B$998,$A83,clean!$C$2:$C$998,$B83,clean!$D$2:$D$998,$C83,clean!$E$2:$E$998,$D83,clean!$F$2:$F$998,$E83)</f>
        <v>22049402800</v>
      </c>
      <c r="I83">
        <f>AVERAGEIFS(clean!J$2:J$998,clean!$B$2:$B$998,$A83,clean!$C$2:$C$998,$B83,clean!$D$2:$D$998,$C83,clean!$E$2:$E$998,$D83,clean!$F$2:$F$998,$E83)</f>
        <v>116624434800</v>
      </c>
      <c r="J83">
        <f>AVERAGEIFS(clean!K$2:K$998,clean!$B$2:$B$998,$A83,clean!$C$2:$C$998,$B83,clean!$D$2:$D$998,$C83,clean!$E$2:$E$998,$D83,clean!$F$2:$F$998,$E83)</f>
        <v>5.2893330452795837</v>
      </c>
      <c r="K83">
        <f>AVERAGEIFS(clean!L$2:L$998,clean!$B$2:$B$998,$A83,clean!$C$2:$C$998,$B83,clean!$D$2:$D$998,$C83,clean!$E$2:$E$998,$D83,clean!$F$2:$F$998,$E83)</f>
        <v>44226933.333333336</v>
      </c>
      <c r="L83">
        <f>AVERAGEIFS(clean!M$2:M$998,clean!$B$2:$B$998,$A83,clean!$C$2:$C$998,$B83,clean!$D$2:$D$998,$C83,clean!$E$2:$E$998,$D83,clean!$F$2:$F$998,$E83)</f>
        <v>1623547600</v>
      </c>
      <c r="M83">
        <f>AVERAGEIFS(clean!N$2:N$998,clean!$B$2:$B$998,$A83,clean!$C$2:$C$998,$B83,clean!$D$2:$D$998,$C83,clean!$E$2:$E$998,$D83,clean!$F$2:$F$998,$E83)</f>
        <v>12504804133.333334</v>
      </c>
      <c r="N83">
        <f>AVERAGEIFS(clean!O$2:O$998,clean!$B$2:$B$998,$A83,clean!$C$2:$C$998,$B83,clean!$D$2:$D$998,$C83,clean!$E$2:$E$998,$D83,clean!$F$2:$F$998,$E83)</f>
        <v>14128351733.333334</v>
      </c>
      <c r="O83">
        <f>AVERAGEIFS(clean!P$2:P$998,clean!$B$2:$B$998,$A83,clean!$C$2:$C$998,$B83,clean!$D$2:$D$998,$C83,clean!$E$2:$E$998,$D83,clean!$F$2:$F$998,$E83)</f>
        <v>663366.66666666663</v>
      </c>
      <c r="P83">
        <f>AVERAGEIFS(clean!Q$2:Q$998,clean!$B$2:$B$998,$A83,clean!$C$2:$C$998,$B83,clean!$D$2:$D$998,$C83,clean!$E$2:$E$998,$D83,clean!$F$2:$F$998,$E83)</f>
        <v>7157454266.666667</v>
      </c>
      <c r="Q83">
        <f>AVERAGEIFS(clean!R$2:R$998,clean!$B$2:$B$998,$A83,clean!$C$2:$C$998,$B83,clean!$D$2:$D$998,$C83,clean!$E$2:$E$998,$D83,clean!$F$2:$F$998,$E83)</f>
        <v>7158117633.333333</v>
      </c>
      <c r="R83">
        <f>AVERAGEIFS(clean!S$2:S$998,clean!$B$2:$B$998,$A83,clean!$C$2:$C$998,$B83,clean!$D$2:$D$998,$C83,clean!$E$2:$E$998,$D83,clean!$F$2:$F$998,$E83)</f>
        <v>2131500</v>
      </c>
      <c r="S83">
        <f t="shared" si="2"/>
        <v>716575000.00000095</v>
      </c>
      <c r="T83">
        <f>AVERAGEIFS(clean!T$2:T$998,clean!$B$2:$B$998,$A83,clean!$C$2:$C$998,$B83,clean!$D$2:$D$998,$C83,clean!$E$2:$E$998,$D83,clean!$F$2:$F$998,$E83)</f>
        <v>78087966.666666672</v>
      </c>
      <c r="U83">
        <f>AVERAGEIFS(clean!U$2:U$998,clean!$B$2:$B$998,$A83,clean!$C$2:$C$998,$B83,clean!$D$2:$D$998,$C83,clean!$E$2:$E$998,$D83,clean!$F$2:$F$998,$E83)</f>
        <v>59331459100</v>
      </c>
      <c r="V83">
        <f>AVERAGEIFS(clean!V$2:V$998,clean!$B$2:$B$998,$A83,clean!$C$2:$C$998,$B83,clean!$D$2:$D$998,$C83,clean!$E$2:$E$998,$D83,clean!$F$2:$F$998,$E83)</f>
        <v>52709633966.666664</v>
      </c>
      <c r="W83">
        <f>AVERAGEIFS(clean!W$2:W$998,clean!$B$2:$B$998,$A83,clean!$C$2:$C$998,$B83,clean!$D$2:$D$998,$C83,clean!$E$2:$E$998,$D83,clean!$F$2:$F$998,$E83)</f>
        <v>862833.33333333337</v>
      </c>
      <c r="X83">
        <f t="shared" si="3"/>
        <v>4504390933.3333311</v>
      </c>
      <c r="Y83">
        <f>AVERAGEIFS(clean!X$2:X$998,clean!$B$2:$B$998,$A83,clean!$C$2:$C$998,$B83,clean!$D$2:$D$998,$C83,clean!$E$2:$E$998,$D83,clean!$F$2:$F$998,$E83)</f>
        <v>22049402800</v>
      </c>
    </row>
    <row r="84" spans="1:25" x14ac:dyDescent="0.3">
      <c r="A84">
        <v>262144</v>
      </c>
      <c r="B84">
        <v>7</v>
      </c>
      <c r="C84">
        <v>512</v>
      </c>
      <c r="D84">
        <v>0.5</v>
      </c>
      <c r="E84">
        <v>9</v>
      </c>
      <c r="F84">
        <f>AVERAGEIFS(clean!G$2:G$998,clean!$B$2:$B$998,$A84,clean!$C$2:$C$998,$B84,clean!$D$2:$D$998,$C84,clean!$E$2:$E$998,$D84,clean!$F$2:$F$998,$E84)</f>
        <v>1023</v>
      </c>
      <c r="G84">
        <f>AVERAGEIFS(clean!H$2:H$998,clean!$B$2:$B$998,$A84,clean!$C$2:$C$998,$B84,clean!$D$2:$D$998,$C84,clean!$E$2:$E$998,$D84,clean!$F$2:$F$998,$E84)</f>
        <v>19290</v>
      </c>
      <c r="H84">
        <f>AVERAGEIFS(clean!I$2:I$998,clean!$B$2:$B$998,$A84,clean!$C$2:$C$998,$B84,clean!$D$2:$D$998,$C84,clean!$E$2:$E$998,$D84,clean!$F$2:$F$998,$E84)</f>
        <v>20777299250</v>
      </c>
      <c r="I84">
        <f>AVERAGEIFS(clean!J$2:J$998,clean!$B$2:$B$998,$A84,clean!$C$2:$C$998,$B84,clean!$D$2:$D$998,$C84,clean!$E$2:$E$998,$D84,clean!$F$2:$F$998,$E84)</f>
        <v>117048215825</v>
      </c>
      <c r="J84">
        <f>AVERAGEIFS(clean!K$2:K$998,clean!$B$2:$B$998,$A84,clean!$C$2:$C$998,$B84,clean!$D$2:$D$998,$C84,clean!$E$2:$E$998,$D84,clean!$F$2:$F$998,$E84)</f>
        <v>5.6334720178487352</v>
      </c>
      <c r="K84">
        <f>AVERAGEIFS(clean!L$2:L$998,clean!$B$2:$B$998,$A84,clean!$C$2:$C$998,$B84,clean!$D$2:$D$998,$C84,clean!$E$2:$E$998,$D84,clean!$F$2:$F$998,$E84)</f>
        <v>3187775</v>
      </c>
      <c r="L84">
        <f>AVERAGEIFS(clean!M$2:M$998,clean!$B$2:$B$998,$A84,clean!$C$2:$C$998,$B84,clean!$D$2:$D$998,$C84,clean!$E$2:$E$998,$D84,clean!$F$2:$F$998,$E84)</f>
        <v>4333759375</v>
      </c>
      <c r="M84">
        <f>AVERAGEIFS(clean!N$2:N$998,clean!$B$2:$B$998,$A84,clean!$C$2:$C$998,$B84,clean!$D$2:$D$998,$C84,clean!$E$2:$E$998,$D84,clean!$F$2:$F$998,$E84)</f>
        <v>5283356925</v>
      </c>
      <c r="N84">
        <f>AVERAGEIFS(clean!O$2:O$998,clean!$B$2:$B$998,$A84,clean!$C$2:$C$998,$B84,clean!$D$2:$D$998,$C84,clean!$E$2:$E$998,$D84,clean!$F$2:$F$998,$E84)</f>
        <v>9617116300</v>
      </c>
      <c r="O84">
        <f>AVERAGEIFS(clean!P$2:P$998,clean!$B$2:$B$998,$A84,clean!$C$2:$C$998,$B84,clean!$D$2:$D$998,$C84,clean!$E$2:$E$998,$D84,clean!$F$2:$F$998,$E84)</f>
        <v>127425</v>
      </c>
      <c r="P84">
        <f>AVERAGEIFS(clean!Q$2:Q$998,clean!$B$2:$B$998,$A84,clean!$C$2:$C$998,$B84,clean!$D$2:$D$998,$C84,clean!$E$2:$E$998,$D84,clean!$F$2:$F$998,$E84)</f>
        <v>10339566850</v>
      </c>
      <c r="Q84">
        <f>AVERAGEIFS(clean!R$2:R$998,clean!$B$2:$B$998,$A84,clean!$C$2:$C$998,$B84,clean!$D$2:$D$998,$C84,clean!$E$2:$E$998,$D84,clean!$F$2:$F$998,$E84)</f>
        <v>10339694275</v>
      </c>
      <c r="R84">
        <f>AVERAGEIFS(clean!S$2:S$998,clean!$B$2:$B$998,$A84,clean!$C$2:$C$998,$B84,clean!$D$2:$D$998,$C84,clean!$E$2:$E$998,$D84,clean!$F$2:$F$998,$E84)</f>
        <v>2284600</v>
      </c>
      <c r="S84">
        <f t="shared" si="2"/>
        <v>815016300</v>
      </c>
      <c r="T84">
        <f>AVERAGEIFS(clean!T$2:T$998,clean!$B$2:$B$998,$A84,clean!$C$2:$C$998,$B84,clean!$D$2:$D$998,$C84,clean!$E$2:$E$998,$D84,clean!$F$2:$F$998,$E84)</f>
        <v>66368325</v>
      </c>
      <c r="U84">
        <f>AVERAGEIFS(clean!U$2:U$998,clean!$B$2:$B$998,$A84,clean!$C$2:$C$998,$B84,clean!$D$2:$D$998,$C84,clean!$E$2:$E$998,$D84,clean!$F$2:$F$998,$E84)</f>
        <v>28200945800</v>
      </c>
      <c r="V84">
        <f>AVERAGEIFS(clean!V$2:V$998,clean!$B$2:$B$998,$A84,clean!$C$2:$C$998,$B84,clean!$D$2:$D$998,$C84,clean!$E$2:$E$998,$D84,clean!$F$2:$F$998,$E84)</f>
        <v>82377539200</v>
      </c>
      <c r="W84">
        <f>AVERAGEIFS(clean!W$2:W$998,clean!$B$2:$B$998,$A84,clean!$C$2:$C$998,$B84,clean!$D$2:$D$998,$C84,clean!$E$2:$E$998,$D84,clean!$F$2:$F$998,$E84)</f>
        <v>904325</v>
      </c>
      <c r="X84">
        <f t="shared" si="3"/>
        <v>6402458175</v>
      </c>
      <c r="Y84">
        <f>AVERAGEIFS(clean!X$2:X$998,clean!$B$2:$B$998,$A84,clean!$C$2:$C$998,$B84,clean!$D$2:$D$998,$C84,clean!$E$2:$E$998,$D84,clean!$F$2:$F$998,$E84)</f>
        <v>20777299250</v>
      </c>
    </row>
    <row r="85" spans="1:25" x14ac:dyDescent="0.3">
      <c r="A85">
        <v>262144</v>
      </c>
      <c r="B85">
        <v>6</v>
      </c>
      <c r="C85">
        <v>343</v>
      </c>
      <c r="D85">
        <v>0.35</v>
      </c>
      <c r="E85">
        <v>10</v>
      </c>
      <c r="F85">
        <f>AVERAGEIFS(clean!G$2:G$998,clean!$B$2:$B$998,$A85,clean!$C$2:$C$998,$B85,clean!$D$2:$D$998,$C85,clean!$E$2:$E$998,$D85,clean!$F$2:$F$998,$E85)</f>
        <v>2047</v>
      </c>
      <c r="G85">
        <f>AVERAGEIFS(clean!H$2:H$998,clean!$B$2:$B$998,$A85,clean!$C$2:$C$998,$B85,clean!$D$2:$D$998,$C85,clean!$E$2:$E$998,$D85,clean!$F$2:$F$998,$E85)</f>
        <v>91962.666666666672</v>
      </c>
      <c r="H85">
        <f>AVERAGEIFS(clean!I$2:I$998,clean!$B$2:$B$998,$A85,clean!$C$2:$C$998,$B85,clean!$D$2:$D$998,$C85,clean!$E$2:$E$998,$D85,clean!$F$2:$F$998,$E85)</f>
        <v>32085534633.333332</v>
      </c>
      <c r="I85">
        <f>AVERAGEIFS(clean!J$2:J$998,clean!$B$2:$B$998,$A85,clean!$C$2:$C$998,$B85,clean!$D$2:$D$998,$C85,clean!$E$2:$E$998,$D85,clean!$F$2:$F$998,$E85)</f>
        <v>173415773600</v>
      </c>
      <c r="J85">
        <f>AVERAGEIFS(clean!K$2:K$998,clean!$B$2:$B$998,$A85,clean!$C$2:$C$998,$B85,clean!$D$2:$D$998,$C85,clean!$E$2:$E$998,$D85,clean!$F$2:$F$998,$E85)</f>
        <v>5.4048455909008828</v>
      </c>
      <c r="K85">
        <f>AVERAGEIFS(clean!L$2:L$998,clean!$B$2:$B$998,$A85,clean!$C$2:$C$998,$B85,clean!$D$2:$D$998,$C85,clean!$E$2:$E$998,$D85,clean!$F$2:$F$998,$E85)</f>
        <v>16456066.666666666</v>
      </c>
      <c r="L85">
        <f>AVERAGEIFS(clean!M$2:M$998,clean!$B$2:$B$998,$A85,clean!$C$2:$C$998,$B85,clean!$D$2:$D$998,$C85,clean!$E$2:$E$998,$D85,clean!$F$2:$F$998,$E85)</f>
        <v>3597999400</v>
      </c>
      <c r="M85">
        <f>AVERAGEIFS(clean!N$2:N$998,clean!$B$2:$B$998,$A85,clean!$C$2:$C$998,$B85,clean!$D$2:$D$998,$C85,clean!$E$2:$E$998,$D85,clean!$F$2:$F$998,$E85)</f>
        <v>15360929133.333334</v>
      </c>
      <c r="N85">
        <f>AVERAGEIFS(clean!O$2:O$998,clean!$B$2:$B$998,$A85,clean!$C$2:$C$998,$B85,clean!$D$2:$D$998,$C85,clean!$E$2:$E$998,$D85,clean!$F$2:$F$998,$E85)</f>
        <v>18958928533.333332</v>
      </c>
      <c r="O85">
        <f>AVERAGEIFS(clean!P$2:P$998,clean!$B$2:$B$998,$A85,clean!$C$2:$C$998,$B85,clean!$D$2:$D$998,$C85,clean!$E$2:$E$998,$D85,clean!$F$2:$F$998,$E85)</f>
        <v>219566.66666666666</v>
      </c>
      <c r="P85">
        <f>AVERAGEIFS(clean!Q$2:Q$998,clean!$B$2:$B$998,$A85,clean!$C$2:$C$998,$B85,clean!$D$2:$D$998,$C85,clean!$E$2:$E$998,$D85,clean!$F$2:$F$998,$E85)</f>
        <v>12310535566.666666</v>
      </c>
      <c r="Q85">
        <f>AVERAGEIFS(clean!R$2:R$998,clean!$B$2:$B$998,$A85,clean!$C$2:$C$998,$B85,clean!$D$2:$D$998,$C85,clean!$E$2:$E$998,$D85,clean!$F$2:$F$998,$E85)</f>
        <v>12310755133.333334</v>
      </c>
      <c r="R85">
        <f>AVERAGEIFS(clean!S$2:S$998,clean!$B$2:$B$998,$A85,clean!$C$2:$C$998,$B85,clean!$D$2:$D$998,$C85,clean!$E$2:$E$998,$D85,clean!$F$2:$F$998,$E85)</f>
        <v>2272166.6666666665</v>
      </c>
      <c r="S85">
        <f t="shared" si="2"/>
        <v>797122733.33333147</v>
      </c>
      <c r="T85">
        <f>AVERAGEIFS(clean!T$2:T$998,clean!$B$2:$B$998,$A85,clean!$C$2:$C$998,$B85,clean!$D$2:$D$998,$C85,clean!$E$2:$E$998,$D85,clean!$F$2:$F$998,$E85)</f>
        <v>76156266.666666672</v>
      </c>
      <c r="U85">
        <f>AVERAGEIFS(clean!U$2:U$998,clean!$B$2:$B$998,$A85,clean!$C$2:$C$998,$B85,clean!$D$2:$D$998,$C85,clean!$E$2:$E$998,$D85,clean!$F$2:$F$998,$E85)</f>
        <v>72766770233.333328</v>
      </c>
      <c r="V85">
        <f>AVERAGEIFS(clean!V$2:V$998,clean!$B$2:$B$998,$A85,clean!$C$2:$C$998,$B85,clean!$D$2:$D$998,$C85,clean!$E$2:$E$998,$D85,clean!$F$2:$F$998,$E85)</f>
        <v>94926396300</v>
      </c>
      <c r="W85">
        <f>AVERAGEIFS(clean!W$2:W$998,clean!$B$2:$B$998,$A85,clean!$C$2:$C$998,$B85,clean!$D$2:$D$998,$C85,clean!$E$2:$E$998,$D85,clean!$F$2:$F$998,$E85)</f>
        <v>914400</v>
      </c>
      <c r="X85">
        <f t="shared" si="3"/>
        <v>5645536400.0000153</v>
      </c>
      <c r="Y85">
        <f>AVERAGEIFS(clean!X$2:X$998,clean!$B$2:$B$998,$A85,clean!$C$2:$C$998,$B85,clean!$D$2:$D$998,$C85,clean!$E$2:$E$998,$D85,clean!$F$2:$F$998,$E85)</f>
        <v>32085534633.333332</v>
      </c>
    </row>
    <row r="86" spans="1:25" x14ac:dyDescent="0.3">
      <c r="A86">
        <v>262144</v>
      </c>
      <c r="B86">
        <v>3</v>
      </c>
      <c r="C86">
        <v>64</v>
      </c>
      <c r="D86">
        <v>0.2</v>
      </c>
      <c r="E86">
        <v>12</v>
      </c>
      <c r="F86">
        <f>AVERAGEIFS(clean!G$2:G$998,clean!$B$2:$B$998,$A86,clean!$C$2:$C$998,$B86,clean!$D$2:$D$998,$C86,clean!$E$2:$E$998,$D86,clean!$F$2:$F$998,$E86)</f>
        <v>8191</v>
      </c>
      <c r="G86">
        <f>AVERAGEIFS(clean!H$2:H$998,clean!$B$2:$B$998,$A86,clean!$C$2:$C$998,$B86,clean!$D$2:$D$998,$C86,clean!$E$2:$E$998,$D86,clean!$F$2:$F$998,$E86)</f>
        <v>2184828</v>
      </c>
      <c r="H86">
        <f>AVERAGEIFS(clean!I$2:I$998,clean!$B$2:$B$998,$A86,clean!$C$2:$C$998,$B86,clean!$D$2:$D$998,$C86,clean!$E$2:$E$998,$D86,clean!$F$2:$F$998,$E86)</f>
        <v>27107354466.666668</v>
      </c>
      <c r="I86">
        <f>AVERAGEIFS(clean!J$2:J$998,clean!$B$2:$B$998,$A86,clean!$C$2:$C$998,$B86,clean!$D$2:$D$998,$C86,clean!$E$2:$E$998,$D86,clean!$F$2:$F$998,$E86)</f>
        <v>173249305700</v>
      </c>
      <c r="J86">
        <f>AVERAGEIFS(clean!K$2:K$998,clean!$B$2:$B$998,$A86,clean!$C$2:$C$998,$B86,clean!$D$2:$D$998,$C86,clean!$E$2:$E$998,$D86,clean!$F$2:$F$998,$E86)</f>
        <v>6.3912625943255135</v>
      </c>
      <c r="K86">
        <f>AVERAGEIFS(clean!L$2:L$998,clean!$B$2:$B$998,$A86,clean!$C$2:$C$998,$B86,clean!$D$2:$D$998,$C86,clean!$E$2:$E$998,$D86,clean!$F$2:$F$998,$E86)</f>
        <v>376161100</v>
      </c>
      <c r="L86">
        <f>AVERAGEIFS(clean!M$2:M$998,clean!$B$2:$B$998,$A86,clean!$C$2:$C$998,$B86,clean!$D$2:$D$998,$C86,clean!$E$2:$E$998,$D86,clean!$F$2:$F$998,$E86)</f>
        <v>53013133.333333336</v>
      </c>
      <c r="M86">
        <f>AVERAGEIFS(clean!N$2:N$998,clean!$B$2:$B$998,$A86,clean!$C$2:$C$998,$B86,clean!$D$2:$D$998,$C86,clean!$E$2:$E$998,$D86,clean!$F$2:$F$998,$E86)</f>
        <v>8000428666.666667</v>
      </c>
      <c r="N86">
        <f>AVERAGEIFS(clean!O$2:O$998,clean!$B$2:$B$998,$A86,clean!$C$2:$C$998,$B86,clean!$D$2:$D$998,$C86,clean!$E$2:$E$998,$D86,clean!$F$2:$F$998,$E86)</f>
        <v>8053441800</v>
      </c>
      <c r="O86">
        <f>AVERAGEIFS(clean!P$2:P$998,clean!$B$2:$B$998,$A86,clean!$C$2:$C$998,$B86,clean!$D$2:$D$998,$C86,clean!$E$2:$E$998,$D86,clean!$F$2:$F$998,$E86)</f>
        <v>7909366.666666667</v>
      </c>
      <c r="P86">
        <f>AVERAGEIFS(clean!Q$2:Q$998,clean!$B$2:$B$998,$A86,clean!$C$2:$C$998,$B86,clean!$D$2:$D$998,$C86,clean!$E$2:$E$998,$D86,clean!$F$2:$F$998,$E86)</f>
        <v>18438664900</v>
      </c>
      <c r="Q86">
        <f>AVERAGEIFS(clean!R$2:R$998,clean!$B$2:$B$998,$A86,clean!$C$2:$C$998,$B86,clean!$D$2:$D$998,$C86,clean!$E$2:$E$998,$D86,clean!$F$2:$F$998,$E86)</f>
        <v>18446574266.666668</v>
      </c>
      <c r="R86">
        <f>AVERAGEIFS(clean!S$2:S$998,clean!$B$2:$B$998,$A86,clean!$C$2:$C$998,$B86,clean!$D$2:$D$998,$C86,clean!$E$2:$E$998,$D86,clean!$F$2:$F$998,$E86)</f>
        <v>2188800</v>
      </c>
      <c r="S86">
        <f t="shared" si="2"/>
        <v>228988500</v>
      </c>
      <c r="T86">
        <f>AVERAGEIFS(clean!T$2:T$998,clean!$B$2:$B$998,$A86,clean!$C$2:$C$998,$B86,clean!$D$2:$D$998,$C86,clean!$E$2:$E$998,$D86,clean!$F$2:$F$998,$E86)</f>
        <v>123472033.33333333</v>
      </c>
      <c r="U86">
        <f>AVERAGEIFS(clean!U$2:U$998,clean!$B$2:$B$998,$A86,clean!$C$2:$C$998,$B86,clean!$D$2:$D$998,$C86,clean!$E$2:$E$998,$D86,clean!$F$2:$F$998,$E86)</f>
        <v>41094953100</v>
      </c>
      <c r="V86">
        <f>AVERAGEIFS(clean!V$2:V$998,clean!$B$2:$B$998,$A86,clean!$C$2:$C$998,$B86,clean!$D$2:$D$998,$C86,clean!$E$2:$E$998,$D86,clean!$F$2:$F$998,$E86)</f>
        <v>130187479233.33333</v>
      </c>
      <c r="W86">
        <f>AVERAGEIFS(clean!W$2:W$998,clean!$B$2:$B$998,$A86,clean!$C$2:$C$998,$B86,clean!$D$2:$D$998,$C86,clean!$E$2:$E$998,$D86,clean!$F$2:$F$998,$E86)</f>
        <v>847800</v>
      </c>
      <c r="X86">
        <f t="shared" si="3"/>
        <v>1842553533.3333282</v>
      </c>
      <c r="Y86">
        <f>AVERAGEIFS(clean!X$2:X$998,clean!$B$2:$B$998,$A86,clean!$C$2:$C$998,$B86,clean!$D$2:$D$998,$C86,clean!$E$2:$E$998,$D86,clean!$F$2:$F$998,$E86)</f>
        <v>27107354466.666668</v>
      </c>
    </row>
    <row r="87" spans="1:25" x14ac:dyDescent="0.3">
      <c r="A87">
        <v>262144</v>
      </c>
      <c r="B87">
        <v>4</v>
      </c>
      <c r="C87">
        <v>125</v>
      </c>
      <c r="D87">
        <v>0.2</v>
      </c>
      <c r="E87">
        <v>12</v>
      </c>
      <c r="F87">
        <f>AVERAGEIFS(clean!G$2:G$998,clean!$B$2:$B$998,$A87,clean!$C$2:$C$998,$B87,clean!$D$2:$D$998,$C87,clean!$E$2:$E$998,$D87,clean!$F$2:$F$998,$E87)</f>
        <v>8191</v>
      </c>
      <c r="G87">
        <f>AVERAGEIFS(clean!H$2:H$998,clean!$B$2:$B$998,$A87,clean!$C$2:$C$998,$B87,clean!$D$2:$D$998,$C87,clean!$E$2:$E$998,$D87,clean!$F$2:$F$998,$E87)</f>
        <v>2185224</v>
      </c>
      <c r="H87">
        <f>AVERAGEIFS(clean!I$2:I$998,clean!$B$2:$B$998,$A87,clean!$C$2:$C$998,$B87,clean!$D$2:$D$998,$C87,clean!$E$2:$E$998,$D87,clean!$F$2:$F$998,$E87)</f>
        <v>46659979800</v>
      </c>
      <c r="I87">
        <f>AVERAGEIFS(clean!J$2:J$998,clean!$B$2:$B$998,$A87,clean!$C$2:$C$998,$B87,clean!$D$2:$D$998,$C87,clean!$E$2:$E$998,$D87,clean!$F$2:$F$998,$E87)</f>
        <v>285429887133.33331</v>
      </c>
      <c r="J87">
        <f>AVERAGEIFS(clean!K$2:K$998,clean!$B$2:$B$998,$A87,clean!$C$2:$C$998,$B87,clean!$D$2:$D$998,$C87,clean!$E$2:$E$998,$D87,clean!$F$2:$F$998,$E87)</f>
        <v>6.1173022109484165</v>
      </c>
      <c r="K87">
        <f>AVERAGEIFS(clean!L$2:L$998,clean!$B$2:$B$998,$A87,clean!$C$2:$C$998,$B87,clean!$D$2:$D$998,$C87,clean!$E$2:$E$998,$D87,clean!$F$2:$F$998,$E87)</f>
        <v>367592766.66666669</v>
      </c>
      <c r="L87">
        <f>AVERAGEIFS(clean!M$2:M$998,clean!$B$2:$B$998,$A87,clean!$C$2:$C$998,$B87,clean!$D$2:$D$998,$C87,clean!$E$2:$E$998,$D87,clean!$F$2:$F$998,$E87)</f>
        <v>535756633.33333331</v>
      </c>
      <c r="M87">
        <f>AVERAGEIFS(clean!N$2:N$998,clean!$B$2:$B$998,$A87,clean!$C$2:$C$998,$B87,clean!$D$2:$D$998,$C87,clean!$E$2:$E$998,$D87,clean!$F$2:$F$998,$E87)</f>
        <v>26332724400</v>
      </c>
      <c r="N87">
        <f>AVERAGEIFS(clean!O$2:O$998,clean!$B$2:$B$998,$A87,clean!$C$2:$C$998,$B87,clean!$D$2:$D$998,$C87,clean!$E$2:$E$998,$D87,clean!$F$2:$F$998,$E87)</f>
        <v>26868481033.333332</v>
      </c>
      <c r="O87">
        <f>AVERAGEIFS(clean!P$2:P$998,clean!$B$2:$B$998,$A87,clean!$C$2:$C$998,$B87,clean!$D$2:$D$998,$C87,clean!$E$2:$E$998,$D87,clean!$F$2:$F$998,$E87)</f>
        <v>7503366.666666667</v>
      </c>
      <c r="P87">
        <f>AVERAGEIFS(clean!Q$2:Q$998,clean!$B$2:$B$998,$A87,clean!$C$2:$C$998,$B87,clean!$D$2:$D$998,$C87,clean!$E$2:$E$998,$D87,clean!$F$2:$F$998,$E87)</f>
        <v>19092614300</v>
      </c>
      <c r="Q87">
        <f>AVERAGEIFS(clean!R$2:R$998,clean!$B$2:$B$998,$A87,clean!$C$2:$C$998,$B87,clean!$D$2:$D$998,$C87,clean!$E$2:$E$998,$D87,clean!$F$2:$F$998,$E87)</f>
        <v>19100117666.666668</v>
      </c>
      <c r="R87">
        <f>AVERAGEIFS(clean!S$2:S$998,clean!$B$2:$B$998,$A87,clean!$C$2:$C$998,$B87,clean!$D$2:$D$998,$C87,clean!$E$2:$E$998,$D87,clean!$F$2:$F$998,$E87)</f>
        <v>2388100</v>
      </c>
      <c r="S87">
        <f t="shared" si="2"/>
        <v>321400233.33333588</v>
      </c>
      <c r="T87">
        <f>AVERAGEIFS(clean!T$2:T$998,clean!$B$2:$B$998,$A87,clean!$C$2:$C$998,$B87,clean!$D$2:$D$998,$C87,clean!$E$2:$E$998,$D87,clean!$F$2:$F$998,$E87)</f>
        <v>423800066.66666669</v>
      </c>
      <c r="U87">
        <f>AVERAGEIFS(clean!U$2:U$998,clean!$B$2:$B$998,$A87,clean!$C$2:$C$998,$B87,clean!$D$2:$D$998,$C87,clean!$E$2:$E$998,$D87,clean!$F$2:$F$998,$E87)</f>
        <v>151803164233.33334</v>
      </c>
      <c r="V87">
        <f>AVERAGEIFS(clean!V$2:V$998,clean!$B$2:$B$998,$A87,clean!$C$2:$C$998,$B87,clean!$D$2:$D$998,$C87,clean!$E$2:$E$998,$D87,clean!$F$2:$F$998,$E87)</f>
        <v>129976566066.66667</v>
      </c>
      <c r="W87">
        <f>AVERAGEIFS(clean!W$2:W$998,clean!$B$2:$B$998,$A87,clean!$C$2:$C$998,$B87,clean!$D$2:$D$998,$C87,clean!$E$2:$E$998,$D87,clean!$F$2:$F$998,$E87)</f>
        <v>874933.33333333337</v>
      </c>
      <c r="X87">
        <f t="shared" si="3"/>
        <v>3225481833.3332772</v>
      </c>
      <c r="Y87">
        <f>AVERAGEIFS(clean!X$2:X$998,clean!$B$2:$B$998,$A87,clean!$C$2:$C$998,$B87,clean!$D$2:$D$998,$C87,clean!$E$2:$E$998,$D87,clean!$F$2:$F$998,$E87)</f>
        <v>46659979800</v>
      </c>
    </row>
    <row r="88" spans="1:25" x14ac:dyDescent="0.3">
      <c r="A88">
        <v>262144</v>
      </c>
      <c r="B88">
        <v>7</v>
      </c>
      <c r="C88">
        <v>512</v>
      </c>
      <c r="D88">
        <v>0.35</v>
      </c>
      <c r="E88">
        <v>9</v>
      </c>
      <c r="F88">
        <f>AVERAGEIFS(clean!G$2:G$998,clean!$B$2:$B$998,$A88,clean!$C$2:$C$998,$B88,clean!$D$2:$D$998,$C88,clean!$E$2:$E$998,$D88,clean!$F$2:$F$998,$E88)</f>
        <v>1023</v>
      </c>
      <c r="G88">
        <f>AVERAGEIFS(clean!H$2:H$998,clean!$B$2:$B$998,$A88,clean!$C$2:$C$998,$B88,clean!$D$2:$D$998,$C88,clean!$E$2:$E$998,$D88,clean!$F$2:$F$998,$E88)</f>
        <v>49661.333333333336</v>
      </c>
      <c r="H88">
        <f>AVERAGEIFS(clean!I$2:I$998,clean!$B$2:$B$998,$A88,clean!$C$2:$C$998,$B88,clean!$D$2:$D$998,$C88,clean!$E$2:$E$998,$D88,clean!$F$2:$F$998,$E88)</f>
        <v>40786512666.666664</v>
      </c>
      <c r="I88">
        <f>AVERAGEIFS(clean!J$2:J$998,clean!$B$2:$B$998,$A88,clean!$C$2:$C$998,$B88,clean!$D$2:$D$998,$C88,clean!$E$2:$E$998,$D88,clean!$F$2:$F$998,$E88)</f>
        <v>267703548200</v>
      </c>
      <c r="J88">
        <f>AVERAGEIFS(clean!K$2:K$998,clean!$B$2:$B$998,$A88,clean!$C$2:$C$998,$B88,clean!$D$2:$D$998,$C88,clean!$E$2:$E$998,$D88,clean!$F$2:$F$998,$E88)</f>
        <v>6.5636224806490091</v>
      </c>
      <c r="K88">
        <f>AVERAGEIFS(clean!L$2:L$998,clean!$B$2:$B$998,$A88,clean!$C$2:$C$998,$B88,clean!$D$2:$D$998,$C88,clean!$E$2:$E$998,$D88,clean!$F$2:$F$998,$E88)</f>
        <v>11656000</v>
      </c>
      <c r="L88">
        <f>AVERAGEIFS(clean!M$2:M$998,clean!$B$2:$B$998,$A88,clean!$C$2:$C$998,$B88,clean!$D$2:$D$998,$C88,clean!$E$2:$E$998,$D88,clean!$F$2:$F$998,$E88)</f>
        <v>4316327200</v>
      </c>
      <c r="M88">
        <f>AVERAGEIFS(clean!N$2:N$998,clean!$B$2:$B$998,$A88,clean!$C$2:$C$998,$B88,clean!$D$2:$D$998,$C88,clean!$E$2:$E$998,$D88,clean!$F$2:$F$998,$E88)</f>
        <v>9045806200</v>
      </c>
      <c r="N88">
        <f>AVERAGEIFS(clean!O$2:O$998,clean!$B$2:$B$998,$A88,clean!$C$2:$C$998,$B88,clean!$D$2:$D$998,$C88,clean!$E$2:$E$998,$D88,clean!$F$2:$F$998,$E88)</f>
        <v>13362133400</v>
      </c>
      <c r="O88">
        <f>AVERAGEIFS(clean!P$2:P$998,clean!$B$2:$B$998,$A88,clean!$C$2:$C$998,$B88,clean!$D$2:$D$998,$C88,clean!$E$2:$E$998,$D88,clean!$F$2:$F$998,$E88)</f>
        <v>176266.66666666666</v>
      </c>
      <c r="P88">
        <f>AVERAGEIFS(clean!Q$2:Q$998,clean!$B$2:$B$998,$A88,clean!$C$2:$C$998,$B88,clean!$D$2:$D$998,$C88,clean!$E$2:$E$998,$D88,clean!$F$2:$F$998,$E88)</f>
        <v>26608785033.333332</v>
      </c>
      <c r="Q88">
        <f>AVERAGEIFS(clean!R$2:R$998,clean!$B$2:$B$998,$A88,clean!$C$2:$C$998,$B88,clean!$D$2:$D$998,$C88,clean!$E$2:$E$998,$D88,clean!$F$2:$F$998,$E88)</f>
        <v>26608961300</v>
      </c>
      <c r="R88">
        <f>AVERAGEIFS(clean!S$2:S$998,clean!$B$2:$B$998,$A88,clean!$C$2:$C$998,$B88,clean!$D$2:$D$998,$C88,clean!$E$2:$E$998,$D88,clean!$F$2:$F$998,$E88)</f>
        <v>2256766.6666666665</v>
      </c>
      <c r="S88">
        <f t="shared" si="2"/>
        <v>801505199.9999975</v>
      </c>
      <c r="T88">
        <f>AVERAGEIFS(clean!T$2:T$998,clean!$B$2:$B$998,$A88,clean!$C$2:$C$998,$B88,clean!$D$2:$D$998,$C88,clean!$E$2:$E$998,$D88,clean!$F$2:$F$998,$E88)</f>
        <v>64338333.333333336</v>
      </c>
      <c r="U88">
        <f>AVERAGEIFS(clean!U$2:U$998,clean!$B$2:$B$998,$A88,clean!$C$2:$C$998,$B88,clean!$D$2:$D$998,$C88,clean!$E$2:$E$998,$D88,clean!$F$2:$F$998,$E88)</f>
        <v>48268617800</v>
      </c>
      <c r="V88">
        <f>AVERAGEIFS(clean!V$2:V$998,clean!$B$2:$B$998,$A88,clean!$C$2:$C$998,$B88,clean!$D$2:$D$998,$C88,clean!$E$2:$E$998,$D88,clean!$F$2:$F$998,$E88)</f>
        <v>212939641866.66666</v>
      </c>
      <c r="W88">
        <f>AVERAGEIFS(clean!W$2:W$998,clean!$B$2:$B$998,$A88,clean!$C$2:$C$998,$B88,clean!$D$2:$D$998,$C88,clean!$E$2:$E$998,$D88,clean!$F$2:$F$998,$E88)</f>
        <v>910100</v>
      </c>
      <c r="X88">
        <f t="shared" si="3"/>
        <v>6430040100</v>
      </c>
      <c r="Y88">
        <f>AVERAGEIFS(clean!X$2:X$998,clean!$B$2:$B$998,$A88,clean!$C$2:$C$998,$B88,clean!$D$2:$D$998,$C88,clean!$E$2:$E$998,$D88,clean!$F$2:$F$998,$E88)</f>
        <v>40786512666.666664</v>
      </c>
    </row>
    <row r="89" spans="1:25" x14ac:dyDescent="0.3">
      <c r="A89">
        <v>262144</v>
      </c>
      <c r="B89">
        <v>5</v>
      </c>
      <c r="C89">
        <v>216</v>
      </c>
      <c r="D89">
        <v>0.2</v>
      </c>
      <c r="E89">
        <v>11</v>
      </c>
      <c r="F89">
        <f>AVERAGEIFS(clean!G$2:G$998,clean!$B$2:$B$998,$A89,clean!$C$2:$C$998,$B89,clean!$D$2:$D$998,$C89,clean!$E$2:$E$998,$D89,clean!$F$2:$F$998,$E89)</f>
        <v>4095</v>
      </c>
      <c r="G89">
        <f>AVERAGEIFS(clean!H$2:H$998,clean!$B$2:$B$998,$A89,clean!$C$2:$C$998,$B89,clean!$D$2:$D$998,$C89,clean!$E$2:$E$998,$D89,clean!$F$2:$F$998,$E89)</f>
        <v>939801.33333333337</v>
      </c>
      <c r="H89">
        <f>AVERAGEIFS(clean!I$2:I$998,clean!$B$2:$B$998,$A89,clean!$C$2:$C$998,$B89,clean!$D$2:$D$998,$C89,clean!$E$2:$E$998,$D89,clean!$F$2:$F$998,$E89)</f>
        <v>64974061366.666664</v>
      </c>
      <c r="I89">
        <f>AVERAGEIFS(clean!J$2:J$998,clean!$B$2:$B$998,$A89,clean!$C$2:$C$998,$B89,clean!$D$2:$D$998,$C89,clean!$E$2:$E$998,$D89,clean!$F$2:$F$998,$E89)</f>
        <v>383511019233.33331</v>
      </c>
      <c r="J89">
        <f>AVERAGEIFS(clean!K$2:K$998,clean!$B$2:$B$998,$A89,clean!$C$2:$C$998,$B89,clean!$D$2:$D$998,$C89,clean!$E$2:$E$998,$D89,clean!$F$2:$F$998,$E89)</f>
        <v>5.9025976084385148</v>
      </c>
      <c r="K89">
        <f>AVERAGEIFS(clean!L$2:L$998,clean!$B$2:$B$998,$A89,clean!$C$2:$C$998,$B89,clean!$D$2:$D$998,$C89,clean!$E$2:$E$998,$D89,clean!$F$2:$F$998,$E89)</f>
        <v>142934433.33333334</v>
      </c>
      <c r="L89">
        <f>AVERAGEIFS(clean!M$2:M$998,clean!$B$2:$B$998,$A89,clean!$C$2:$C$998,$B89,clean!$D$2:$D$998,$C89,clean!$E$2:$E$998,$D89,clean!$F$2:$F$998,$E89)</f>
        <v>1608388300</v>
      </c>
      <c r="M89">
        <f>AVERAGEIFS(clean!N$2:N$998,clean!$B$2:$B$998,$A89,clean!$C$2:$C$998,$B89,clean!$D$2:$D$998,$C89,clean!$E$2:$E$998,$D89,clean!$F$2:$F$998,$E89)</f>
        <v>31227386200</v>
      </c>
      <c r="N89">
        <f>AVERAGEIFS(clean!O$2:O$998,clean!$B$2:$B$998,$A89,clean!$C$2:$C$998,$B89,clean!$D$2:$D$998,$C89,clean!$E$2:$E$998,$D89,clean!$F$2:$F$998,$E89)</f>
        <v>32835774500</v>
      </c>
      <c r="O89">
        <f>AVERAGEIFS(clean!P$2:P$998,clean!$B$2:$B$998,$A89,clean!$C$2:$C$998,$B89,clean!$D$2:$D$998,$C89,clean!$E$2:$E$998,$D89,clean!$F$2:$F$998,$E89)</f>
        <v>2567300</v>
      </c>
      <c r="P89">
        <f>AVERAGEIFS(clean!Q$2:Q$998,clean!$B$2:$B$998,$A89,clean!$C$2:$C$998,$B89,clean!$D$2:$D$998,$C89,clean!$E$2:$E$998,$D89,clean!$F$2:$F$998,$E89)</f>
        <v>31594382566.666668</v>
      </c>
      <c r="Q89">
        <f>AVERAGEIFS(clean!R$2:R$998,clean!$B$2:$B$998,$A89,clean!$C$2:$C$998,$B89,clean!$D$2:$D$998,$C89,clean!$E$2:$E$998,$D89,clean!$F$2:$F$998,$E89)</f>
        <v>31596949866.666668</v>
      </c>
      <c r="R89">
        <f>AVERAGEIFS(clean!S$2:S$998,clean!$B$2:$B$998,$A89,clean!$C$2:$C$998,$B89,clean!$D$2:$D$998,$C89,clean!$E$2:$E$998,$D89,clean!$F$2:$F$998,$E89)</f>
        <v>3488666.6666666665</v>
      </c>
      <c r="S89">
        <f t="shared" si="2"/>
        <v>394913899.99999362</v>
      </c>
      <c r="T89">
        <f>AVERAGEIFS(clean!T$2:T$998,clean!$B$2:$B$998,$A89,clean!$C$2:$C$998,$B89,clean!$D$2:$D$998,$C89,clean!$E$2:$E$998,$D89,clean!$F$2:$F$998,$E89)</f>
        <v>79617300</v>
      </c>
      <c r="U89">
        <f>AVERAGEIFS(clean!U$2:U$998,clean!$B$2:$B$998,$A89,clean!$C$2:$C$998,$B89,clean!$D$2:$D$998,$C89,clean!$E$2:$E$998,$D89,clean!$F$2:$F$998,$E89)</f>
        <v>148336678300</v>
      </c>
      <c r="V89">
        <f>AVERAGEIFS(clean!V$2:V$998,clean!$B$2:$B$998,$A89,clean!$C$2:$C$998,$B89,clean!$D$2:$D$998,$C89,clean!$E$2:$E$998,$D89,clean!$F$2:$F$998,$E89)</f>
        <v>230566940266.66666</v>
      </c>
      <c r="W89">
        <f>AVERAGEIFS(clean!W$2:W$998,clean!$B$2:$B$998,$A89,clean!$C$2:$C$998,$B89,clean!$D$2:$D$998,$C89,clean!$E$2:$E$998,$D89,clean!$F$2:$F$998,$E89)</f>
        <v>895566.66666666663</v>
      </c>
      <c r="X89">
        <f t="shared" si="3"/>
        <v>4526887799.9999895</v>
      </c>
      <c r="Y89">
        <f>AVERAGEIFS(clean!X$2:X$998,clean!$B$2:$B$998,$A89,clean!$C$2:$C$998,$B89,clean!$D$2:$D$998,$C89,clean!$E$2:$E$998,$D89,clean!$F$2:$F$998,$E89)</f>
        <v>64974061366.666664</v>
      </c>
    </row>
    <row r="90" spans="1:25" x14ac:dyDescent="0.3">
      <c r="A90">
        <v>262144</v>
      </c>
      <c r="B90">
        <v>6</v>
      </c>
      <c r="C90">
        <v>343</v>
      </c>
      <c r="D90">
        <v>0.2</v>
      </c>
      <c r="E90">
        <v>10</v>
      </c>
      <c r="F90">
        <f>AVERAGEIFS(clean!G$2:G$998,clean!$B$2:$B$998,$A90,clean!$C$2:$C$998,$B90,clean!$D$2:$D$998,$C90,clean!$E$2:$E$998,$D90,clean!$F$2:$F$998,$E90)</f>
        <v>2047</v>
      </c>
      <c r="G90">
        <f>AVERAGEIFS(clean!H$2:H$998,clean!$B$2:$B$998,$A90,clean!$C$2:$C$998,$B90,clean!$D$2:$D$998,$C90,clean!$E$2:$E$998,$D90,clean!$F$2:$F$998,$E90)</f>
        <v>335345.33333333331</v>
      </c>
      <c r="H90">
        <f>AVERAGEIFS(clean!I$2:I$998,clean!$B$2:$B$998,$A90,clean!$C$2:$C$998,$B90,clean!$D$2:$D$998,$C90,clean!$E$2:$E$998,$D90,clean!$F$2:$F$998,$E90)</f>
        <v>87298514966.666672</v>
      </c>
      <c r="I90">
        <f>AVERAGEIFS(clean!J$2:J$998,clean!$B$2:$B$998,$A90,clean!$C$2:$C$998,$B90,clean!$D$2:$D$998,$C90,clean!$E$2:$E$998,$D90,clean!$F$2:$F$998,$E90)</f>
        <v>530170751166.66669</v>
      </c>
      <c r="J90">
        <f>AVERAGEIFS(clean!K$2:K$998,clean!$B$2:$B$998,$A90,clean!$C$2:$C$998,$B90,clean!$D$2:$D$998,$C90,clean!$E$2:$E$998,$D90,clean!$F$2:$F$998,$E90)</f>
        <v>6.0730996108167767</v>
      </c>
      <c r="K90">
        <f>AVERAGEIFS(clean!L$2:L$998,clean!$B$2:$B$998,$A90,clean!$C$2:$C$998,$B90,clean!$D$2:$D$998,$C90,clean!$E$2:$E$998,$D90,clean!$F$2:$F$998,$E90)</f>
        <v>57505800</v>
      </c>
      <c r="L90">
        <f>AVERAGEIFS(clean!M$2:M$998,clean!$B$2:$B$998,$A90,clean!$C$2:$C$998,$B90,clean!$D$2:$D$998,$C90,clean!$E$2:$E$998,$D90,clean!$F$2:$F$998,$E90)</f>
        <v>3658141800</v>
      </c>
      <c r="M90">
        <f>AVERAGEIFS(clean!N$2:N$998,clean!$B$2:$B$998,$A90,clean!$C$2:$C$998,$B90,clean!$D$2:$D$998,$C90,clean!$E$2:$E$998,$D90,clean!$F$2:$F$998,$E90)</f>
        <v>37874484933.333336</v>
      </c>
      <c r="N90">
        <f>AVERAGEIFS(clean!O$2:O$998,clean!$B$2:$B$998,$A90,clean!$C$2:$C$998,$B90,clean!$D$2:$D$998,$C90,clean!$E$2:$E$998,$D90,clean!$F$2:$F$998,$E90)</f>
        <v>41532626733.333336</v>
      </c>
      <c r="O90">
        <f>AVERAGEIFS(clean!P$2:P$998,clean!$B$2:$B$998,$A90,clean!$C$2:$C$998,$B90,clean!$D$2:$D$998,$C90,clean!$E$2:$E$998,$D90,clean!$F$2:$F$998,$E90)</f>
        <v>959733.33333333337</v>
      </c>
      <c r="P90">
        <f>AVERAGEIFS(clean!Q$2:Q$998,clean!$B$2:$B$998,$A90,clean!$C$2:$C$998,$B90,clean!$D$2:$D$998,$C90,clean!$E$2:$E$998,$D90,clean!$F$2:$F$998,$E90)</f>
        <v>45222063300</v>
      </c>
      <c r="Q90">
        <f>AVERAGEIFS(clean!R$2:R$998,clean!$B$2:$B$998,$A90,clean!$C$2:$C$998,$B90,clean!$D$2:$D$998,$C90,clean!$E$2:$E$998,$D90,clean!$F$2:$F$998,$E90)</f>
        <v>45223023033.333336</v>
      </c>
      <c r="R90">
        <f>AVERAGEIFS(clean!S$2:S$998,clean!$B$2:$B$998,$A90,clean!$C$2:$C$998,$B90,clean!$D$2:$D$998,$C90,clean!$E$2:$E$998,$D90,clean!$F$2:$F$998,$E90)</f>
        <v>2273700</v>
      </c>
      <c r="S90">
        <f t="shared" si="2"/>
        <v>483085700</v>
      </c>
      <c r="T90">
        <f>AVERAGEIFS(clean!T$2:T$998,clean!$B$2:$B$998,$A90,clean!$C$2:$C$998,$B90,clean!$D$2:$D$998,$C90,clean!$E$2:$E$998,$D90,clean!$F$2:$F$998,$E90)</f>
        <v>73369033.333333328</v>
      </c>
      <c r="U90">
        <f>AVERAGEIFS(clean!U$2:U$998,clean!$B$2:$B$998,$A90,clean!$C$2:$C$998,$B90,clean!$D$2:$D$998,$C90,clean!$E$2:$E$998,$D90,clean!$F$2:$F$998,$E90)</f>
        <v>177780761066.66666</v>
      </c>
      <c r="V90">
        <f>AVERAGEIFS(clean!V$2:V$998,clean!$B$2:$B$998,$A90,clean!$C$2:$C$998,$B90,clean!$D$2:$D$998,$C90,clean!$E$2:$E$998,$D90,clean!$F$2:$F$998,$E90)</f>
        <v>346785610800</v>
      </c>
      <c r="W90">
        <f>AVERAGEIFS(clean!W$2:W$998,clean!$B$2:$B$998,$A90,clean!$C$2:$C$998,$B90,clean!$D$2:$D$998,$C90,clean!$E$2:$E$998,$D90,clean!$F$2:$F$998,$E90)</f>
        <v>873966.66666666663</v>
      </c>
      <c r="X90">
        <f t="shared" si="3"/>
        <v>5530136300.0000811</v>
      </c>
      <c r="Y90">
        <f>AVERAGEIFS(clean!X$2:X$998,clean!$B$2:$B$998,$A90,clean!$C$2:$C$998,$B90,clean!$D$2:$D$998,$C90,clean!$E$2:$E$998,$D90,clean!$F$2:$F$998,$E90)</f>
        <v>87298514966.666672</v>
      </c>
    </row>
    <row r="91" spans="1:25" x14ac:dyDescent="0.3">
      <c r="A91">
        <v>262144</v>
      </c>
      <c r="B91">
        <v>7</v>
      </c>
      <c r="C91">
        <v>512</v>
      </c>
      <c r="D91">
        <v>0.2</v>
      </c>
      <c r="E91">
        <v>9</v>
      </c>
      <c r="F91">
        <f>AVERAGEIFS(clean!G$2:G$998,clean!$B$2:$B$998,$A91,clean!$C$2:$C$998,$B91,clean!$D$2:$D$998,$C91,clean!$E$2:$E$998,$D91,clean!$F$2:$F$998,$E91)</f>
        <v>1023</v>
      </c>
      <c r="G91">
        <f>AVERAGEIFS(clean!H$2:H$998,clean!$B$2:$B$998,$A91,clean!$C$2:$C$998,$B91,clean!$D$2:$D$998,$C91,clean!$E$2:$E$998,$D91,clean!$F$2:$F$998,$E91)</f>
        <v>165002.66666666666</v>
      </c>
      <c r="H91">
        <f>AVERAGEIFS(clean!I$2:I$998,clean!$B$2:$B$998,$A91,clean!$C$2:$C$998,$B91,clean!$D$2:$D$998,$C91,clean!$E$2:$E$998,$D91,clean!$F$2:$F$998,$E91)</f>
        <v>108115478633.33333</v>
      </c>
      <c r="I91">
        <f>AVERAGEIFS(clean!J$2:J$998,clean!$B$2:$B$998,$A91,clean!$C$2:$C$998,$B91,clean!$D$2:$D$998,$C91,clean!$E$2:$E$998,$D91,clean!$F$2:$F$998,$E91)</f>
        <v>789040818633.33337</v>
      </c>
      <c r="J91">
        <f>AVERAGEIFS(clean!K$2:K$998,clean!$B$2:$B$998,$A91,clean!$C$2:$C$998,$B91,clean!$D$2:$D$998,$C91,clean!$E$2:$E$998,$D91,clean!$F$2:$F$998,$E91)</f>
        <v>7.2981417981398762</v>
      </c>
      <c r="K91">
        <f>AVERAGEIFS(clean!L$2:L$998,clean!$B$2:$B$998,$A91,clean!$C$2:$C$998,$B91,clean!$D$2:$D$998,$C91,clean!$E$2:$E$998,$D91,clean!$F$2:$F$998,$E91)</f>
        <v>20840233.333333332</v>
      </c>
      <c r="L91">
        <f>AVERAGEIFS(clean!M$2:M$998,clean!$B$2:$B$998,$A91,clean!$C$2:$C$998,$B91,clean!$D$2:$D$998,$C91,clean!$E$2:$E$998,$D91,clean!$F$2:$F$998,$E91)</f>
        <v>4330562066.666667</v>
      </c>
      <c r="M91">
        <f>AVERAGEIFS(clean!N$2:N$998,clean!$B$2:$B$998,$A91,clean!$C$2:$C$998,$B91,clean!$D$2:$D$998,$C91,clean!$E$2:$E$998,$D91,clean!$F$2:$F$998,$E91)</f>
        <v>13555697700</v>
      </c>
      <c r="N91">
        <f>AVERAGEIFS(clean!O$2:O$998,clean!$B$2:$B$998,$A91,clean!$C$2:$C$998,$B91,clean!$D$2:$D$998,$C91,clean!$E$2:$E$998,$D91,clean!$F$2:$F$998,$E91)</f>
        <v>17886259766.666668</v>
      </c>
      <c r="O91">
        <f>AVERAGEIFS(clean!P$2:P$998,clean!$B$2:$B$998,$A91,clean!$C$2:$C$998,$B91,clean!$D$2:$D$998,$C91,clean!$E$2:$E$998,$D91,clean!$F$2:$F$998,$E91)</f>
        <v>527466.66666666663</v>
      </c>
      <c r="P91">
        <f>AVERAGEIFS(clean!Q$2:Q$998,clean!$B$2:$B$998,$A91,clean!$C$2:$C$998,$B91,clean!$D$2:$D$998,$C91,clean!$E$2:$E$998,$D91,clean!$F$2:$F$998,$E91)</f>
        <v>89291286200</v>
      </c>
      <c r="Q91">
        <f>AVERAGEIFS(clean!R$2:R$998,clean!$B$2:$B$998,$A91,clean!$C$2:$C$998,$B91,clean!$D$2:$D$998,$C91,clean!$E$2:$E$998,$D91,clean!$F$2:$F$998,$E91)</f>
        <v>89291813666.666672</v>
      </c>
      <c r="R91">
        <f>AVERAGEIFS(clean!S$2:S$998,clean!$B$2:$B$998,$A91,clean!$C$2:$C$998,$B91,clean!$D$2:$D$998,$C91,clean!$E$2:$E$998,$D91,clean!$F$2:$F$998,$E91)</f>
        <v>2477900</v>
      </c>
      <c r="S91">
        <f t="shared" si="2"/>
        <v>914087066.66665649</v>
      </c>
      <c r="T91">
        <f>AVERAGEIFS(clean!T$2:T$998,clean!$B$2:$B$998,$A91,clean!$C$2:$C$998,$B91,clean!$D$2:$D$998,$C91,clean!$E$2:$E$998,$D91,clean!$F$2:$F$998,$E91)</f>
        <v>69267833.333333328</v>
      </c>
      <c r="U91">
        <f>AVERAGEIFS(clean!U$2:U$998,clean!$B$2:$B$998,$A91,clean!$C$2:$C$998,$B91,clean!$D$2:$D$998,$C91,clean!$E$2:$E$998,$D91,clean!$F$2:$F$998,$E91)</f>
        <v>71929015566.666672</v>
      </c>
      <c r="V91">
        <f>AVERAGEIFS(clean!V$2:V$998,clean!$B$2:$B$998,$A91,clean!$C$2:$C$998,$B91,clean!$D$2:$D$998,$C91,clean!$E$2:$E$998,$D91,clean!$F$2:$F$998,$E91)</f>
        <v>710557296400</v>
      </c>
      <c r="W91">
        <f>AVERAGEIFS(clean!W$2:W$998,clean!$B$2:$B$998,$A91,clean!$C$2:$C$998,$B91,clean!$D$2:$D$998,$C91,clean!$E$2:$E$998,$D91,clean!$F$2:$F$998,$E91)</f>
        <v>903266.66666666663</v>
      </c>
      <c r="X91">
        <f t="shared" si="3"/>
        <v>6484335566.666707</v>
      </c>
      <c r="Y91">
        <f>AVERAGEIFS(clean!X$2:X$998,clean!$B$2:$B$998,$A91,clean!$C$2:$C$998,$B91,clean!$D$2:$D$998,$C91,clean!$E$2:$E$998,$D91,clean!$F$2:$F$998,$E91)</f>
        <v>108115478633.33333</v>
      </c>
    </row>
    <row r="92" spans="1:25" x14ac:dyDescent="0.3">
      <c r="A92">
        <v>524288</v>
      </c>
      <c r="B92">
        <v>3</v>
      </c>
      <c r="C92">
        <v>64</v>
      </c>
      <c r="D92">
        <v>0.95</v>
      </c>
      <c r="E92">
        <v>13</v>
      </c>
      <c r="F92">
        <f>AVERAGEIFS(clean!G$2:G$998,clean!$B$2:$B$998,$A92,clean!$C$2:$C$998,$B92,clean!$D$2:$D$998,$C92,clean!$E$2:$E$998,$D92,clean!$F$2:$F$998,$E92)</f>
        <v>16383</v>
      </c>
      <c r="G92">
        <f>AVERAGEIFS(clean!H$2:H$998,clean!$B$2:$B$998,$A92,clean!$C$2:$C$998,$B92,clean!$D$2:$D$998,$C92,clean!$E$2:$E$998,$D92,clean!$F$2:$F$998,$E92)</f>
        <v>16398.666666666668</v>
      </c>
      <c r="H92">
        <f>AVERAGEIFS(clean!I$2:I$998,clean!$B$2:$B$998,$A92,clean!$C$2:$C$998,$B92,clean!$D$2:$D$998,$C92,clean!$E$2:$E$998,$D92,clean!$F$2:$F$998,$E92)</f>
        <v>1407393033.3333333</v>
      </c>
      <c r="I92">
        <f>AVERAGEIFS(clean!J$2:J$998,clean!$B$2:$B$998,$A92,clean!$C$2:$C$998,$B92,clean!$D$2:$D$998,$C92,clean!$E$2:$E$998,$D92,clean!$F$2:$F$998,$E92)</f>
        <v>5789837700</v>
      </c>
      <c r="J92">
        <f>AVERAGEIFS(clean!K$2:K$998,clean!$B$2:$B$998,$A92,clean!$C$2:$C$998,$B92,clean!$D$2:$D$998,$C92,clean!$E$2:$E$998,$D92,clean!$F$2:$F$998,$E92)</f>
        <v>4.1174906320641966</v>
      </c>
      <c r="K92">
        <f>AVERAGEIFS(clean!L$2:L$998,clean!$B$2:$B$998,$A92,clean!$C$2:$C$998,$B92,clean!$D$2:$D$998,$C92,clean!$E$2:$E$998,$D92,clean!$F$2:$F$998,$E92)</f>
        <v>7434633.333333333</v>
      </c>
      <c r="L92">
        <f>AVERAGEIFS(clean!M$2:M$998,clean!$B$2:$B$998,$A92,clean!$C$2:$C$998,$B92,clean!$D$2:$D$998,$C92,clean!$E$2:$E$998,$D92,clean!$F$2:$F$998,$E92)</f>
        <v>642472666.66666663</v>
      </c>
      <c r="M92">
        <f>AVERAGEIFS(clean!N$2:N$998,clean!$B$2:$B$998,$A92,clean!$C$2:$C$998,$B92,clean!$D$2:$D$998,$C92,clean!$E$2:$E$998,$D92,clean!$F$2:$F$998,$E92)</f>
        <v>309963200</v>
      </c>
      <c r="N92">
        <f>AVERAGEIFS(clean!O$2:O$998,clean!$B$2:$B$998,$A92,clean!$C$2:$C$998,$B92,clean!$D$2:$D$998,$C92,clean!$E$2:$E$998,$D92,clean!$F$2:$F$998,$E92)</f>
        <v>952435866.66666663</v>
      </c>
      <c r="O92">
        <f>AVERAGEIFS(clean!P$2:P$998,clean!$B$2:$B$998,$A92,clean!$C$2:$C$998,$B92,clean!$D$2:$D$998,$C92,clean!$E$2:$E$998,$D92,clean!$F$2:$F$998,$E92)</f>
        <v>78900</v>
      </c>
      <c r="P92">
        <f>AVERAGEIFS(clean!Q$2:Q$998,clean!$B$2:$B$998,$A92,clean!$C$2:$C$998,$B92,clean!$D$2:$D$998,$C92,clean!$E$2:$E$998,$D92,clean!$F$2:$F$998,$E92)</f>
        <v>153814166.66666666</v>
      </c>
      <c r="Q92">
        <f>AVERAGEIFS(clean!R$2:R$998,clean!$B$2:$B$998,$A92,clean!$C$2:$C$998,$B92,clean!$D$2:$D$998,$C92,clean!$E$2:$E$998,$D92,clean!$F$2:$F$998,$E92)</f>
        <v>153893066.66666666</v>
      </c>
      <c r="R92">
        <f>AVERAGEIFS(clean!S$2:S$998,clean!$B$2:$B$998,$A92,clean!$C$2:$C$998,$B92,clean!$D$2:$D$998,$C92,clean!$E$2:$E$998,$D92,clean!$F$2:$F$998,$E92)</f>
        <v>4136366.6666666665</v>
      </c>
      <c r="S92">
        <f t="shared" si="2"/>
        <v>289493100.00000006</v>
      </c>
      <c r="T92">
        <f>AVERAGEIFS(clean!T$2:T$998,clean!$B$2:$B$998,$A92,clean!$C$2:$C$998,$B92,clean!$D$2:$D$998,$C92,clean!$E$2:$E$998,$D92,clean!$F$2:$F$998,$E92)</f>
        <v>192903066.66666666</v>
      </c>
      <c r="U92">
        <f>AVERAGEIFS(clean!U$2:U$998,clean!$B$2:$B$998,$A92,clean!$C$2:$C$998,$B92,clean!$D$2:$D$998,$C92,clean!$E$2:$E$998,$D92,clean!$F$2:$F$998,$E92)</f>
        <v>1598450000</v>
      </c>
      <c r="V92">
        <f>AVERAGEIFS(clean!V$2:V$998,clean!$B$2:$B$998,$A92,clean!$C$2:$C$998,$B92,clean!$D$2:$D$998,$C92,clean!$E$2:$E$998,$D92,clean!$F$2:$F$998,$E92)</f>
        <v>1027408300</v>
      </c>
      <c r="W92">
        <f>AVERAGEIFS(clean!W$2:W$998,clean!$B$2:$B$998,$A92,clean!$C$2:$C$998,$B92,clean!$D$2:$D$998,$C92,clean!$E$2:$E$998,$D92,clean!$F$2:$F$998,$E92)</f>
        <v>1851100</v>
      </c>
      <c r="X92">
        <f t="shared" si="3"/>
        <v>2969225233.333333</v>
      </c>
      <c r="Y92">
        <f>AVERAGEIFS(clean!X$2:X$998,clean!$B$2:$B$998,$A92,clean!$C$2:$C$998,$B92,clean!$D$2:$D$998,$C92,clean!$E$2:$E$998,$D92,clean!$F$2:$F$998,$E92)</f>
        <v>1407393033.3333333</v>
      </c>
    </row>
    <row r="93" spans="1:25" x14ac:dyDescent="0.3">
      <c r="A93">
        <v>524288</v>
      </c>
      <c r="B93">
        <v>4</v>
      </c>
      <c r="C93">
        <v>125</v>
      </c>
      <c r="D93">
        <v>0.95</v>
      </c>
      <c r="E93">
        <v>13</v>
      </c>
      <c r="F93">
        <f>AVERAGEIFS(clean!G$2:G$998,clean!$B$2:$B$998,$A93,clean!$C$2:$C$998,$B93,clean!$D$2:$D$998,$C93,clean!$E$2:$E$998,$D93,clean!$F$2:$F$998,$E93)</f>
        <v>16383</v>
      </c>
      <c r="G93">
        <f>AVERAGEIFS(clean!H$2:H$998,clean!$B$2:$B$998,$A93,clean!$C$2:$C$998,$B93,clean!$D$2:$D$998,$C93,clean!$E$2:$E$998,$D93,clean!$F$2:$F$998,$E93)</f>
        <v>16400</v>
      </c>
      <c r="H93">
        <f>AVERAGEIFS(clean!I$2:I$998,clean!$B$2:$B$998,$A93,clean!$C$2:$C$998,$B93,clean!$D$2:$D$998,$C93,clean!$E$2:$E$998,$D93,clean!$F$2:$F$998,$E93)</f>
        <v>3502308166.6666665</v>
      </c>
      <c r="I93">
        <f>AVERAGEIFS(clean!J$2:J$998,clean!$B$2:$B$998,$A93,clean!$C$2:$C$998,$B93,clean!$D$2:$D$998,$C93,clean!$E$2:$E$998,$D93,clean!$F$2:$F$998,$E93)</f>
        <v>13498594600</v>
      </c>
      <c r="J93">
        <f>AVERAGEIFS(clean!K$2:K$998,clean!$B$2:$B$998,$A93,clean!$C$2:$C$998,$B93,clean!$D$2:$D$998,$C93,clean!$E$2:$E$998,$D93,clean!$F$2:$F$998,$E93)</f>
        <v>3.8541781376045634</v>
      </c>
      <c r="K93">
        <f>AVERAGEIFS(clean!L$2:L$998,clean!$B$2:$B$998,$A93,clean!$C$2:$C$998,$B93,clean!$D$2:$D$998,$C93,clean!$E$2:$E$998,$D93,clean!$F$2:$F$998,$E93)</f>
        <v>5268100</v>
      </c>
      <c r="L93">
        <f>AVERAGEIFS(clean!M$2:M$998,clean!$B$2:$B$998,$A93,clean!$C$2:$C$998,$B93,clean!$D$2:$D$998,$C93,clean!$E$2:$E$998,$D93,clean!$F$2:$F$998,$E93)</f>
        <v>1538880600</v>
      </c>
      <c r="M93">
        <f>AVERAGEIFS(clean!N$2:N$998,clean!$B$2:$B$998,$A93,clean!$C$2:$C$998,$B93,clean!$D$2:$D$998,$C93,clean!$E$2:$E$998,$D93,clean!$F$2:$F$998,$E93)</f>
        <v>1018991866.6666666</v>
      </c>
      <c r="N93">
        <f>AVERAGEIFS(clean!O$2:O$998,clean!$B$2:$B$998,$A93,clean!$C$2:$C$998,$B93,clean!$D$2:$D$998,$C93,clean!$E$2:$E$998,$D93,clean!$F$2:$F$998,$E93)</f>
        <v>2557872466.6666665</v>
      </c>
      <c r="O93">
        <f>AVERAGEIFS(clean!P$2:P$998,clean!$B$2:$B$998,$A93,clean!$C$2:$C$998,$B93,clean!$D$2:$D$998,$C93,clean!$E$2:$E$998,$D93,clean!$F$2:$F$998,$E93)</f>
        <v>90266.666666666672</v>
      </c>
      <c r="P93">
        <f>AVERAGEIFS(clean!Q$2:Q$998,clean!$B$2:$B$998,$A93,clean!$C$2:$C$998,$B93,clean!$D$2:$D$998,$C93,clean!$E$2:$E$998,$D93,clean!$F$2:$F$998,$E93)</f>
        <v>154032433.33333334</v>
      </c>
      <c r="Q93">
        <f>AVERAGEIFS(clean!R$2:R$998,clean!$B$2:$B$998,$A93,clean!$C$2:$C$998,$B93,clean!$D$2:$D$998,$C93,clean!$E$2:$E$998,$D93,clean!$F$2:$F$998,$E93)</f>
        <v>154122700</v>
      </c>
      <c r="R93">
        <f>AVERAGEIFS(clean!S$2:S$998,clean!$B$2:$B$998,$A93,clean!$C$2:$C$998,$B93,clean!$D$2:$D$998,$C93,clean!$E$2:$E$998,$D93,clean!$F$2:$F$998,$E93)</f>
        <v>4122800</v>
      </c>
      <c r="S93">
        <f t="shared" si="2"/>
        <v>780922100</v>
      </c>
      <c r="T93">
        <f>AVERAGEIFS(clean!T$2:T$998,clean!$B$2:$B$998,$A93,clean!$C$2:$C$998,$B93,clean!$D$2:$D$998,$C93,clean!$E$2:$E$998,$D93,clean!$F$2:$F$998,$E93)</f>
        <v>249360700</v>
      </c>
      <c r="U93">
        <f>AVERAGEIFS(clean!U$2:U$998,clean!$B$2:$B$998,$A93,clean!$C$2:$C$998,$B93,clean!$D$2:$D$998,$C93,clean!$E$2:$E$998,$D93,clean!$F$2:$F$998,$E93)</f>
        <v>5859549766.666667</v>
      </c>
      <c r="V93">
        <f>AVERAGEIFS(clean!V$2:V$998,clean!$B$2:$B$998,$A93,clean!$C$2:$C$998,$B93,clean!$D$2:$D$998,$C93,clean!$E$2:$E$998,$D93,clean!$F$2:$F$998,$E93)</f>
        <v>1017498433.3333334</v>
      </c>
      <c r="W93">
        <f>AVERAGEIFS(clean!W$2:W$998,clean!$B$2:$B$998,$A93,clean!$C$2:$C$998,$B93,clean!$D$2:$D$998,$C93,clean!$E$2:$E$998,$D93,clean!$F$2:$F$998,$E93)</f>
        <v>1839433.3333333333</v>
      </c>
      <c r="X93">
        <f t="shared" si="3"/>
        <v>6370346266.666667</v>
      </c>
      <c r="Y93">
        <f>AVERAGEIFS(clean!X$2:X$998,clean!$B$2:$B$998,$A93,clean!$C$2:$C$998,$B93,clean!$D$2:$D$998,$C93,clean!$E$2:$E$998,$D93,clean!$F$2:$F$998,$E93)</f>
        <v>3502308166.6666665</v>
      </c>
    </row>
    <row r="94" spans="1:25" x14ac:dyDescent="0.3">
      <c r="A94">
        <v>524288</v>
      </c>
      <c r="B94">
        <v>3</v>
      </c>
      <c r="C94">
        <v>64</v>
      </c>
      <c r="D94">
        <v>0.8</v>
      </c>
      <c r="E94">
        <v>13</v>
      </c>
      <c r="F94">
        <f>AVERAGEIFS(clean!G$2:G$998,clean!$B$2:$B$998,$A94,clean!$C$2:$C$998,$B94,clean!$D$2:$D$998,$C94,clean!$E$2:$E$998,$D94,clean!$F$2:$F$998,$E94)</f>
        <v>16383</v>
      </c>
      <c r="G94">
        <f>AVERAGEIFS(clean!H$2:H$998,clean!$B$2:$B$998,$A94,clean!$C$2:$C$998,$B94,clean!$D$2:$D$998,$C94,clean!$E$2:$E$998,$D94,clean!$F$2:$F$998,$E94)</f>
        <v>54798.666666666664</v>
      </c>
      <c r="H94">
        <f>AVERAGEIFS(clean!I$2:I$998,clean!$B$2:$B$998,$A94,clean!$C$2:$C$998,$B94,clean!$D$2:$D$998,$C94,clean!$E$2:$E$998,$D94,clean!$F$2:$F$998,$E94)</f>
        <v>2516766966.6666665</v>
      </c>
      <c r="I94">
        <f>AVERAGEIFS(clean!J$2:J$998,clean!$B$2:$B$998,$A94,clean!$C$2:$C$998,$B94,clean!$D$2:$D$998,$C94,clean!$E$2:$E$998,$D94,clean!$F$2:$F$998,$E94)</f>
        <v>9091529466.666666</v>
      </c>
      <c r="J94">
        <f>AVERAGEIFS(clean!K$2:K$998,clean!$B$2:$B$998,$A94,clean!$C$2:$C$998,$B94,clean!$D$2:$D$998,$C94,clean!$E$2:$E$998,$D94,clean!$F$2:$F$998,$E94)</f>
        <v>3.6218139212510834</v>
      </c>
      <c r="K94">
        <f>AVERAGEIFS(clean!L$2:L$998,clean!$B$2:$B$998,$A94,clean!$C$2:$C$998,$B94,clean!$D$2:$D$998,$C94,clean!$E$2:$E$998,$D94,clean!$F$2:$F$998,$E94)</f>
        <v>14900166.666666666</v>
      </c>
      <c r="L94">
        <f>AVERAGEIFS(clean!M$2:M$998,clean!$B$2:$B$998,$A94,clean!$C$2:$C$998,$B94,clean!$D$2:$D$998,$C94,clean!$E$2:$E$998,$D94,clean!$F$2:$F$998,$E94)</f>
        <v>598636933.33333337</v>
      </c>
      <c r="M94">
        <f>AVERAGEIFS(clean!N$2:N$998,clean!$B$2:$B$998,$A94,clean!$C$2:$C$998,$B94,clean!$D$2:$D$998,$C94,clean!$E$2:$E$998,$D94,clean!$F$2:$F$998,$E94)</f>
        <v>518152733.33333331</v>
      </c>
      <c r="N94">
        <f>AVERAGEIFS(clean!O$2:O$998,clean!$B$2:$B$998,$A94,clean!$C$2:$C$998,$B94,clean!$D$2:$D$998,$C94,clean!$E$2:$E$998,$D94,clean!$F$2:$F$998,$E94)</f>
        <v>1116789666.6666667</v>
      </c>
      <c r="O94">
        <f>AVERAGEIFS(clean!P$2:P$998,clean!$B$2:$B$998,$A94,clean!$C$2:$C$998,$B94,clean!$D$2:$D$998,$C94,clean!$E$2:$E$998,$D94,clean!$F$2:$F$998,$E94)</f>
        <v>136633.33333333334</v>
      </c>
      <c r="P94">
        <f>AVERAGEIFS(clean!Q$2:Q$998,clean!$B$2:$B$998,$A94,clean!$C$2:$C$998,$B94,clean!$D$2:$D$998,$C94,clean!$E$2:$E$998,$D94,clean!$F$2:$F$998,$E94)</f>
        <v>475381466.66666669</v>
      </c>
      <c r="Q94">
        <f>AVERAGEIFS(clean!R$2:R$998,clean!$B$2:$B$998,$A94,clean!$C$2:$C$998,$B94,clean!$D$2:$D$998,$C94,clean!$E$2:$E$998,$D94,clean!$F$2:$F$998,$E94)</f>
        <v>475518100</v>
      </c>
      <c r="R94">
        <f>AVERAGEIFS(clean!S$2:S$998,clean!$B$2:$B$998,$A94,clean!$C$2:$C$998,$B94,clean!$D$2:$D$998,$C94,clean!$E$2:$E$998,$D94,clean!$F$2:$F$998,$E94)</f>
        <v>4417000</v>
      </c>
      <c r="S94">
        <f t="shared" si="2"/>
        <v>905142033.33333325</v>
      </c>
      <c r="T94">
        <f>AVERAGEIFS(clean!T$2:T$998,clean!$B$2:$B$998,$A94,clean!$C$2:$C$998,$B94,clean!$D$2:$D$998,$C94,clean!$E$2:$E$998,$D94,clean!$F$2:$F$998,$E94)</f>
        <v>198124066.66666666</v>
      </c>
      <c r="U94">
        <f>AVERAGEIFS(clean!U$2:U$998,clean!$B$2:$B$998,$A94,clean!$C$2:$C$998,$B94,clean!$D$2:$D$998,$C94,clean!$E$2:$E$998,$D94,clean!$F$2:$F$998,$E94)</f>
        <v>2650898066.6666665</v>
      </c>
      <c r="V94">
        <f>AVERAGEIFS(clean!V$2:V$998,clean!$B$2:$B$998,$A94,clean!$C$2:$C$998,$B94,clean!$D$2:$D$998,$C94,clean!$E$2:$E$998,$D94,clean!$F$2:$F$998,$E94)</f>
        <v>3311677866.6666665</v>
      </c>
      <c r="W94">
        <f>AVERAGEIFS(clean!W$2:W$998,clean!$B$2:$B$998,$A94,clean!$C$2:$C$998,$B94,clean!$D$2:$D$998,$C94,clean!$E$2:$E$998,$D94,clean!$F$2:$F$998,$E94)</f>
        <v>1850666.6666666667</v>
      </c>
      <c r="X94">
        <f t="shared" si="3"/>
        <v>2928978800.000001</v>
      </c>
      <c r="Y94">
        <f>AVERAGEIFS(clean!X$2:X$998,clean!$B$2:$B$998,$A94,clean!$C$2:$C$998,$B94,clean!$D$2:$D$998,$C94,clean!$E$2:$E$998,$D94,clean!$F$2:$F$998,$E94)</f>
        <v>2516766966.6666665</v>
      </c>
    </row>
    <row r="95" spans="1:25" x14ac:dyDescent="0.3">
      <c r="A95">
        <v>524288</v>
      </c>
      <c r="B95">
        <v>4</v>
      </c>
      <c r="C95">
        <v>125</v>
      </c>
      <c r="D95">
        <v>0.8</v>
      </c>
      <c r="E95">
        <v>13</v>
      </c>
      <c r="F95">
        <f>AVERAGEIFS(clean!G$2:G$998,clean!$B$2:$B$998,$A95,clean!$C$2:$C$998,$B95,clean!$D$2:$D$998,$C95,clean!$E$2:$E$998,$D95,clean!$F$2:$F$998,$E95)</f>
        <v>16383</v>
      </c>
      <c r="G95">
        <f>AVERAGEIFS(clean!H$2:H$998,clean!$B$2:$B$998,$A95,clean!$C$2:$C$998,$B95,clean!$D$2:$D$998,$C95,clean!$E$2:$E$998,$D95,clean!$F$2:$F$998,$E95)</f>
        <v>55018.666666666664</v>
      </c>
      <c r="H95">
        <f>AVERAGEIFS(clean!I$2:I$998,clean!$B$2:$B$998,$A95,clean!$C$2:$C$998,$B95,clean!$D$2:$D$998,$C95,clean!$E$2:$E$998,$D95,clean!$F$2:$F$998,$E95)</f>
        <v>4531425433.333333</v>
      </c>
      <c r="I95">
        <f>AVERAGEIFS(clean!J$2:J$998,clean!$B$2:$B$998,$A95,clean!$C$2:$C$998,$B95,clean!$D$2:$D$998,$C95,clean!$E$2:$E$998,$D95,clean!$F$2:$F$998,$E95)</f>
        <v>20240340933.333332</v>
      </c>
      <c r="J95">
        <f>AVERAGEIFS(clean!K$2:K$998,clean!$B$2:$B$998,$A95,clean!$C$2:$C$998,$B95,clean!$D$2:$D$998,$C95,clean!$E$2:$E$998,$D95,clean!$F$2:$F$998,$E95)</f>
        <v>4.4666617872441732</v>
      </c>
      <c r="K95">
        <f>AVERAGEIFS(clean!L$2:L$998,clean!$B$2:$B$998,$A95,clean!$C$2:$C$998,$B95,clean!$D$2:$D$998,$C95,clean!$E$2:$E$998,$D95,clean!$F$2:$F$998,$E95)</f>
        <v>13292566.666666666</v>
      </c>
      <c r="L95">
        <f>AVERAGEIFS(clean!M$2:M$998,clean!$B$2:$B$998,$A95,clean!$C$2:$C$998,$B95,clean!$D$2:$D$998,$C95,clean!$E$2:$E$998,$D95,clean!$F$2:$F$998,$E95)</f>
        <v>1531753133.3333333</v>
      </c>
      <c r="M95">
        <f>AVERAGEIFS(clean!N$2:N$998,clean!$B$2:$B$998,$A95,clean!$C$2:$C$998,$B95,clean!$D$2:$D$998,$C95,clean!$E$2:$E$998,$D95,clean!$F$2:$F$998,$E95)</f>
        <v>1713619833.3333333</v>
      </c>
      <c r="N95">
        <f>AVERAGEIFS(clean!O$2:O$998,clean!$B$2:$B$998,$A95,clean!$C$2:$C$998,$B95,clean!$D$2:$D$998,$C95,clean!$E$2:$E$998,$D95,clean!$F$2:$F$998,$E95)</f>
        <v>3245372966.6666665</v>
      </c>
      <c r="O95">
        <f>AVERAGEIFS(clean!P$2:P$998,clean!$B$2:$B$998,$A95,clean!$C$2:$C$998,$B95,clean!$D$2:$D$998,$C95,clean!$E$2:$E$998,$D95,clean!$F$2:$F$998,$E95)</f>
        <v>146466.66666666666</v>
      </c>
      <c r="P95">
        <f>AVERAGEIFS(clean!Q$2:Q$998,clean!$B$2:$B$998,$A95,clean!$C$2:$C$998,$B95,clean!$D$2:$D$998,$C95,clean!$E$2:$E$998,$D95,clean!$F$2:$F$998,$E95)</f>
        <v>490877300</v>
      </c>
      <c r="Q95">
        <f>AVERAGEIFS(clean!R$2:R$998,clean!$B$2:$B$998,$A95,clean!$C$2:$C$998,$B95,clean!$D$2:$D$998,$C95,clean!$E$2:$E$998,$D95,clean!$F$2:$F$998,$E95)</f>
        <v>491023766.66666669</v>
      </c>
      <c r="R95">
        <f>AVERAGEIFS(clean!S$2:S$998,clean!$B$2:$B$998,$A95,clean!$C$2:$C$998,$B95,clean!$D$2:$D$998,$C95,clean!$E$2:$E$998,$D95,clean!$F$2:$F$998,$E95)</f>
        <v>4170666.6666666665</v>
      </c>
      <c r="S95">
        <f t="shared" si="2"/>
        <v>777565466.66666615</v>
      </c>
      <c r="T95">
        <f>AVERAGEIFS(clean!T$2:T$998,clean!$B$2:$B$998,$A95,clean!$C$2:$C$998,$B95,clean!$D$2:$D$998,$C95,clean!$E$2:$E$998,$D95,clean!$F$2:$F$998,$E95)</f>
        <v>539721400</v>
      </c>
      <c r="U95">
        <f>AVERAGEIFS(clean!U$2:U$998,clean!$B$2:$B$998,$A95,clean!$C$2:$C$998,$B95,clean!$D$2:$D$998,$C95,clean!$E$2:$E$998,$D95,clean!$F$2:$F$998,$E95)</f>
        <v>9969534500</v>
      </c>
      <c r="V95">
        <f>AVERAGEIFS(clean!V$2:V$998,clean!$B$2:$B$998,$A95,clean!$C$2:$C$998,$B95,clean!$D$2:$D$998,$C95,clean!$E$2:$E$998,$D95,clean!$F$2:$F$998,$E95)</f>
        <v>3318343633.3333335</v>
      </c>
      <c r="W95">
        <f>AVERAGEIFS(clean!W$2:W$998,clean!$B$2:$B$998,$A95,clean!$C$2:$C$998,$B95,clean!$D$2:$D$998,$C95,clean!$E$2:$E$998,$D95,clean!$F$2:$F$998,$E95)</f>
        <v>1903100</v>
      </c>
      <c r="X95">
        <f t="shared" si="3"/>
        <v>6410838299.9999981</v>
      </c>
      <c r="Y95">
        <f>AVERAGEIFS(clean!X$2:X$998,clean!$B$2:$B$998,$A95,clean!$C$2:$C$998,$B95,clean!$D$2:$D$998,$C95,clean!$E$2:$E$998,$D95,clean!$F$2:$F$998,$E95)</f>
        <v>4531425433.333333</v>
      </c>
    </row>
    <row r="96" spans="1:25" x14ac:dyDescent="0.3">
      <c r="A96">
        <v>524288</v>
      </c>
      <c r="B96">
        <v>5</v>
      </c>
      <c r="C96">
        <v>216</v>
      </c>
      <c r="D96">
        <v>0.95</v>
      </c>
      <c r="E96">
        <v>12</v>
      </c>
      <c r="F96">
        <f>AVERAGEIFS(clean!G$2:G$998,clean!$B$2:$B$998,$A96,clean!$C$2:$C$998,$B96,clean!$D$2:$D$998,$C96,clean!$E$2:$E$998,$D96,clean!$F$2:$F$998,$E96)</f>
        <v>8191</v>
      </c>
      <c r="G96">
        <f>AVERAGEIFS(clean!H$2:H$998,clean!$B$2:$B$998,$A96,clean!$C$2:$C$998,$B96,clean!$D$2:$D$998,$C96,clean!$E$2:$E$998,$D96,clean!$F$2:$F$998,$E96)</f>
        <v>24568</v>
      </c>
      <c r="H96">
        <f>AVERAGEIFS(clean!I$2:I$998,clean!$B$2:$B$998,$A96,clean!$C$2:$C$998,$B96,clean!$D$2:$D$998,$C96,clean!$E$2:$E$998,$D96,clean!$F$2:$F$998,$E96)</f>
        <v>5548501433.333333</v>
      </c>
      <c r="I96">
        <f>AVERAGEIFS(clean!J$2:J$998,clean!$B$2:$B$998,$A96,clean!$C$2:$C$998,$B96,clean!$D$2:$D$998,$C96,clean!$E$2:$E$998,$D96,clean!$F$2:$F$998,$E96)</f>
        <v>18558100133.333332</v>
      </c>
      <c r="J96">
        <f>AVERAGEIFS(clean!K$2:K$998,clean!$B$2:$B$998,$A96,clean!$C$2:$C$998,$B96,clean!$D$2:$D$998,$C96,clean!$E$2:$E$998,$D96,clean!$F$2:$F$998,$E96)</f>
        <v>3.3447685541599732</v>
      </c>
      <c r="K96">
        <f>AVERAGEIFS(clean!L$2:L$998,clean!$B$2:$B$998,$A96,clean!$C$2:$C$998,$B96,clean!$D$2:$D$998,$C96,clean!$E$2:$E$998,$D96,clean!$F$2:$F$998,$E96)</f>
        <v>3155100</v>
      </c>
      <c r="L96">
        <f>AVERAGEIFS(clean!M$2:M$998,clean!$B$2:$B$998,$A96,clean!$C$2:$C$998,$B96,clean!$D$2:$D$998,$C96,clean!$E$2:$E$998,$D96,clean!$F$2:$F$998,$E96)</f>
        <v>3019876566.6666665</v>
      </c>
      <c r="M96">
        <f>AVERAGEIFS(clean!N$2:N$998,clean!$B$2:$B$998,$A96,clean!$C$2:$C$998,$B96,clean!$D$2:$D$998,$C96,clean!$E$2:$E$998,$D96,clean!$F$2:$F$998,$E96)</f>
        <v>760920033.33333337</v>
      </c>
      <c r="N96">
        <f>AVERAGEIFS(clean!O$2:O$998,clean!$B$2:$B$998,$A96,clean!$C$2:$C$998,$B96,clean!$D$2:$D$998,$C96,clean!$E$2:$E$998,$D96,clean!$F$2:$F$998,$E96)</f>
        <v>3780796600</v>
      </c>
      <c r="O96">
        <f>AVERAGEIFS(clean!P$2:P$998,clean!$B$2:$B$998,$A96,clean!$C$2:$C$998,$B96,clean!$D$2:$D$998,$C96,clean!$E$2:$E$998,$D96,clean!$F$2:$F$998,$E96)</f>
        <v>164666.66666666666</v>
      </c>
      <c r="P96">
        <f>AVERAGEIFS(clean!Q$2:Q$998,clean!$B$2:$B$998,$A96,clean!$C$2:$C$998,$B96,clean!$D$2:$D$998,$C96,clean!$E$2:$E$998,$D96,clean!$F$2:$F$998,$E96)</f>
        <v>836209700</v>
      </c>
      <c r="Q96">
        <f>AVERAGEIFS(clean!R$2:R$998,clean!$B$2:$B$998,$A96,clean!$C$2:$C$998,$B96,clean!$D$2:$D$998,$C96,clean!$E$2:$E$998,$D96,clean!$F$2:$F$998,$E96)</f>
        <v>836374366.66666663</v>
      </c>
      <c r="R96">
        <f>AVERAGEIFS(clean!S$2:S$998,clean!$B$2:$B$998,$A96,clean!$C$2:$C$998,$B96,clean!$D$2:$D$998,$C96,clean!$E$2:$E$998,$D96,clean!$F$2:$F$998,$E96)</f>
        <v>4081533.3333333335</v>
      </c>
      <c r="S96">
        <f t="shared" si="2"/>
        <v>924093833.33333302</v>
      </c>
      <c r="T96">
        <f>AVERAGEIFS(clean!T$2:T$998,clean!$B$2:$B$998,$A96,clean!$C$2:$C$998,$B96,clean!$D$2:$D$998,$C96,clean!$E$2:$E$998,$D96,clean!$F$2:$F$998,$E96)</f>
        <v>185821233.33333334</v>
      </c>
      <c r="U96">
        <f>AVERAGEIFS(clean!U$2:U$998,clean!$B$2:$B$998,$A96,clean!$C$2:$C$998,$B96,clean!$D$2:$D$998,$C96,clean!$E$2:$E$998,$D96,clean!$F$2:$F$998,$E96)</f>
        <v>3646289766.6666665</v>
      </c>
      <c r="V96">
        <f>AVERAGEIFS(clean!V$2:V$998,clean!$B$2:$B$998,$A96,clean!$C$2:$C$998,$B96,clean!$D$2:$D$998,$C96,clean!$E$2:$E$998,$D96,clean!$F$2:$F$998,$E96)</f>
        <v>6048892133.333333</v>
      </c>
      <c r="W96">
        <f>AVERAGEIFS(clean!W$2:W$998,clean!$B$2:$B$998,$A96,clean!$C$2:$C$998,$B96,clean!$D$2:$D$998,$C96,clean!$E$2:$E$998,$D96,clean!$F$2:$F$998,$E96)</f>
        <v>1863833.3333333333</v>
      </c>
      <c r="X96">
        <f t="shared" si="3"/>
        <v>8675233166.666666</v>
      </c>
      <c r="Y96">
        <f>AVERAGEIFS(clean!X$2:X$998,clean!$B$2:$B$998,$A96,clean!$C$2:$C$998,$B96,clean!$D$2:$D$998,$C96,clean!$E$2:$E$998,$D96,clean!$F$2:$F$998,$E96)</f>
        <v>5548501433.333333</v>
      </c>
    </row>
    <row r="97" spans="1:25" x14ac:dyDescent="0.3">
      <c r="A97">
        <v>524288</v>
      </c>
      <c r="B97">
        <v>3</v>
      </c>
      <c r="C97">
        <v>64</v>
      </c>
      <c r="D97">
        <v>0.65</v>
      </c>
      <c r="E97">
        <v>13</v>
      </c>
      <c r="F97">
        <f>AVERAGEIFS(clean!G$2:G$998,clean!$B$2:$B$998,$A97,clean!$C$2:$C$998,$B97,clean!$D$2:$D$998,$C97,clean!$E$2:$E$998,$D97,clean!$F$2:$F$998,$E97)</f>
        <v>16383</v>
      </c>
      <c r="G97">
        <f>AVERAGEIFS(clean!H$2:H$998,clean!$B$2:$B$998,$A97,clean!$C$2:$C$998,$B97,clean!$D$2:$D$998,$C97,clean!$E$2:$E$998,$D97,clean!$F$2:$F$998,$E97)</f>
        <v>101557.33333333333</v>
      </c>
      <c r="H97">
        <f>AVERAGEIFS(clean!I$2:I$998,clean!$B$2:$B$998,$A97,clean!$C$2:$C$998,$B97,clean!$D$2:$D$998,$C97,clean!$E$2:$E$998,$D97,clean!$F$2:$F$998,$E97)</f>
        <v>3170636066.6666665</v>
      </c>
      <c r="I97">
        <f>AVERAGEIFS(clean!J$2:J$998,clean!$B$2:$B$998,$A97,clean!$C$2:$C$998,$B97,clean!$D$2:$D$998,$C97,clean!$E$2:$E$998,$D97,clean!$F$2:$F$998,$E97)</f>
        <v>14638244133.333334</v>
      </c>
      <c r="J97">
        <f>AVERAGEIFS(clean!K$2:K$998,clean!$B$2:$B$998,$A97,clean!$C$2:$C$998,$B97,clean!$D$2:$D$998,$C97,clean!$E$2:$E$998,$D97,clean!$F$2:$F$998,$E97)</f>
        <v>4.6226746803537493</v>
      </c>
      <c r="K97">
        <f>AVERAGEIFS(clean!L$2:L$998,clean!$B$2:$B$998,$A97,clean!$C$2:$C$998,$B97,clean!$D$2:$D$998,$C97,clean!$E$2:$E$998,$D97,clean!$F$2:$F$998,$E97)</f>
        <v>27832966.666666668</v>
      </c>
      <c r="L97">
        <f>AVERAGEIFS(clean!M$2:M$998,clean!$B$2:$B$998,$A97,clean!$C$2:$C$998,$B97,clean!$D$2:$D$998,$C97,clean!$E$2:$E$998,$D97,clean!$F$2:$F$998,$E97)</f>
        <v>586874900</v>
      </c>
      <c r="M97">
        <f>AVERAGEIFS(clean!N$2:N$998,clean!$B$2:$B$998,$A97,clean!$C$2:$C$998,$B97,clean!$D$2:$D$998,$C97,clean!$E$2:$E$998,$D97,clean!$F$2:$F$998,$E97)</f>
        <v>959294600</v>
      </c>
      <c r="N97">
        <f>AVERAGEIFS(clean!O$2:O$998,clean!$B$2:$B$998,$A97,clean!$C$2:$C$998,$B97,clean!$D$2:$D$998,$C97,clean!$E$2:$E$998,$D97,clean!$F$2:$F$998,$E97)</f>
        <v>1546169500</v>
      </c>
      <c r="O97">
        <f>AVERAGEIFS(clean!P$2:P$998,clean!$B$2:$B$998,$A97,clean!$C$2:$C$998,$B97,clean!$D$2:$D$998,$C97,clean!$E$2:$E$998,$D97,clean!$F$2:$F$998,$E97)</f>
        <v>380066.66666666669</v>
      </c>
      <c r="P97">
        <f>AVERAGEIFS(clean!Q$2:Q$998,clean!$B$2:$B$998,$A97,clean!$C$2:$C$998,$B97,clean!$D$2:$D$998,$C97,clean!$E$2:$E$998,$D97,clean!$F$2:$F$998,$E97)</f>
        <v>865951100</v>
      </c>
      <c r="Q97">
        <f>AVERAGEIFS(clean!R$2:R$998,clean!$B$2:$B$998,$A97,clean!$C$2:$C$998,$B97,clean!$D$2:$D$998,$C97,clean!$E$2:$E$998,$D97,clean!$F$2:$F$998,$E97)</f>
        <v>866331166.66666663</v>
      </c>
      <c r="R97">
        <f>AVERAGEIFS(clean!S$2:S$998,clean!$B$2:$B$998,$A97,clean!$C$2:$C$998,$B97,clean!$D$2:$D$998,$C97,clean!$E$2:$E$998,$D97,clean!$F$2:$F$998,$E97)</f>
        <v>4171833.3333333335</v>
      </c>
      <c r="S97">
        <f t="shared" si="2"/>
        <v>726130600</v>
      </c>
      <c r="T97">
        <f>AVERAGEIFS(clean!T$2:T$998,clean!$B$2:$B$998,$A97,clean!$C$2:$C$998,$B97,clean!$D$2:$D$998,$C97,clean!$E$2:$E$998,$D97,clean!$F$2:$F$998,$E97)</f>
        <v>491938100</v>
      </c>
      <c r="U97">
        <f>AVERAGEIFS(clean!U$2:U$998,clean!$B$2:$B$998,$A97,clean!$C$2:$C$998,$B97,clean!$D$2:$D$998,$C97,clean!$E$2:$E$998,$D97,clean!$F$2:$F$998,$E97)</f>
        <v>4931815933.333333</v>
      </c>
      <c r="V97">
        <f>AVERAGEIFS(clean!V$2:V$998,clean!$B$2:$B$998,$A97,clean!$C$2:$C$998,$B97,clean!$D$2:$D$998,$C97,clean!$E$2:$E$998,$D97,clean!$F$2:$F$998,$E97)</f>
        <v>6156886633.333333</v>
      </c>
      <c r="W97">
        <f>AVERAGEIFS(clean!W$2:W$998,clean!$B$2:$B$998,$A97,clean!$C$2:$C$998,$B97,clean!$D$2:$D$998,$C97,clean!$E$2:$E$998,$D97,clean!$F$2:$F$998,$E97)</f>
        <v>1821300</v>
      </c>
      <c r="X97">
        <f t="shared" si="3"/>
        <v>3055782166.666667</v>
      </c>
      <c r="Y97">
        <f>AVERAGEIFS(clean!X$2:X$998,clean!$B$2:$B$998,$A97,clean!$C$2:$C$998,$B97,clean!$D$2:$D$998,$C97,clean!$E$2:$E$998,$D97,clean!$F$2:$F$998,$E97)</f>
        <v>3170636066.6666665</v>
      </c>
    </row>
    <row r="98" spans="1:25" x14ac:dyDescent="0.3">
      <c r="A98">
        <v>524288</v>
      </c>
      <c r="B98">
        <v>4</v>
      </c>
      <c r="C98">
        <v>125</v>
      </c>
      <c r="D98">
        <v>0.65</v>
      </c>
      <c r="E98">
        <v>13</v>
      </c>
      <c r="F98">
        <f>AVERAGEIFS(clean!G$2:G$998,clean!$B$2:$B$998,$A98,clean!$C$2:$C$998,$B98,clean!$D$2:$D$998,$C98,clean!$E$2:$E$998,$D98,clean!$F$2:$F$998,$E98)</f>
        <v>16383</v>
      </c>
      <c r="G98">
        <f>AVERAGEIFS(clean!H$2:H$998,clean!$B$2:$B$998,$A98,clean!$C$2:$C$998,$B98,clean!$D$2:$D$998,$C98,clean!$E$2:$E$998,$D98,clean!$F$2:$F$998,$E98)</f>
        <v>101365.33333333333</v>
      </c>
      <c r="H98">
        <f>AVERAGEIFS(clean!I$2:I$998,clean!$B$2:$B$998,$A98,clean!$C$2:$C$998,$B98,clean!$D$2:$D$998,$C98,clean!$E$2:$E$998,$D98,clean!$F$2:$F$998,$E98)</f>
        <v>6357506933.333333</v>
      </c>
      <c r="I98">
        <f>AVERAGEIFS(clean!J$2:J$998,clean!$B$2:$B$998,$A98,clean!$C$2:$C$998,$B98,clean!$D$2:$D$998,$C98,clean!$E$2:$E$998,$D98,clean!$F$2:$F$998,$E98)</f>
        <v>30943821500</v>
      </c>
      <c r="J98">
        <f>AVERAGEIFS(clean!K$2:K$998,clean!$B$2:$B$998,$A98,clean!$C$2:$C$998,$B98,clean!$D$2:$D$998,$C98,clean!$E$2:$E$998,$D98,clean!$F$2:$F$998,$E98)</f>
        <v>4.867358607661223</v>
      </c>
      <c r="K98">
        <f>AVERAGEIFS(clean!L$2:L$998,clean!$B$2:$B$998,$A98,clean!$C$2:$C$998,$B98,clean!$D$2:$D$998,$C98,clean!$E$2:$E$998,$D98,clean!$F$2:$F$998,$E98)</f>
        <v>28878333.333333332</v>
      </c>
      <c r="L98">
        <f>AVERAGEIFS(clean!M$2:M$998,clean!$B$2:$B$998,$A98,clean!$C$2:$C$998,$B98,clean!$D$2:$D$998,$C98,clean!$E$2:$E$998,$D98,clean!$F$2:$F$998,$E98)</f>
        <v>1516143166.6666667</v>
      </c>
      <c r="M98">
        <f>AVERAGEIFS(clean!N$2:N$998,clean!$B$2:$B$998,$A98,clean!$C$2:$C$998,$B98,clean!$D$2:$D$998,$C98,clean!$E$2:$E$998,$D98,clean!$F$2:$F$998,$E98)</f>
        <v>3148373133.3333335</v>
      </c>
      <c r="N98">
        <f>AVERAGEIFS(clean!O$2:O$998,clean!$B$2:$B$998,$A98,clean!$C$2:$C$998,$B98,clean!$D$2:$D$998,$C98,clean!$E$2:$E$998,$D98,clean!$F$2:$F$998,$E98)</f>
        <v>4664516300</v>
      </c>
      <c r="O98">
        <f>AVERAGEIFS(clean!P$2:P$998,clean!$B$2:$B$998,$A98,clean!$C$2:$C$998,$B98,clean!$D$2:$D$998,$C98,clean!$E$2:$E$998,$D98,clean!$F$2:$F$998,$E98)</f>
        <v>401833.33333333331</v>
      </c>
      <c r="P98">
        <f>AVERAGEIFS(clean!Q$2:Q$998,clean!$B$2:$B$998,$A98,clean!$C$2:$C$998,$B98,clean!$D$2:$D$998,$C98,clean!$E$2:$E$998,$D98,clean!$F$2:$F$998,$E98)</f>
        <v>884277666.66666663</v>
      </c>
      <c r="Q98">
        <f>AVERAGEIFS(clean!R$2:R$998,clean!$B$2:$B$998,$A98,clean!$C$2:$C$998,$B98,clean!$D$2:$D$998,$C98,clean!$E$2:$E$998,$D98,clean!$F$2:$F$998,$E98)</f>
        <v>884679500</v>
      </c>
      <c r="R98">
        <f>AVERAGEIFS(clean!S$2:S$998,clean!$B$2:$B$998,$A98,clean!$C$2:$C$998,$B98,clean!$D$2:$D$998,$C98,clean!$E$2:$E$998,$D98,clean!$F$2:$F$998,$E98)</f>
        <v>4188266.6666666665</v>
      </c>
      <c r="S98">
        <f t="shared" si="2"/>
        <v>775244533.33333337</v>
      </c>
      <c r="T98">
        <f>AVERAGEIFS(clean!T$2:T$998,clean!$B$2:$B$998,$A98,clean!$C$2:$C$998,$B98,clean!$D$2:$D$998,$C98,clean!$E$2:$E$998,$D98,clean!$F$2:$F$998,$E98)</f>
        <v>258142933.33333334</v>
      </c>
      <c r="U98">
        <f>AVERAGEIFS(clean!U$2:U$998,clean!$B$2:$B$998,$A98,clean!$C$2:$C$998,$B98,clean!$D$2:$D$998,$C98,clean!$E$2:$E$998,$D98,clean!$F$2:$F$998,$E98)</f>
        <v>18175099066.666668</v>
      </c>
      <c r="V98">
        <f>AVERAGEIFS(clean!V$2:V$998,clean!$B$2:$B$998,$A98,clean!$C$2:$C$998,$B98,clean!$D$2:$D$998,$C98,clean!$E$2:$E$998,$D98,clean!$F$2:$F$998,$E98)</f>
        <v>6178168066.666667</v>
      </c>
      <c r="W98">
        <f>AVERAGEIFS(clean!W$2:W$998,clean!$B$2:$B$998,$A98,clean!$C$2:$C$998,$B98,clean!$D$2:$D$998,$C98,clean!$E$2:$E$998,$D98,clean!$F$2:$F$998,$E98)</f>
        <v>1827333.3333333333</v>
      </c>
      <c r="X98">
        <f t="shared" si="3"/>
        <v>6330584100</v>
      </c>
      <c r="Y98">
        <f>AVERAGEIFS(clean!X$2:X$998,clean!$B$2:$B$998,$A98,clean!$C$2:$C$998,$B98,clean!$D$2:$D$998,$C98,clean!$E$2:$E$998,$D98,clean!$F$2:$F$998,$E98)</f>
        <v>6357506933.333333</v>
      </c>
    </row>
    <row r="99" spans="1:25" x14ac:dyDescent="0.3">
      <c r="A99">
        <v>524288</v>
      </c>
      <c r="B99">
        <v>6</v>
      </c>
      <c r="C99">
        <v>343</v>
      </c>
      <c r="D99">
        <v>0.95</v>
      </c>
      <c r="E99">
        <v>11</v>
      </c>
      <c r="F99">
        <f>AVERAGEIFS(clean!G$2:G$998,clean!$B$2:$B$998,$A99,clean!$C$2:$C$998,$B99,clean!$D$2:$D$998,$C99,clean!$E$2:$E$998,$D99,clean!$F$2:$F$998,$E99)</f>
        <v>4095</v>
      </c>
      <c r="G99">
        <f>AVERAGEIFS(clean!H$2:H$998,clean!$B$2:$B$998,$A99,clean!$C$2:$C$998,$B99,clean!$D$2:$D$998,$C99,clean!$E$2:$E$998,$D99,clean!$F$2:$F$998,$E99)</f>
        <v>8192</v>
      </c>
      <c r="H99">
        <f>AVERAGEIFS(clean!I$2:I$998,clean!$B$2:$B$998,$A99,clean!$C$2:$C$998,$B99,clean!$D$2:$D$998,$C99,clean!$E$2:$E$998,$D99,clean!$F$2:$F$998,$E99)</f>
        <v>10408880766.666666</v>
      </c>
      <c r="I99">
        <f>AVERAGEIFS(clean!J$2:J$998,clean!$B$2:$B$998,$A99,clean!$C$2:$C$998,$B99,clean!$D$2:$D$998,$C99,clean!$E$2:$E$998,$D99,clean!$F$2:$F$998,$E99)</f>
        <v>24886387233.333332</v>
      </c>
      <c r="J99">
        <f>AVERAGEIFS(clean!K$2:K$998,clean!$B$2:$B$998,$A99,clean!$C$2:$C$998,$B99,clean!$D$2:$D$998,$C99,clean!$E$2:$E$998,$D99,clean!$F$2:$F$998,$E99)</f>
        <v>2.3908844813943131</v>
      </c>
      <c r="K99">
        <f>AVERAGEIFS(clean!L$2:L$998,clean!$B$2:$B$998,$A99,clean!$C$2:$C$998,$B99,clean!$D$2:$D$998,$C99,clean!$E$2:$E$998,$D99,clean!$F$2:$F$998,$E99)</f>
        <v>1409833.3333333333</v>
      </c>
      <c r="L99">
        <f>AVERAGEIFS(clean!M$2:M$998,clean!$B$2:$B$998,$A99,clean!$C$2:$C$998,$B99,clean!$D$2:$D$998,$C99,clean!$E$2:$E$998,$D99,clean!$F$2:$F$998,$E99)</f>
        <v>7053253033.333333</v>
      </c>
      <c r="M99">
        <f>AVERAGEIFS(clean!N$2:N$998,clean!$B$2:$B$998,$A99,clean!$C$2:$C$998,$B99,clean!$D$2:$D$998,$C99,clean!$E$2:$E$998,$D99,clean!$F$2:$F$998,$E99)</f>
        <v>1140718266.6666667</v>
      </c>
      <c r="N99">
        <f>AVERAGEIFS(clean!O$2:O$998,clean!$B$2:$B$998,$A99,clean!$C$2:$C$998,$B99,clean!$D$2:$D$998,$C99,clean!$E$2:$E$998,$D99,clean!$F$2:$F$998,$E99)</f>
        <v>8193971300</v>
      </c>
      <c r="O99">
        <f>AVERAGEIFS(clean!P$2:P$998,clean!$B$2:$B$998,$A99,clean!$C$2:$C$998,$B99,clean!$D$2:$D$998,$C99,clean!$E$2:$E$998,$D99,clean!$F$2:$F$998,$E99)</f>
        <v>138300</v>
      </c>
      <c r="P99">
        <f>AVERAGEIFS(clean!Q$2:Q$998,clean!$B$2:$B$998,$A99,clean!$C$2:$C$998,$B99,clean!$D$2:$D$998,$C99,clean!$E$2:$E$998,$D99,clean!$F$2:$F$998,$E99)</f>
        <v>1113935233.3333333</v>
      </c>
      <c r="Q99">
        <f>AVERAGEIFS(clean!R$2:R$998,clean!$B$2:$B$998,$A99,clean!$C$2:$C$998,$B99,clean!$D$2:$D$998,$C99,clean!$E$2:$E$998,$D99,clean!$F$2:$F$998,$E99)</f>
        <v>1114073533.3333333</v>
      </c>
      <c r="R99">
        <f>AVERAGEIFS(clean!S$2:S$998,clean!$B$2:$B$998,$A99,clean!$C$2:$C$998,$B99,clean!$D$2:$D$998,$C99,clean!$E$2:$E$998,$D99,clean!$F$2:$F$998,$E99)</f>
        <v>4373133.333333333</v>
      </c>
      <c r="S99">
        <f t="shared" si="2"/>
        <v>1095052966.6666656</v>
      </c>
      <c r="T99">
        <f>AVERAGEIFS(clean!T$2:T$998,clean!$B$2:$B$998,$A99,clean!$C$2:$C$998,$B99,clean!$D$2:$D$998,$C99,clean!$E$2:$E$998,$D99,clean!$F$2:$F$998,$E99)</f>
        <v>179544500</v>
      </c>
      <c r="U99">
        <f>AVERAGEIFS(clean!U$2:U$998,clean!$B$2:$B$998,$A99,clean!$C$2:$C$998,$B99,clean!$D$2:$D$998,$C99,clean!$E$2:$E$998,$D99,clean!$F$2:$F$998,$E99)</f>
        <v>5361996300</v>
      </c>
      <c r="V99">
        <f>AVERAGEIFS(clean!V$2:V$998,clean!$B$2:$B$998,$A99,clean!$C$2:$C$998,$B99,clean!$D$2:$D$998,$C99,clean!$E$2:$E$998,$D99,clean!$F$2:$F$998,$E99)</f>
        <v>8467844100</v>
      </c>
      <c r="W99">
        <f>AVERAGEIFS(clean!W$2:W$998,clean!$B$2:$B$998,$A99,clean!$C$2:$C$998,$B99,clean!$D$2:$D$998,$C99,clean!$E$2:$E$998,$D99,clean!$F$2:$F$998,$E99)</f>
        <v>1892866.6666666667</v>
      </c>
      <c r="X99">
        <f t="shared" si="3"/>
        <v>10875109466.666666</v>
      </c>
      <c r="Y99">
        <f>AVERAGEIFS(clean!X$2:X$998,clean!$B$2:$B$998,$A99,clean!$C$2:$C$998,$B99,clean!$D$2:$D$998,$C99,clean!$E$2:$E$998,$D99,clean!$F$2:$F$998,$E99)</f>
        <v>10408880766.666666</v>
      </c>
    </row>
    <row r="100" spans="1:25" x14ac:dyDescent="0.3">
      <c r="A100">
        <v>524288</v>
      </c>
      <c r="B100">
        <v>7</v>
      </c>
      <c r="C100">
        <v>512</v>
      </c>
      <c r="D100">
        <v>0.95</v>
      </c>
      <c r="E100">
        <v>10</v>
      </c>
      <c r="F100">
        <f>AVERAGEIFS(clean!G$2:G$998,clean!$B$2:$B$998,$A100,clean!$C$2:$C$998,$B100,clean!$D$2:$D$998,$C100,clean!$E$2:$E$998,$D100,clean!$F$2:$F$998,$E100)</f>
        <v>2047</v>
      </c>
      <c r="G100">
        <f>AVERAGEIFS(clean!H$2:H$998,clean!$B$2:$B$998,$A100,clean!$C$2:$C$998,$B100,clean!$D$2:$D$998,$C100,clean!$E$2:$E$998,$D100,clean!$F$2:$F$998,$E100)</f>
        <v>2048</v>
      </c>
      <c r="H100">
        <f>AVERAGEIFS(clean!I$2:I$998,clean!$B$2:$B$998,$A100,clean!$C$2:$C$998,$B100,clean!$D$2:$D$998,$C100,clean!$E$2:$E$998,$D100,clean!$F$2:$F$998,$E100)</f>
        <v>12916384800</v>
      </c>
      <c r="I100">
        <f>AVERAGEIFS(clean!J$2:J$998,clean!$B$2:$B$998,$A100,clean!$C$2:$C$998,$B100,clean!$D$2:$D$998,$C100,clean!$E$2:$E$998,$D100,clean!$F$2:$F$998,$E100)</f>
        <v>33596836800</v>
      </c>
      <c r="J100">
        <f>AVERAGEIFS(clean!K$2:K$998,clean!$B$2:$B$998,$A100,clean!$C$2:$C$998,$B100,clean!$D$2:$D$998,$C100,clean!$E$2:$E$998,$D100,clean!$F$2:$F$998,$E100)</f>
        <v>2.6011173160528371</v>
      </c>
      <c r="K100">
        <f>AVERAGEIFS(clean!L$2:L$998,clean!$B$2:$B$998,$A100,clean!$C$2:$C$998,$B100,clean!$D$2:$D$998,$C100,clean!$E$2:$E$998,$D100,clean!$F$2:$F$998,$E100)</f>
        <v>790133.33333333337</v>
      </c>
      <c r="L100">
        <f>AVERAGEIFS(clean!M$2:M$998,clean!$B$2:$B$998,$A100,clean!$C$2:$C$998,$B100,clean!$D$2:$D$998,$C100,clean!$E$2:$E$998,$D100,clean!$F$2:$F$998,$E100)</f>
        <v>8444327100</v>
      </c>
      <c r="M100">
        <f>AVERAGEIFS(clean!N$2:N$998,clean!$B$2:$B$998,$A100,clean!$C$2:$C$998,$B100,clean!$D$2:$D$998,$C100,clean!$E$2:$E$998,$D100,clean!$F$2:$F$998,$E100)</f>
        <v>2257515866.6666665</v>
      </c>
      <c r="N100">
        <f>AVERAGEIFS(clean!O$2:O$998,clean!$B$2:$B$998,$A100,clean!$C$2:$C$998,$B100,clean!$D$2:$D$998,$C100,clean!$E$2:$E$998,$D100,clean!$F$2:$F$998,$E100)</f>
        <v>10701842966.666666</v>
      </c>
      <c r="O100">
        <f>AVERAGEIFS(clean!P$2:P$998,clean!$B$2:$B$998,$A100,clean!$C$2:$C$998,$B100,clean!$D$2:$D$998,$C100,clean!$E$2:$E$998,$D100,clean!$F$2:$F$998,$E100)</f>
        <v>99100</v>
      </c>
      <c r="P100">
        <f>AVERAGEIFS(clean!Q$2:Q$998,clean!$B$2:$B$998,$A100,clean!$C$2:$C$998,$B100,clean!$D$2:$D$998,$C100,clean!$E$2:$E$998,$D100,clean!$F$2:$F$998,$E100)</f>
        <v>1117915466.6666667</v>
      </c>
      <c r="Q100">
        <f>AVERAGEIFS(clean!R$2:R$998,clean!$B$2:$B$998,$A100,clean!$C$2:$C$998,$B100,clean!$D$2:$D$998,$C100,clean!$E$2:$E$998,$D100,clean!$F$2:$F$998,$E100)</f>
        <v>1118014566.6666667</v>
      </c>
      <c r="R100">
        <f>AVERAGEIFS(clean!S$2:S$998,clean!$B$2:$B$998,$A100,clean!$C$2:$C$998,$B100,clean!$D$2:$D$998,$C100,clean!$E$2:$E$998,$D100,clean!$F$2:$F$998,$E100)</f>
        <v>4209833.333333333</v>
      </c>
      <c r="S100">
        <f t="shared" si="2"/>
        <v>1091527300</v>
      </c>
      <c r="T100">
        <f>AVERAGEIFS(clean!T$2:T$998,clean!$B$2:$B$998,$A100,clean!$C$2:$C$998,$B100,clean!$D$2:$D$998,$C100,clean!$E$2:$E$998,$D100,clean!$F$2:$F$998,$E100)</f>
        <v>164047533.33333334</v>
      </c>
      <c r="U100">
        <f>AVERAGEIFS(clean!U$2:U$998,clean!$B$2:$B$998,$A100,clean!$C$2:$C$998,$B100,clean!$D$2:$D$998,$C100,clean!$E$2:$E$998,$D100,clean!$F$2:$F$998,$E100)</f>
        <v>11892563233.333334</v>
      </c>
      <c r="V100">
        <f>AVERAGEIFS(clean!V$2:V$998,clean!$B$2:$B$998,$A100,clean!$C$2:$C$998,$B100,clean!$D$2:$D$998,$C100,clean!$E$2:$E$998,$D100,clean!$F$2:$F$998,$E100)</f>
        <v>8889022833.333334</v>
      </c>
      <c r="W100">
        <f>AVERAGEIFS(clean!W$2:W$998,clean!$B$2:$B$998,$A100,clean!$C$2:$C$998,$B100,clean!$D$2:$D$998,$C100,clean!$E$2:$E$998,$D100,clean!$F$2:$F$998,$E100)</f>
        <v>1885466.6666666667</v>
      </c>
      <c r="X100">
        <f t="shared" si="3"/>
        <v>12649317733.333336</v>
      </c>
      <c r="Y100">
        <f>AVERAGEIFS(clean!X$2:X$998,clean!$B$2:$B$998,$A100,clean!$C$2:$C$998,$B100,clean!$D$2:$D$998,$C100,clean!$E$2:$E$998,$D100,clean!$F$2:$F$998,$E100)</f>
        <v>12916384800</v>
      </c>
    </row>
    <row r="101" spans="1:25" x14ac:dyDescent="0.3">
      <c r="A101">
        <v>524288</v>
      </c>
      <c r="B101">
        <v>5</v>
      </c>
      <c r="C101">
        <v>216</v>
      </c>
      <c r="D101">
        <v>0.8</v>
      </c>
      <c r="E101">
        <v>12</v>
      </c>
      <c r="F101">
        <f>AVERAGEIFS(clean!G$2:G$998,clean!$B$2:$B$998,$A101,clean!$C$2:$C$998,$B101,clean!$D$2:$D$998,$C101,clean!$E$2:$E$998,$D101,clean!$F$2:$F$998,$E101)</f>
        <v>8191</v>
      </c>
      <c r="G101">
        <f>AVERAGEIFS(clean!H$2:H$998,clean!$B$2:$B$998,$A101,clean!$C$2:$C$998,$B101,clean!$D$2:$D$998,$C101,clean!$E$2:$E$998,$D101,clean!$F$2:$F$998,$E101)</f>
        <v>34145.333333333336</v>
      </c>
      <c r="H101">
        <f>AVERAGEIFS(clean!I$2:I$998,clean!$B$2:$B$998,$A101,clean!$C$2:$C$998,$B101,clean!$D$2:$D$998,$C101,clean!$E$2:$E$998,$D101,clean!$F$2:$F$998,$E101)</f>
        <v>7626782100</v>
      </c>
      <c r="I101">
        <f>AVERAGEIFS(clean!J$2:J$998,clean!$B$2:$B$998,$A101,clean!$C$2:$C$998,$B101,clean!$D$2:$D$998,$C101,clean!$E$2:$E$998,$D101,clean!$F$2:$F$998,$E101)</f>
        <v>29434992533.333332</v>
      </c>
      <c r="J101">
        <f>AVERAGEIFS(clean!K$2:K$998,clean!$B$2:$B$998,$A101,clean!$C$2:$C$998,$B101,clean!$D$2:$D$998,$C101,clean!$E$2:$E$998,$D101,clean!$F$2:$F$998,$E101)</f>
        <v>3.8594088366634334</v>
      </c>
      <c r="K101">
        <f>AVERAGEIFS(clean!L$2:L$998,clean!$B$2:$B$998,$A101,clean!$C$2:$C$998,$B101,clean!$D$2:$D$998,$C101,clean!$E$2:$E$998,$D101,clean!$F$2:$F$998,$E101)</f>
        <v>6264400</v>
      </c>
      <c r="L101">
        <f>AVERAGEIFS(clean!M$2:M$998,clean!$B$2:$B$998,$A101,clean!$C$2:$C$998,$B101,clean!$D$2:$D$998,$C101,clean!$E$2:$E$998,$D101,clean!$F$2:$F$998,$E101)</f>
        <v>3030052233.3333335</v>
      </c>
      <c r="M101">
        <f>AVERAGEIFS(clean!N$2:N$998,clean!$B$2:$B$998,$A101,clean!$C$2:$C$998,$B101,clean!$D$2:$D$998,$C101,clean!$E$2:$E$998,$D101,clean!$F$2:$F$998,$E101)</f>
        <v>2500516933.3333335</v>
      </c>
      <c r="N101">
        <f>AVERAGEIFS(clean!O$2:O$998,clean!$B$2:$B$998,$A101,clean!$C$2:$C$998,$B101,clean!$D$2:$D$998,$C101,clean!$E$2:$E$998,$D101,clean!$F$2:$F$998,$E101)</f>
        <v>5530569166.666667</v>
      </c>
      <c r="O101">
        <f>AVERAGEIFS(clean!P$2:P$998,clean!$B$2:$B$998,$A101,clean!$C$2:$C$998,$B101,clean!$D$2:$D$998,$C101,clean!$E$2:$E$998,$D101,clean!$F$2:$F$998,$E101)</f>
        <v>183500</v>
      </c>
      <c r="P101">
        <f>AVERAGEIFS(clean!Q$2:Q$998,clean!$B$2:$B$998,$A101,clean!$C$2:$C$998,$B101,clean!$D$2:$D$998,$C101,clean!$E$2:$E$998,$D101,clean!$F$2:$F$998,$E101)</f>
        <v>1155537933.3333333</v>
      </c>
      <c r="Q101">
        <f>AVERAGEIFS(clean!R$2:R$998,clean!$B$2:$B$998,$A101,clean!$C$2:$C$998,$B101,clean!$D$2:$D$998,$C101,clean!$E$2:$E$998,$D101,clean!$F$2:$F$998,$E101)</f>
        <v>1155721433.3333333</v>
      </c>
      <c r="R101">
        <f>AVERAGEIFS(clean!S$2:S$998,clean!$B$2:$B$998,$A101,clean!$C$2:$C$998,$B101,clean!$D$2:$D$998,$C101,clean!$E$2:$E$998,$D101,clean!$F$2:$F$998,$E101)</f>
        <v>4408466.666666667</v>
      </c>
      <c r="S101">
        <f t="shared" si="2"/>
        <v>929818633.33333313</v>
      </c>
      <c r="T101">
        <f>AVERAGEIFS(clean!T$2:T$998,clean!$B$2:$B$998,$A101,clean!$C$2:$C$998,$B101,clean!$D$2:$D$998,$C101,clean!$E$2:$E$998,$D101,clean!$F$2:$F$998,$E101)</f>
        <v>192357733.33333334</v>
      </c>
      <c r="U101">
        <f>AVERAGEIFS(clean!U$2:U$998,clean!$B$2:$B$998,$A101,clean!$C$2:$C$998,$B101,clean!$D$2:$D$998,$C101,clean!$E$2:$E$998,$D101,clean!$F$2:$F$998,$E101)</f>
        <v>12137900966.666666</v>
      </c>
      <c r="V101">
        <f>AVERAGEIFS(clean!V$2:V$998,clean!$B$2:$B$998,$A101,clean!$C$2:$C$998,$B101,clean!$D$2:$D$998,$C101,clean!$E$2:$E$998,$D101,clean!$F$2:$F$998,$E101)</f>
        <v>8437616166.666667</v>
      </c>
      <c r="W101">
        <f>AVERAGEIFS(clean!W$2:W$998,clean!$B$2:$B$998,$A101,clean!$C$2:$C$998,$B101,clean!$D$2:$D$998,$C101,clean!$E$2:$E$998,$D101,clean!$F$2:$F$998,$E101)</f>
        <v>1840766.6666666667</v>
      </c>
      <c r="X101">
        <f t="shared" si="3"/>
        <v>8665276900.0000019</v>
      </c>
      <c r="Y101">
        <f>AVERAGEIFS(clean!X$2:X$998,clean!$B$2:$B$998,$A101,clean!$C$2:$C$998,$B101,clean!$D$2:$D$998,$C101,clean!$E$2:$E$998,$D101,clean!$F$2:$F$998,$E101)</f>
        <v>7626782100</v>
      </c>
    </row>
    <row r="102" spans="1:25" x14ac:dyDescent="0.3">
      <c r="A102">
        <v>524288</v>
      </c>
      <c r="B102">
        <v>6</v>
      </c>
      <c r="C102">
        <v>343</v>
      </c>
      <c r="D102">
        <v>0.8</v>
      </c>
      <c r="E102">
        <v>11</v>
      </c>
      <c r="F102">
        <f>AVERAGEIFS(clean!G$2:G$998,clean!$B$2:$B$998,$A102,clean!$C$2:$C$998,$B102,clean!$D$2:$D$998,$C102,clean!$E$2:$E$998,$D102,clean!$F$2:$F$998,$E102)</f>
        <v>4095</v>
      </c>
      <c r="G102">
        <f>AVERAGEIFS(clean!H$2:H$998,clean!$B$2:$B$998,$A102,clean!$C$2:$C$998,$B102,clean!$D$2:$D$998,$C102,clean!$E$2:$E$998,$D102,clean!$F$2:$F$998,$E102)</f>
        <v>15528</v>
      </c>
      <c r="H102">
        <f>AVERAGEIFS(clean!I$2:I$998,clean!$B$2:$B$998,$A102,clean!$C$2:$C$998,$B102,clean!$D$2:$D$998,$C102,clean!$E$2:$E$998,$D102,clean!$F$2:$F$998,$E102)</f>
        <v>13504904266.666666</v>
      </c>
      <c r="I102">
        <f>AVERAGEIFS(clean!J$2:J$998,clean!$B$2:$B$998,$A102,clean!$C$2:$C$998,$B102,clean!$D$2:$D$998,$C102,clean!$E$2:$E$998,$D102,clean!$F$2:$F$998,$E102)</f>
        <v>42546243566.666664</v>
      </c>
      <c r="J102">
        <f>AVERAGEIFS(clean!K$2:K$998,clean!$B$2:$B$998,$A102,clean!$C$2:$C$998,$B102,clean!$D$2:$D$998,$C102,clean!$E$2:$E$998,$D102,clean!$F$2:$F$998,$E102)</f>
        <v>3.1504230084357467</v>
      </c>
      <c r="K102">
        <f>AVERAGEIFS(clean!L$2:L$998,clean!$B$2:$B$998,$A102,clean!$C$2:$C$998,$B102,clean!$D$2:$D$998,$C102,clean!$E$2:$E$998,$D102,clean!$F$2:$F$998,$E102)</f>
        <v>3121266.6666666665</v>
      </c>
      <c r="L102">
        <f>AVERAGEIFS(clean!M$2:M$998,clean!$B$2:$B$998,$A102,clean!$C$2:$C$998,$B102,clean!$D$2:$D$998,$C102,clean!$E$2:$E$998,$D102,clean!$F$2:$F$998,$E102)</f>
        <v>7050382966.666667</v>
      </c>
      <c r="M102">
        <f>AVERAGEIFS(clean!N$2:N$998,clean!$B$2:$B$998,$A102,clean!$C$2:$C$998,$B102,clean!$D$2:$D$998,$C102,clean!$E$2:$E$998,$D102,clean!$F$2:$F$998,$E102)</f>
        <v>3257003133.3333335</v>
      </c>
      <c r="N102">
        <f>AVERAGEIFS(clean!O$2:O$998,clean!$B$2:$B$998,$A102,clean!$C$2:$C$998,$B102,clean!$D$2:$D$998,$C102,clean!$E$2:$E$998,$D102,clean!$F$2:$F$998,$E102)</f>
        <v>10307386100</v>
      </c>
      <c r="O102">
        <f>AVERAGEIFS(clean!P$2:P$998,clean!$B$2:$B$998,$A102,clean!$C$2:$C$998,$B102,clean!$D$2:$D$998,$C102,clean!$E$2:$E$998,$D102,clean!$F$2:$F$998,$E102)</f>
        <v>164166.66666666666</v>
      </c>
      <c r="P102">
        <f>AVERAGEIFS(clean!Q$2:Q$998,clean!$B$2:$B$998,$A102,clean!$C$2:$C$998,$B102,clean!$D$2:$D$998,$C102,clean!$E$2:$E$998,$D102,clean!$F$2:$F$998,$E102)</f>
        <v>2097511900</v>
      </c>
      <c r="Q102">
        <f>AVERAGEIFS(clean!R$2:R$998,clean!$B$2:$B$998,$A102,clean!$C$2:$C$998,$B102,clean!$D$2:$D$998,$C102,clean!$E$2:$E$998,$D102,clean!$F$2:$F$998,$E102)</f>
        <v>2097676066.6666667</v>
      </c>
      <c r="R102">
        <f>AVERAGEIFS(clean!S$2:S$998,clean!$B$2:$B$998,$A102,clean!$C$2:$C$998,$B102,clean!$D$2:$D$998,$C102,clean!$E$2:$E$998,$D102,clean!$F$2:$F$998,$E102)</f>
        <v>4183100</v>
      </c>
      <c r="S102">
        <f t="shared" si="2"/>
        <v>1092537733.3333333</v>
      </c>
      <c r="T102">
        <f>AVERAGEIFS(clean!T$2:T$998,clean!$B$2:$B$998,$A102,clean!$C$2:$C$998,$B102,clean!$D$2:$D$998,$C102,clean!$E$2:$E$998,$D102,clean!$F$2:$F$998,$E102)</f>
        <v>183671433.33333334</v>
      </c>
      <c r="U102">
        <f>AVERAGEIFS(clean!U$2:U$998,clean!$B$2:$B$998,$A102,clean!$C$2:$C$998,$B102,clean!$D$2:$D$998,$C102,clean!$E$2:$E$998,$D102,clean!$F$2:$F$998,$E102)</f>
        <v>15462302700</v>
      </c>
      <c r="V102">
        <f>AVERAGEIFS(clean!V$2:V$998,clean!$B$2:$B$998,$A102,clean!$C$2:$C$998,$B102,clean!$D$2:$D$998,$C102,clean!$E$2:$E$998,$D102,clean!$F$2:$F$998,$E102)</f>
        <v>16129497866.666666</v>
      </c>
      <c r="W102">
        <f>AVERAGEIFS(clean!W$2:W$998,clean!$B$2:$B$998,$A102,clean!$C$2:$C$998,$B102,clean!$D$2:$D$998,$C102,clean!$E$2:$E$998,$D102,clean!$F$2:$F$998,$E102)</f>
        <v>1893200</v>
      </c>
      <c r="X102">
        <f t="shared" si="3"/>
        <v>10768878366.666662</v>
      </c>
      <c r="Y102">
        <f>AVERAGEIFS(clean!X$2:X$998,clean!$B$2:$B$998,$A102,clean!$C$2:$C$998,$B102,clean!$D$2:$D$998,$C102,clean!$E$2:$E$998,$D102,clean!$F$2:$F$998,$E102)</f>
        <v>13504904266.666666</v>
      </c>
    </row>
    <row r="103" spans="1:25" x14ac:dyDescent="0.3">
      <c r="A103">
        <v>524288</v>
      </c>
      <c r="B103">
        <v>5</v>
      </c>
      <c r="C103">
        <v>216</v>
      </c>
      <c r="D103">
        <v>0.65</v>
      </c>
      <c r="E103">
        <v>12</v>
      </c>
      <c r="F103">
        <f>AVERAGEIFS(clean!G$2:G$998,clean!$B$2:$B$998,$A103,clean!$C$2:$C$998,$B103,clean!$D$2:$D$998,$C103,clean!$E$2:$E$998,$D103,clean!$F$2:$F$998,$E103)</f>
        <v>8191</v>
      </c>
      <c r="G103">
        <f>AVERAGEIFS(clean!H$2:H$998,clean!$B$2:$B$998,$A103,clean!$C$2:$C$998,$B103,clean!$D$2:$D$998,$C103,clean!$E$2:$E$998,$D103,clean!$F$2:$F$998,$E103)</f>
        <v>71026.666666666672</v>
      </c>
      <c r="H103">
        <f>AVERAGEIFS(clean!I$2:I$998,clean!$B$2:$B$998,$A103,clean!$C$2:$C$998,$B103,clean!$D$2:$D$998,$C103,clean!$E$2:$E$998,$D103,clean!$F$2:$F$998,$E103)</f>
        <v>10617944966.666666</v>
      </c>
      <c r="I103">
        <f>AVERAGEIFS(clean!J$2:J$998,clean!$B$2:$B$998,$A103,clean!$C$2:$C$998,$B103,clean!$D$2:$D$998,$C103,clean!$E$2:$E$998,$D103,clean!$F$2:$F$998,$E103)</f>
        <v>47444442966.666664</v>
      </c>
      <c r="J103">
        <f>AVERAGEIFS(clean!K$2:K$998,clean!$B$2:$B$998,$A103,clean!$C$2:$C$998,$B103,clean!$D$2:$D$998,$C103,clean!$E$2:$E$998,$D103,clean!$F$2:$F$998,$E103)</f>
        <v>4.4683869152423901</v>
      </c>
      <c r="K103">
        <f>AVERAGEIFS(clean!L$2:L$998,clean!$B$2:$B$998,$A103,clean!$C$2:$C$998,$B103,clean!$D$2:$D$998,$C103,clean!$E$2:$E$998,$D103,clean!$F$2:$F$998,$E103)</f>
        <v>18994233.333333332</v>
      </c>
      <c r="L103">
        <f>AVERAGEIFS(clean!M$2:M$998,clean!$B$2:$B$998,$A103,clean!$C$2:$C$998,$B103,clean!$D$2:$D$998,$C103,clean!$E$2:$E$998,$D103,clean!$F$2:$F$998,$E103)</f>
        <v>2971466500</v>
      </c>
      <c r="M103">
        <f>AVERAGEIFS(clean!N$2:N$998,clean!$B$2:$B$998,$A103,clean!$C$2:$C$998,$B103,clean!$D$2:$D$998,$C103,clean!$E$2:$E$998,$D103,clean!$F$2:$F$998,$E103)</f>
        <v>4304325366.666667</v>
      </c>
      <c r="N103">
        <f>AVERAGEIFS(clean!O$2:O$998,clean!$B$2:$B$998,$A103,clean!$C$2:$C$998,$B103,clean!$D$2:$D$998,$C103,clean!$E$2:$E$998,$D103,clean!$F$2:$F$998,$E103)</f>
        <v>7275791866.666667</v>
      </c>
      <c r="O103">
        <f>AVERAGEIFS(clean!P$2:P$998,clean!$B$2:$B$998,$A103,clean!$C$2:$C$998,$B103,clean!$D$2:$D$998,$C103,clean!$E$2:$E$998,$D103,clean!$F$2:$F$998,$E103)</f>
        <v>238800</v>
      </c>
      <c r="P103">
        <f>AVERAGEIFS(clean!Q$2:Q$998,clean!$B$2:$B$998,$A103,clean!$C$2:$C$998,$B103,clean!$D$2:$D$998,$C103,clean!$E$2:$E$998,$D103,clean!$F$2:$F$998,$E103)</f>
        <v>2387255766.6666665</v>
      </c>
      <c r="Q103">
        <f>AVERAGEIFS(clean!R$2:R$998,clean!$B$2:$B$998,$A103,clean!$C$2:$C$998,$B103,clean!$D$2:$D$998,$C103,clean!$E$2:$E$998,$D103,clean!$F$2:$F$998,$E103)</f>
        <v>2387494566.6666665</v>
      </c>
      <c r="R103">
        <f>AVERAGEIFS(clean!S$2:S$998,clean!$B$2:$B$998,$A103,clean!$C$2:$C$998,$B103,clean!$D$2:$D$998,$C103,clean!$E$2:$E$998,$D103,clean!$F$2:$F$998,$E103)</f>
        <v>4083933.3333333335</v>
      </c>
      <c r="S103">
        <f t="shared" si="2"/>
        <v>931580366.6666652</v>
      </c>
      <c r="T103">
        <f>AVERAGEIFS(clean!T$2:T$998,clean!$B$2:$B$998,$A103,clean!$C$2:$C$998,$B103,clean!$D$2:$D$998,$C103,clean!$E$2:$E$998,$D103,clean!$F$2:$F$998,$E103)</f>
        <v>532483100</v>
      </c>
      <c r="U103">
        <f>AVERAGEIFS(clean!U$2:U$998,clean!$B$2:$B$998,$A103,clean!$C$2:$C$998,$B103,clean!$D$2:$D$998,$C103,clean!$E$2:$E$998,$D103,clean!$F$2:$F$998,$E103)</f>
        <v>20754270100</v>
      </c>
      <c r="V103">
        <f>AVERAGEIFS(clean!V$2:V$998,clean!$B$2:$B$998,$A103,clean!$C$2:$C$998,$B103,clean!$D$2:$D$998,$C103,clean!$E$2:$E$998,$D103,clean!$F$2:$F$998,$E103)</f>
        <v>17492215166.666668</v>
      </c>
      <c r="W103">
        <f>AVERAGEIFS(clean!W$2:W$998,clean!$B$2:$B$998,$A103,clean!$C$2:$C$998,$B103,clean!$D$2:$D$998,$C103,clean!$E$2:$E$998,$D103,clean!$F$2:$F$998,$E103)</f>
        <v>1872500</v>
      </c>
      <c r="X103">
        <f t="shared" si="3"/>
        <v>8663602099.9999962</v>
      </c>
      <c r="Y103">
        <f>AVERAGEIFS(clean!X$2:X$998,clean!$B$2:$B$998,$A103,clean!$C$2:$C$998,$B103,clean!$D$2:$D$998,$C103,clean!$E$2:$E$998,$D103,clean!$F$2:$F$998,$E103)</f>
        <v>10617944966.666666</v>
      </c>
    </row>
    <row r="104" spans="1:25" x14ac:dyDescent="0.3">
      <c r="A104">
        <v>524288</v>
      </c>
      <c r="B104">
        <v>3</v>
      </c>
      <c r="C104">
        <v>64</v>
      </c>
      <c r="D104">
        <v>0.5</v>
      </c>
      <c r="E104">
        <v>13</v>
      </c>
      <c r="F104">
        <f>AVERAGEIFS(clean!G$2:G$998,clean!$B$2:$B$998,$A104,clean!$C$2:$C$998,$B104,clean!$D$2:$D$998,$C104,clean!$E$2:$E$998,$D104,clean!$F$2:$F$998,$E104)</f>
        <v>16383</v>
      </c>
      <c r="G104">
        <f>AVERAGEIFS(clean!H$2:H$998,clean!$B$2:$B$998,$A104,clean!$C$2:$C$998,$B104,clean!$D$2:$D$998,$C104,clean!$E$2:$E$998,$D104,clean!$F$2:$F$998,$E104)</f>
        <v>301964</v>
      </c>
      <c r="H104">
        <f>AVERAGEIFS(clean!I$2:I$998,clean!$B$2:$B$998,$A104,clean!$C$2:$C$998,$B104,clean!$D$2:$D$998,$C104,clean!$E$2:$E$998,$D104,clean!$F$2:$F$998,$E104)</f>
        <v>6220332250</v>
      </c>
      <c r="I104">
        <f>AVERAGEIFS(clean!J$2:J$998,clean!$B$2:$B$998,$A104,clean!$C$2:$C$998,$B104,clean!$D$2:$D$998,$C104,clean!$E$2:$E$998,$D104,clean!$F$2:$F$998,$E104)</f>
        <v>33449059200</v>
      </c>
      <c r="J104">
        <f>AVERAGEIFS(clean!K$2:K$998,clean!$B$2:$B$998,$A104,clean!$C$2:$C$998,$B104,clean!$D$2:$D$998,$C104,clean!$E$2:$E$998,$D104,clean!$F$2:$F$998,$E104)</f>
        <v>5.3798132953875077</v>
      </c>
      <c r="K104">
        <f>AVERAGEIFS(clean!L$2:L$998,clean!$B$2:$B$998,$A104,clean!$C$2:$C$998,$B104,clean!$D$2:$D$998,$C104,clean!$E$2:$E$998,$D104,clean!$F$2:$F$998,$E104)</f>
        <v>68673000</v>
      </c>
      <c r="L104">
        <f>AVERAGEIFS(clean!M$2:M$998,clean!$B$2:$B$998,$A104,clean!$C$2:$C$998,$B104,clean!$D$2:$D$998,$C104,clean!$E$2:$E$998,$D104,clean!$F$2:$F$998,$E104)</f>
        <v>544820400</v>
      </c>
      <c r="M104">
        <f>AVERAGEIFS(clean!N$2:N$998,clean!$B$2:$B$998,$A104,clean!$C$2:$C$998,$B104,clean!$D$2:$D$998,$C104,clean!$E$2:$E$998,$D104,clean!$F$2:$F$998,$E104)</f>
        <v>2368525425</v>
      </c>
      <c r="N104">
        <f>AVERAGEIFS(clean!O$2:O$998,clean!$B$2:$B$998,$A104,clean!$C$2:$C$998,$B104,clean!$D$2:$D$998,$C104,clean!$E$2:$E$998,$D104,clean!$F$2:$F$998,$E104)</f>
        <v>2913345825</v>
      </c>
      <c r="O104">
        <f>AVERAGEIFS(clean!P$2:P$998,clean!$B$2:$B$998,$A104,clean!$C$2:$C$998,$B104,clean!$D$2:$D$998,$C104,clean!$E$2:$E$998,$D104,clean!$F$2:$F$998,$E104)</f>
        <v>846850</v>
      </c>
      <c r="P104">
        <f>AVERAGEIFS(clean!Q$2:Q$998,clean!$B$2:$B$998,$A104,clean!$C$2:$C$998,$B104,clean!$D$2:$D$998,$C104,clean!$E$2:$E$998,$D104,clean!$F$2:$F$998,$E104)</f>
        <v>2541637750</v>
      </c>
      <c r="Q104">
        <f>AVERAGEIFS(clean!R$2:R$998,clean!$B$2:$B$998,$A104,clean!$C$2:$C$998,$B104,clean!$D$2:$D$998,$C104,clean!$E$2:$E$998,$D104,clean!$F$2:$F$998,$E104)</f>
        <v>2542484600</v>
      </c>
      <c r="R104">
        <f>AVERAGEIFS(clean!S$2:S$998,clean!$B$2:$B$998,$A104,clean!$C$2:$C$998,$B104,clean!$D$2:$D$998,$C104,clean!$E$2:$E$998,$D104,clean!$F$2:$F$998,$E104)</f>
        <v>4274900</v>
      </c>
      <c r="S104">
        <f t="shared" si="2"/>
        <v>691553925</v>
      </c>
      <c r="T104">
        <f>AVERAGEIFS(clean!T$2:T$998,clean!$B$2:$B$998,$A104,clean!$C$2:$C$998,$B104,clean!$D$2:$D$998,$C104,clean!$E$2:$E$998,$D104,clean!$F$2:$F$998,$E104)</f>
        <v>233910625</v>
      </c>
      <c r="U104">
        <f>AVERAGEIFS(clean!U$2:U$998,clean!$B$2:$B$998,$A104,clean!$C$2:$C$998,$B104,clean!$D$2:$D$998,$C104,clean!$E$2:$E$998,$D104,clean!$F$2:$F$998,$E104)</f>
        <v>12181854600</v>
      </c>
      <c r="V104">
        <f>AVERAGEIFS(clean!V$2:V$998,clean!$B$2:$B$998,$A104,clean!$C$2:$C$998,$B104,clean!$D$2:$D$998,$C104,clean!$E$2:$E$998,$D104,clean!$F$2:$F$998,$E104)</f>
        <v>18096516275</v>
      </c>
      <c r="W104">
        <f>AVERAGEIFS(clean!W$2:W$998,clean!$B$2:$B$998,$A104,clean!$C$2:$C$998,$B104,clean!$D$2:$D$998,$C104,clean!$E$2:$E$998,$D104,clean!$F$2:$F$998,$E104)</f>
        <v>1918050</v>
      </c>
      <c r="X104">
        <f t="shared" si="3"/>
        <v>2934859650</v>
      </c>
      <c r="Y104">
        <f>AVERAGEIFS(clean!X$2:X$998,clean!$B$2:$B$998,$A104,clean!$C$2:$C$998,$B104,clean!$D$2:$D$998,$C104,clean!$E$2:$E$998,$D104,clean!$F$2:$F$998,$E104)</f>
        <v>6220332250</v>
      </c>
    </row>
    <row r="105" spans="1:25" x14ac:dyDescent="0.3">
      <c r="A105">
        <v>524288</v>
      </c>
      <c r="B105">
        <v>4</v>
      </c>
      <c r="C105">
        <v>125</v>
      </c>
      <c r="D105">
        <v>0.5</v>
      </c>
      <c r="E105">
        <v>13</v>
      </c>
      <c r="F105">
        <f>AVERAGEIFS(clean!G$2:G$998,clean!$B$2:$B$998,$A105,clean!$C$2:$C$998,$B105,clean!$D$2:$D$998,$C105,clean!$E$2:$E$998,$D105,clean!$F$2:$F$998,$E105)</f>
        <v>16383</v>
      </c>
      <c r="G105">
        <f>AVERAGEIFS(clean!H$2:H$998,clean!$B$2:$B$998,$A105,clean!$C$2:$C$998,$B105,clean!$D$2:$D$998,$C105,clean!$E$2:$E$998,$D105,clean!$F$2:$F$998,$E105)</f>
        <v>301846</v>
      </c>
      <c r="H105">
        <f>AVERAGEIFS(clean!I$2:I$998,clean!$B$2:$B$998,$A105,clean!$C$2:$C$998,$B105,clean!$D$2:$D$998,$C105,clean!$E$2:$E$998,$D105,clean!$F$2:$F$998,$E105)</f>
        <v>12646095300</v>
      </c>
      <c r="I105">
        <f>AVERAGEIFS(clean!J$2:J$998,clean!$B$2:$B$998,$A105,clean!$C$2:$C$998,$B105,clean!$D$2:$D$998,$C105,clean!$E$2:$E$998,$D105,clean!$F$2:$F$998,$E105)</f>
        <v>70052737700</v>
      </c>
      <c r="J105">
        <f>AVERAGEIFS(clean!K$2:K$998,clean!$B$2:$B$998,$A105,clean!$C$2:$C$998,$B105,clean!$D$2:$D$998,$C105,clean!$E$2:$E$998,$D105,clean!$F$2:$F$998,$E105)</f>
        <v>5.5401513116918926</v>
      </c>
      <c r="K105">
        <f>AVERAGEIFS(clean!L$2:L$998,clean!$B$2:$B$998,$A105,clean!$C$2:$C$998,$B105,clean!$D$2:$D$998,$C105,clean!$E$2:$E$998,$D105,clean!$F$2:$F$998,$E105)</f>
        <v>67303575</v>
      </c>
      <c r="L105">
        <f>AVERAGEIFS(clean!M$2:M$998,clean!$B$2:$B$998,$A105,clean!$C$2:$C$998,$B105,clean!$D$2:$D$998,$C105,clean!$E$2:$E$998,$D105,clean!$F$2:$F$998,$E105)</f>
        <v>1471029525</v>
      </c>
      <c r="M105">
        <f>AVERAGEIFS(clean!N$2:N$998,clean!$B$2:$B$998,$A105,clean!$C$2:$C$998,$B105,clean!$D$2:$D$998,$C105,clean!$E$2:$E$998,$D105,clean!$F$2:$F$998,$E105)</f>
        <v>7772265400</v>
      </c>
      <c r="N105">
        <f>AVERAGEIFS(clean!O$2:O$998,clean!$B$2:$B$998,$A105,clean!$C$2:$C$998,$B105,clean!$D$2:$D$998,$C105,clean!$E$2:$E$998,$D105,clean!$F$2:$F$998,$E105)</f>
        <v>9243294925</v>
      </c>
      <c r="O105">
        <f>AVERAGEIFS(clean!P$2:P$998,clean!$B$2:$B$998,$A105,clean!$C$2:$C$998,$B105,clean!$D$2:$D$998,$C105,clean!$E$2:$E$998,$D105,clean!$F$2:$F$998,$E105)</f>
        <v>854450</v>
      </c>
      <c r="P105">
        <f>AVERAGEIFS(clean!Q$2:Q$998,clean!$B$2:$B$998,$A105,clean!$C$2:$C$998,$B105,clean!$D$2:$D$998,$C105,clean!$E$2:$E$998,$D105,clean!$F$2:$F$998,$E105)</f>
        <v>2620377475</v>
      </c>
      <c r="Q105">
        <f>AVERAGEIFS(clean!R$2:R$998,clean!$B$2:$B$998,$A105,clean!$C$2:$C$998,$B105,clean!$D$2:$D$998,$C105,clean!$E$2:$E$998,$D105,clean!$F$2:$F$998,$E105)</f>
        <v>2621231925</v>
      </c>
      <c r="R105">
        <f>AVERAGEIFS(clean!S$2:S$998,clean!$B$2:$B$998,$A105,clean!$C$2:$C$998,$B105,clean!$D$2:$D$998,$C105,clean!$E$2:$E$998,$D105,clean!$F$2:$F$998,$E105)</f>
        <v>4291250</v>
      </c>
      <c r="S105">
        <f t="shared" si="2"/>
        <v>709973625</v>
      </c>
      <c r="T105">
        <f>AVERAGEIFS(clean!T$2:T$998,clean!$B$2:$B$998,$A105,clean!$C$2:$C$998,$B105,clean!$D$2:$D$998,$C105,clean!$E$2:$E$998,$D105,clean!$F$2:$F$998,$E105)</f>
        <v>327707450</v>
      </c>
      <c r="U105">
        <f>AVERAGEIFS(clean!U$2:U$998,clean!$B$2:$B$998,$A105,clean!$C$2:$C$998,$B105,clean!$D$2:$D$998,$C105,clean!$E$2:$E$998,$D105,clean!$F$2:$F$998,$E105)</f>
        <v>45293936375</v>
      </c>
      <c r="V105">
        <f>AVERAGEIFS(clean!V$2:V$998,clean!$B$2:$B$998,$A105,clean!$C$2:$C$998,$B105,clean!$D$2:$D$998,$C105,clean!$E$2:$E$998,$D105,clean!$F$2:$F$998,$E105)</f>
        <v>18140169225</v>
      </c>
      <c r="W105">
        <f>AVERAGEIFS(clean!W$2:W$998,clean!$B$2:$B$998,$A105,clean!$C$2:$C$998,$B105,clean!$D$2:$D$998,$C105,clean!$E$2:$E$998,$D105,clean!$F$2:$F$998,$E105)</f>
        <v>1831700</v>
      </c>
      <c r="X105">
        <f t="shared" si="3"/>
        <v>6289092950</v>
      </c>
      <c r="Y105">
        <f>AVERAGEIFS(clean!X$2:X$998,clean!$B$2:$B$998,$A105,clean!$C$2:$C$998,$B105,clean!$D$2:$D$998,$C105,clean!$E$2:$E$998,$D105,clean!$F$2:$F$998,$E105)</f>
        <v>12646095300</v>
      </c>
    </row>
    <row r="106" spans="1:25" x14ac:dyDescent="0.3">
      <c r="A106">
        <v>524288</v>
      </c>
      <c r="B106">
        <v>7</v>
      </c>
      <c r="C106">
        <v>512</v>
      </c>
      <c r="D106">
        <v>0.8</v>
      </c>
      <c r="E106">
        <v>10</v>
      </c>
      <c r="F106">
        <f>AVERAGEIFS(clean!G$2:G$998,clean!$B$2:$B$998,$A106,clean!$C$2:$C$998,$B106,clean!$D$2:$D$998,$C106,clean!$E$2:$E$998,$D106,clean!$F$2:$F$998,$E106)</f>
        <v>2047</v>
      </c>
      <c r="G106">
        <f>AVERAGEIFS(clean!H$2:H$998,clean!$B$2:$B$998,$A106,clean!$C$2:$C$998,$B106,clean!$D$2:$D$998,$C106,clean!$E$2:$E$998,$D106,clean!$F$2:$F$998,$E106)</f>
        <v>7576</v>
      </c>
      <c r="H106">
        <f>AVERAGEIFS(clean!I$2:I$998,clean!$B$2:$B$998,$A106,clean!$C$2:$C$998,$B106,clean!$D$2:$D$998,$C106,clean!$E$2:$E$998,$D106,clean!$F$2:$F$998,$E106)</f>
        <v>17296369400</v>
      </c>
      <c r="I106">
        <f>AVERAGEIFS(clean!J$2:J$998,clean!$B$2:$B$998,$A106,clean!$C$2:$C$998,$B106,clean!$D$2:$D$998,$C106,clean!$E$2:$E$998,$D106,clean!$F$2:$F$998,$E106)</f>
        <v>65029808066.666664</v>
      </c>
      <c r="J106">
        <f>AVERAGEIFS(clean!K$2:K$998,clean!$B$2:$B$998,$A106,clean!$C$2:$C$998,$B106,clean!$D$2:$D$998,$C106,clean!$E$2:$E$998,$D106,clean!$F$2:$F$998,$E106)</f>
        <v>3.7593603707862502</v>
      </c>
      <c r="K106">
        <f>AVERAGEIFS(clean!L$2:L$998,clean!$B$2:$B$998,$A106,clean!$C$2:$C$998,$B106,clean!$D$2:$D$998,$C106,clean!$E$2:$E$998,$D106,clean!$F$2:$F$998,$E106)</f>
        <v>1672233.3333333333</v>
      </c>
      <c r="L106">
        <f>AVERAGEIFS(clean!M$2:M$998,clean!$B$2:$B$998,$A106,clean!$C$2:$C$998,$B106,clean!$D$2:$D$998,$C106,clean!$E$2:$E$998,$D106,clean!$F$2:$F$998,$E106)</f>
        <v>8425731566.666667</v>
      </c>
      <c r="M106">
        <f>AVERAGEIFS(clean!N$2:N$998,clean!$B$2:$B$998,$A106,clean!$C$2:$C$998,$B106,clean!$D$2:$D$998,$C106,clean!$E$2:$E$998,$D106,clean!$F$2:$F$998,$E106)</f>
        <v>3686171533.3333335</v>
      </c>
      <c r="N106">
        <f>AVERAGEIFS(clean!O$2:O$998,clean!$B$2:$B$998,$A106,clean!$C$2:$C$998,$B106,clean!$D$2:$D$998,$C106,clean!$E$2:$E$998,$D106,clean!$F$2:$F$998,$E106)</f>
        <v>12111903100</v>
      </c>
      <c r="O106">
        <f>AVERAGEIFS(clean!P$2:P$998,clean!$B$2:$B$998,$A106,clean!$C$2:$C$998,$B106,clean!$D$2:$D$998,$C106,clean!$E$2:$E$998,$D106,clean!$F$2:$F$998,$E106)</f>
        <v>89400</v>
      </c>
      <c r="P106">
        <f>AVERAGEIFS(clean!Q$2:Q$998,clean!$B$2:$B$998,$A106,clean!$C$2:$C$998,$B106,clean!$D$2:$D$998,$C106,clean!$E$2:$E$998,$D106,clean!$F$2:$F$998,$E106)</f>
        <v>4087905200</v>
      </c>
      <c r="Q106">
        <f>AVERAGEIFS(clean!R$2:R$998,clean!$B$2:$B$998,$A106,clean!$C$2:$C$998,$B106,clean!$D$2:$D$998,$C106,clean!$E$2:$E$998,$D106,clean!$F$2:$F$998,$E106)</f>
        <v>4087994600</v>
      </c>
      <c r="R106">
        <f>AVERAGEIFS(clean!S$2:S$998,clean!$B$2:$B$998,$A106,clean!$C$2:$C$998,$B106,clean!$D$2:$D$998,$C106,clean!$E$2:$E$998,$D106,clean!$F$2:$F$998,$E106)</f>
        <v>4191033.3333333335</v>
      </c>
      <c r="S106">
        <f t="shared" si="2"/>
        <v>1090608433.3333347</v>
      </c>
      <c r="T106">
        <f>AVERAGEIFS(clean!T$2:T$998,clean!$B$2:$B$998,$A106,clean!$C$2:$C$998,$B106,clean!$D$2:$D$998,$C106,clean!$E$2:$E$998,$D106,clean!$F$2:$F$998,$E106)</f>
        <v>166559666.66666666</v>
      </c>
      <c r="U106">
        <f>AVERAGEIFS(clean!U$2:U$998,clean!$B$2:$B$998,$A106,clean!$C$2:$C$998,$B106,clean!$D$2:$D$998,$C106,clean!$E$2:$E$998,$D106,clean!$F$2:$F$998,$E106)</f>
        <v>19563350233.333332</v>
      </c>
      <c r="V106">
        <f>AVERAGEIFS(clean!V$2:V$998,clean!$B$2:$B$998,$A106,clean!$C$2:$C$998,$B106,clean!$D$2:$D$998,$C106,clean!$E$2:$E$998,$D106,clean!$F$2:$F$998,$E106)</f>
        <v>32750084633.333332</v>
      </c>
      <c r="W106">
        <f>AVERAGEIFS(clean!W$2:W$998,clean!$B$2:$B$998,$A106,clean!$C$2:$C$998,$B106,clean!$D$2:$D$998,$C106,clean!$E$2:$E$998,$D106,clean!$F$2:$F$998,$E106)</f>
        <v>1892966.6666666667</v>
      </c>
      <c r="X106">
        <f t="shared" si="3"/>
        <v>12547920566.666674</v>
      </c>
      <c r="Y106">
        <f>AVERAGEIFS(clean!X$2:X$998,clean!$B$2:$B$998,$A106,clean!$C$2:$C$998,$B106,clean!$D$2:$D$998,$C106,clean!$E$2:$E$998,$D106,clean!$F$2:$F$998,$E106)</f>
        <v>17296369400</v>
      </c>
    </row>
    <row r="107" spans="1:25" x14ac:dyDescent="0.3">
      <c r="A107">
        <v>524288</v>
      </c>
      <c r="B107">
        <v>6</v>
      </c>
      <c r="C107">
        <v>343</v>
      </c>
      <c r="D107">
        <v>0.65</v>
      </c>
      <c r="E107">
        <v>11</v>
      </c>
      <c r="F107">
        <f>AVERAGEIFS(clean!G$2:G$998,clean!$B$2:$B$998,$A107,clean!$C$2:$C$998,$B107,clean!$D$2:$D$998,$C107,clean!$E$2:$E$998,$D107,clean!$F$2:$F$998,$E107)</f>
        <v>4095</v>
      </c>
      <c r="G107">
        <f>AVERAGEIFS(clean!H$2:H$998,clean!$B$2:$B$998,$A107,clean!$C$2:$C$998,$B107,clean!$D$2:$D$998,$C107,clean!$E$2:$E$998,$D107,clean!$F$2:$F$998,$E107)</f>
        <v>31265.333333333332</v>
      </c>
      <c r="H107">
        <f>AVERAGEIFS(clean!I$2:I$998,clean!$B$2:$B$998,$A107,clean!$C$2:$C$998,$B107,clean!$D$2:$D$998,$C107,clean!$E$2:$E$998,$D107,clean!$F$2:$F$998,$E107)</f>
        <v>17740774533.333332</v>
      </c>
      <c r="I107">
        <f>AVERAGEIFS(clean!J$2:J$998,clean!$B$2:$B$998,$A107,clean!$C$2:$C$998,$B107,clean!$D$2:$D$998,$C107,clean!$E$2:$E$998,$D107,clean!$F$2:$F$998,$E107)</f>
        <v>68920349200</v>
      </c>
      <c r="J107">
        <f>AVERAGEIFS(clean!K$2:K$998,clean!$B$2:$B$998,$A107,clean!$C$2:$C$998,$B107,clean!$D$2:$D$998,$C107,clean!$E$2:$E$998,$D107,clean!$F$2:$F$998,$E107)</f>
        <v>3.8848106444615165</v>
      </c>
      <c r="K107">
        <f>AVERAGEIFS(clean!L$2:L$998,clean!$B$2:$B$998,$A107,clean!$C$2:$C$998,$B107,clean!$D$2:$D$998,$C107,clean!$E$2:$E$998,$D107,clean!$F$2:$F$998,$E107)</f>
        <v>5779400</v>
      </c>
      <c r="L107">
        <f>AVERAGEIFS(clean!M$2:M$998,clean!$B$2:$B$998,$A107,clean!$C$2:$C$998,$B107,clean!$D$2:$D$998,$C107,clean!$E$2:$E$998,$D107,clean!$F$2:$F$998,$E107)</f>
        <v>7031086200</v>
      </c>
      <c r="M107">
        <f>AVERAGEIFS(clean!N$2:N$998,clean!$B$2:$B$998,$A107,clean!$C$2:$C$998,$B107,clean!$D$2:$D$998,$C107,clean!$E$2:$E$998,$D107,clean!$F$2:$F$998,$E107)</f>
        <v>5413960000</v>
      </c>
      <c r="N107">
        <f>AVERAGEIFS(clean!O$2:O$998,clean!$B$2:$B$998,$A107,clean!$C$2:$C$998,$B107,clean!$D$2:$D$998,$C107,clean!$E$2:$E$998,$D107,clean!$F$2:$F$998,$E107)</f>
        <v>12445046200</v>
      </c>
      <c r="O107">
        <f>AVERAGEIFS(clean!P$2:P$998,clean!$B$2:$B$998,$A107,clean!$C$2:$C$998,$B107,clean!$D$2:$D$998,$C107,clean!$E$2:$E$998,$D107,clean!$F$2:$F$998,$E107)</f>
        <v>188033.33333333334</v>
      </c>
      <c r="P107">
        <f>AVERAGEIFS(clean!Q$2:Q$998,clean!$B$2:$B$998,$A107,clean!$C$2:$C$998,$B107,clean!$D$2:$D$998,$C107,clean!$E$2:$E$998,$D107,clean!$F$2:$F$998,$E107)</f>
        <v>4196638033.3333335</v>
      </c>
      <c r="Q107">
        <f>AVERAGEIFS(clean!R$2:R$998,clean!$B$2:$B$998,$A107,clean!$C$2:$C$998,$B107,clean!$D$2:$D$998,$C107,clean!$E$2:$E$998,$D107,clean!$F$2:$F$998,$E107)</f>
        <v>4196826066.6666665</v>
      </c>
      <c r="R107">
        <f>AVERAGEIFS(clean!S$2:S$998,clean!$B$2:$B$998,$A107,clean!$C$2:$C$998,$B107,clean!$D$2:$D$998,$C107,clean!$E$2:$E$998,$D107,clean!$F$2:$F$998,$E107)</f>
        <v>4087366.6666666665</v>
      </c>
      <c r="S107">
        <f t="shared" si="2"/>
        <v>1089035499.9999988</v>
      </c>
      <c r="T107">
        <f>AVERAGEIFS(clean!T$2:T$998,clean!$B$2:$B$998,$A107,clean!$C$2:$C$998,$B107,clean!$D$2:$D$998,$C107,clean!$E$2:$E$998,$D107,clean!$F$2:$F$998,$E107)</f>
        <v>178975600</v>
      </c>
      <c r="U107">
        <f>AVERAGEIFS(clean!U$2:U$998,clean!$B$2:$B$998,$A107,clean!$C$2:$C$998,$B107,clean!$D$2:$D$998,$C107,clean!$E$2:$E$998,$D107,clean!$F$2:$F$998,$E107)</f>
        <v>25605923800</v>
      </c>
      <c r="V107">
        <f>AVERAGEIFS(clean!V$2:V$998,clean!$B$2:$B$998,$A107,clean!$C$2:$C$998,$B107,clean!$D$2:$D$998,$C107,clean!$E$2:$E$998,$D107,clean!$F$2:$F$998,$E107)</f>
        <v>32379071900</v>
      </c>
      <c r="W107">
        <f>AVERAGEIFS(clean!W$2:W$998,clean!$B$2:$B$998,$A107,clean!$C$2:$C$998,$B107,clean!$D$2:$D$998,$C107,clean!$E$2:$E$998,$D107,clean!$F$2:$F$998,$E107)</f>
        <v>1849833.3333333333</v>
      </c>
      <c r="X107">
        <f t="shared" si="3"/>
        <v>10754528066.666666</v>
      </c>
      <c r="Y107">
        <f>AVERAGEIFS(clean!X$2:X$998,clean!$B$2:$B$998,$A107,clean!$C$2:$C$998,$B107,clean!$D$2:$D$998,$C107,clean!$E$2:$E$998,$D107,clean!$F$2:$F$998,$E107)</f>
        <v>17740774533.333332</v>
      </c>
    </row>
    <row r="108" spans="1:25" x14ac:dyDescent="0.3">
      <c r="A108">
        <v>524288</v>
      </c>
      <c r="B108">
        <v>5</v>
      </c>
      <c r="C108">
        <v>216</v>
      </c>
      <c r="D108">
        <v>0.5</v>
      </c>
      <c r="E108">
        <v>12</v>
      </c>
      <c r="F108">
        <f>AVERAGEIFS(clean!G$2:G$998,clean!$B$2:$B$998,$A108,clean!$C$2:$C$998,$B108,clean!$D$2:$D$998,$C108,clean!$E$2:$E$998,$D108,clean!$F$2:$F$998,$E108)</f>
        <v>8191</v>
      </c>
      <c r="G108">
        <f>AVERAGEIFS(clean!H$2:H$998,clean!$B$2:$B$998,$A108,clean!$C$2:$C$998,$B108,clean!$D$2:$D$998,$C108,clean!$E$2:$E$998,$D108,clean!$F$2:$F$998,$E108)</f>
        <v>178802</v>
      </c>
      <c r="H108">
        <f>AVERAGEIFS(clean!I$2:I$998,clean!$B$2:$B$998,$A108,clean!$C$2:$C$998,$B108,clean!$D$2:$D$998,$C108,clean!$E$2:$E$998,$D108,clean!$F$2:$F$998,$E108)</f>
        <v>21990497300</v>
      </c>
      <c r="I108">
        <f>AVERAGEIFS(clean!J$2:J$998,clean!$B$2:$B$998,$A108,clean!$C$2:$C$998,$B108,clean!$D$2:$D$998,$C108,clean!$E$2:$E$998,$D108,clean!$F$2:$F$998,$E108)</f>
        <v>110296505450</v>
      </c>
      <c r="J108">
        <f>AVERAGEIFS(clean!K$2:K$998,clean!$B$2:$B$998,$A108,clean!$C$2:$C$998,$B108,clean!$D$2:$D$998,$C108,clean!$E$2:$E$998,$D108,clean!$F$2:$F$998,$E108)</f>
        <v>5.0157249297903554</v>
      </c>
      <c r="K108">
        <f>AVERAGEIFS(clean!L$2:L$998,clean!$B$2:$B$998,$A108,clean!$C$2:$C$998,$B108,clean!$D$2:$D$998,$C108,clean!$E$2:$E$998,$D108,clean!$F$2:$F$998,$E108)</f>
        <v>34700300</v>
      </c>
      <c r="L108">
        <f>AVERAGEIFS(clean!M$2:M$998,clean!$B$2:$B$998,$A108,clean!$C$2:$C$998,$B108,clean!$D$2:$D$998,$C108,clean!$E$2:$E$998,$D108,clean!$F$2:$F$998,$E108)</f>
        <v>2981155950</v>
      </c>
      <c r="M108">
        <f>AVERAGEIFS(clean!N$2:N$998,clean!$B$2:$B$998,$A108,clean!$C$2:$C$998,$B108,clean!$D$2:$D$998,$C108,clean!$E$2:$E$998,$D108,clean!$F$2:$F$998,$E108)</f>
        <v>12001145675</v>
      </c>
      <c r="N108">
        <f>AVERAGEIFS(clean!O$2:O$998,clean!$B$2:$B$998,$A108,clean!$C$2:$C$998,$B108,clean!$D$2:$D$998,$C108,clean!$E$2:$E$998,$D108,clean!$F$2:$F$998,$E108)</f>
        <v>14982301625</v>
      </c>
      <c r="O108">
        <f>AVERAGEIFS(clean!P$2:P$998,clean!$B$2:$B$998,$A108,clean!$C$2:$C$998,$B108,clean!$D$2:$D$998,$C108,clean!$E$2:$E$998,$D108,clean!$F$2:$F$998,$E108)</f>
        <v>577650</v>
      </c>
      <c r="P108">
        <f>AVERAGEIFS(clean!Q$2:Q$998,clean!$B$2:$B$998,$A108,clean!$C$2:$C$998,$B108,clean!$D$2:$D$998,$C108,clean!$E$2:$E$998,$D108,clean!$F$2:$F$998,$E108)</f>
        <v>6000168425</v>
      </c>
      <c r="Q108">
        <f>AVERAGEIFS(clean!R$2:R$998,clean!$B$2:$B$998,$A108,clean!$C$2:$C$998,$B108,clean!$D$2:$D$998,$C108,clean!$E$2:$E$998,$D108,clean!$F$2:$F$998,$E108)</f>
        <v>6000746075</v>
      </c>
      <c r="R108">
        <f>AVERAGEIFS(clean!S$2:S$998,clean!$B$2:$B$998,$A108,clean!$C$2:$C$998,$B108,clean!$D$2:$D$998,$C108,clean!$E$2:$E$998,$D108,clean!$F$2:$F$998,$E108)</f>
        <v>4215325</v>
      </c>
      <c r="S108">
        <f t="shared" si="2"/>
        <v>968533975</v>
      </c>
      <c r="T108">
        <f>AVERAGEIFS(clean!T$2:T$998,clean!$B$2:$B$998,$A108,clean!$C$2:$C$998,$B108,clean!$D$2:$D$998,$C108,clean!$E$2:$E$998,$D108,clean!$F$2:$F$998,$E108)</f>
        <v>317286900</v>
      </c>
      <c r="U108">
        <f>AVERAGEIFS(clean!U$2:U$998,clean!$B$2:$B$998,$A108,clean!$C$2:$C$998,$B108,clean!$D$2:$D$998,$C108,clean!$E$2:$E$998,$D108,clean!$F$2:$F$998,$E108)</f>
        <v>57253105950</v>
      </c>
      <c r="V108">
        <f>AVERAGEIFS(clean!V$2:V$998,clean!$B$2:$B$998,$A108,clean!$C$2:$C$998,$B108,clean!$D$2:$D$998,$C108,clean!$E$2:$E$998,$D108,clean!$F$2:$F$998,$E108)</f>
        <v>44060106450</v>
      </c>
      <c r="W108">
        <f>AVERAGEIFS(clean!W$2:W$998,clean!$B$2:$B$998,$A108,clean!$C$2:$C$998,$B108,clean!$D$2:$D$998,$C108,clean!$E$2:$E$998,$D108,clean!$F$2:$F$998,$E108)</f>
        <v>1827300</v>
      </c>
      <c r="X108">
        <f t="shared" si="3"/>
        <v>8664178850</v>
      </c>
      <c r="Y108">
        <f>AVERAGEIFS(clean!X$2:X$998,clean!$B$2:$B$998,$A108,clean!$C$2:$C$998,$B108,clean!$D$2:$D$998,$C108,clean!$E$2:$E$998,$D108,clean!$F$2:$F$998,$E108)</f>
        <v>21990497300</v>
      </c>
    </row>
    <row r="109" spans="1:25" x14ac:dyDescent="0.3">
      <c r="A109">
        <v>524288</v>
      </c>
      <c r="B109">
        <v>7</v>
      </c>
      <c r="C109">
        <v>512</v>
      </c>
      <c r="D109">
        <v>0.65</v>
      </c>
      <c r="E109">
        <v>10</v>
      </c>
      <c r="F109">
        <f>AVERAGEIFS(clean!G$2:G$998,clean!$B$2:$B$998,$A109,clean!$C$2:$C$998,$B109,clean!$D$2:$D$998,$C109,clean!$E$2:$E$998,$D109,clean!$F$2:$F$998,$E109)</f>
        <v>2047</v>
      </c>
      <c r="G109">
        <f>AVERAGEIFS(clean!H$2:H$998,clean!$B$2:$B$998,$A109,clean!$C$2:$C$998,$B109,clean!$D$2:$D$998,$C109,clean!$E$2:$E$998,$D109,clean!$F$2:$F$998,$E109)</f>
        <v>12422.666666666666</v>
      </c>
      <c r="H109">
        <f>AVERAGEIFS(clean!I$2:I$998,clean!$B$2:$B$998,$A109,clean!$C$2:$C$998,$B109,clean!$D$2:$D$998,$C109,clean!$E$2:$E$998,$D109,clean!$F$2:$F$998,$E109)</f>
        <v>22532638900</v>
      </c>
      <c r="I109">
        <f>AVERAGEIFS(clean!J$2:J$998,clean!$B$2:$B$998,$A109,clean!$C$2:$C$998,$B109,clean!$D$2:$D$998,$C109,clean!$E$2:$E$998,$D109,clean!$F$2:$F$998,$E109)</f>
        <v>100499107833.33333</v>
      </c>
      <c r="J109">
        <f>AVERAGEIFS(clean!K$2:K$998,clean!$B$2:$B$998,$A109,clean!$C$2:$C$998,$B109,clean!$D$2:$D$998,$C109,clean!$E$2:$E$998,$D109,clean!$F$2:$F$998,$E109)</f>
        <v>4.4602025719371428</v>
      </c>
      <c r="K109">
        <f>AVERAGEIFS(clean!L$2:L$998,clean!$B$2:$B$998,$A109,clean!$C$2:$C$998,$B109,clean!$D$2:$D$998,$C109,clean!$E$2:$E$998,$D109,clean!$F$2:$F$998,$E109)</f>
        <v>2721133.3333333335</v>
      </c>
      <c r="L109">
        <f>AVERAGEIFS(clean!M$2:M$998,clean!$B$2:$B$998,$A109,clean!$C$2:$C$998,$B109,clean!$D$2:$D$998,$C109,clean!$E$2:$E$998,$D109,clean!$F$2:$F$998,$E109)</f>
        <v>8421530600</v>
      </c>
      <c r="M109">
        <f>AVERAGEIFS(clean!N$2:N$998,clean!$B$2:$B$998,$A109,clean!$C$2:$C$998,$B109,clean!$D$2:$D$998,$C109,clean!$E$2:$E$998,$D109,clean!$F$2:$F$998,$E109)</f>
        <v>6325510033.333333</v>
      </c>
      <c r="N109">
        <f>AVERAGEIFS(clean!O$2:O$998,clean!$B$2:$B$998,$A109,clean!$C$2:$C$998,$B109,clean!$D$2:$D$998,$C109,clean!$E$2:$E$998,$D109,clean!$F$2:$F$998,$E109)</f>
        <v>14747040633.333334</v>
      </c>
      <c r="O109">
        <f>AVERAGEIFS(clean!P$2:P$998,clean!$B$2:$B$998,$A109,clean!$C$2:$C$998,$B109,clean!$D$2:$D$998,$C109,clean!$E$2:$E$998,$D109,clean!$F$2:$F$998,$E109)</f>
        <v>101800</v>
      </c>
      <c r="P109">
        <f>AVERAGEIFS(clean!Q$2:Q$998,clean!$B$2:$B$998,$A109,clean!$C$2:$C$998,$B109,clean!$D$2:$D$998,$C109,clean!$E$2:$E$998,$D109,clean!$F$2:$F$998,$E109)</f>
        <v>6682671333.333333</v>
      </c>
      <c r="Q109">
        <f>AVERAGEIFS(clean!R$2:R$998,clean!$B$2:$B$998,$A109,clean!$C$2:$C$998,$B109,clean!$D$2:$D$998,$C109,clean!$E$2:$E$998,$D109,clean!$F$2:$F$998,$E109)</f>
        <v>6682773133.333333</v>
      </c>
      <c r="R109">
        <f>AVERAGEIFS(clean!S$2:S$998,clean!$B$2:$B$998,$A109,clean!$C$2:$C$998,$B109,clean!$D$2:$D$998,$C109,clean!$E$2:$E$998,$D109,clean!$F$2:$F$998,$E109)</f>
        <v>6416333.333333333</v>
      </c>
      <c r="S109">
        <f t="shared" si="2"/>
        <v>1093687666.6666677</v>
      </c>
      <c r="T109">
        <f>AVERAGEIFS(clean!T$2:T$998,clean!$B$2:$B$998,$A109,clean!$C$2:$C$998,$B109,clean!$D$2:$D$998,$C109,clean!$E$2:$E$998,$D109,clean!$F$2:$F$998,$E109)</f>
        <v>166882533.33333334</v>
      </c>
      <c r="U109">
        <f>AVERAGEIFS(clean!U$2:U$998,clean!$B$2:$B$998,$A109,clean!$C$2:$C$998,$B109,clean!$D$2:$D$998,$C109,clean!$E$2:$E$998,$D109,clean!$F$2:$F$998,$E109)</f>
        <v>33603191233.333332</v>
      </c>
      <c r="V109">
        <f>AVERAGEIFS(clean!V$2:V$998,clean!$B$2:$B$998,$A109,clean!$C$2:$C$998,$B109,clean!$D$2:$D$998,$C109,clean!$E$2:$E$998,$D109,clean!$F$2:$F$998,$E109)</f>
        <v>53939214366.666664</v>
      </c>
      <c r="W109">
        <f>AVERAGEIFS(clean!W$2:W$998,clean!$B$2:$B$998,$A109,clean!$C$2:$C$998,$B109,clean!$D$2:$D$998,$C109,clean!$E$2:$E$998,$D109,clean!$F$2:$F$998,$E109)</f>
        <v>1884900</v>
      </c>
      <c r="X109">
        <f t="shared" si="3"/>
        <v>12787934800.000008</v>
      </c>
      <c r="Y109">
        <f>AVERAGEIFS(clean!X$2:X$998,clean!$B$2:$B$998,$A109,clean!$C$2:$C$998,$B109,clean!$D$2:$D$998,$C109,clean!$E$2:$E$998,$D109,clean!$F$2:$F$998,$E109)</f>
        <v>22532638900</v>
      </c>
    </row>
    <row r="110" spans="1:25" x14ac:dyDescent="0.3">
      <c r="A110">
        <v>524288</v>
      </c>
      <c r="B110">
        <v>3</v>
      </c>
      <c r="C110">
        <v>64</v>
      </c>
      <c r="D110">
        <v>0.35</v>
      </c>
      <c r="E110">
        <v>13</v>
      </c>
      <c r="F110">
        <f>AVERAGEIFS(clean!G$2:G$998,clean!$B$2:$B$998,$A110,clean!$C$2:$C$998,$B110,clean!$D$2:$D$998,$C110,clean!$E$2:$E$998,$D110,clean!$F$2:$F$998,$E110)</f>
        <v>16383</v>
      </c>
      <c r="G110">
        <f>AVERAGEIFS(clean!H$2:H$998,clean!$B$2:$B$998,$A110,clean!$C$2:$C$998,$B110,clean!$D$2:$D$998,$C110,clean!$E$2:$E$998,$D110,clean!$F$2:$F$998,$E110)</f>
        <v>828461.33333333337</v>
      </c>
      <c r="H110">
        <f>AVERAGEIFS(clean!I$2:I$998,clean!$B$2:$B$998,$A110,clean!$C$2:$C$998,$B110,clean!$D$2:$D$998,$C110,clean!$E$2:$E$998,$D110,clean!$F$2:$F$998,$E110)</f>
        <v>14586128233.333334</v>
      </c>
      <c r="I110">
        <f>AVERAGEIFS(clean!J$2:J$998,clean!$B$2:$B$998,$A110,clean!$C$2:$C$998,$B110,clean!$D$2:$D$998,$C110,clean!$E$2:$E$998,$D110,clean!$F$2:$F$998,$E110)</f>
        <v>85210016133.333328</v>
      </c>
      <c r="J110">
        <f>AVERAGEIFS(clean!K$2:K$998,clean!$B$2:$B$998,$A110,clean!$C$2:$C$998,$B110,clean!$D$2:$D$998,$C110,clean!$E$2:$E$998,$D110,clean!$F$2:$F$998,$E110)</f>
        <v>5.8422690544754303</v>
      </c>
      <c r="K110">
        <f>AVERAGEIFS(clean!L$2:L$998,clean!$B$2:$B$998,$A110,clean!$C$2:$C$998,$B110,clean!$D$2:$D$998,$C110,clean!$E$2:$E$998,$D110,clean!$F$2:$F$998,$E110)</f>
        <v>182239500</v>
      </c>
      <c r="L110">
        <f>AVERAGEIFS(clean!M$2:M$998,clean!$B$2:$B$998,$A110,clean!$C$2:$C$998,$B110,clean!$D$2:$D$998,$C110,clean!$E$2:$E$998,$D110,clean!$F$2:$F$998,$E110)</f>
        <v>433890366.66666669</v>
      </c>
      <c r="M110">
        <f>AVERAGEIFS(clean!N$2:N$998,clean!$B$2:$B$998,$A110,clean!$C$2:$C$998,$B110,clean!$D$2:$D$998,$C110,clean!$E$2:$E$998,$D110,clean!$F$2:$F$998,$E110)</f>
        <v>6281690300</v>
      </c>
      <c r="N110">
        <f>AVERAGEIFS(clean!O$2:O$998,clean!$B$2:$B$998,$A110,clean!$C$2:$C$998,$B110,clean!$D$2:$D$998,$C110,clean!$E$2:$E$998,$D110,clean!$F$2:$F$998,$E110)</f>
        <v>6715580666.666667</v>
      </c>
      <c r="O110">
        <f>AVERAGEIFS(clean!P$2:P$998,clean!$B$2:$B$998,$A110,clean!$C$2:$C$998,$B110,clean!$D$2:$D$998,$C110,clean!$E$2:$E$998,$D110,clean!$F$2:$F$998,$E110)</f>
        <v>2266033.3333333335</v>
      </c>
      <c r="P110">
        <f>AVERAGEIFS(clean!Q$2:Q$998,clean!$B$2:$B$998,$A110,clean!$C$2:$C$998,$B110,clean!$D$2:$D$998,$C110,clean!$E$2:$E$998,$D110,clean!$F$2:$F$998,$E110)</f>
        <v>6954640500</v>
      </c>
      <c r="Q110">
        <f>AVERAGEIFS(clean!R$2:R$998,clean!$B$2:$B$998,$A110,clean!$C$2:$C$998,$B110,clean!$D$2:$D$998,$C110,clean!$E$2:$E$998,$D110,clean!$F$2:$F$998,$E110)</f>
        <v>6956906533.333333</v>
      </c>
      <c r="R110">
        <f>AVERAGEIFS(clean!S$2:S$998,clean!$B$2:$B$998,$A110,clean!$C$2:$C$998,$B110,clean!$D$2:$D$998,$C110,clean!$E$2:$E$998,$D110,clean!$F$2:$F$998,$E110)</f>
        <v>4558100</v>
      </c>
      <c r="S110">
        <f t="shared" si="2"/>
        <v>726843433.33333397</v>
      </c>
      <c r="T110">
        <f>AVERAGEIFS(clean!T$2:T$998,clean!$B$2:$B$998,$A110,clean!$C$2:$C$998,$B110,clean!$D$2:$D$998,$C110,clean!$E$2:$E$998,$D110,clean!$F$2:$F$998,$E110)</f>
        <v>194954800</v>
      </c>
      <c r="U110">
        <f>AVERAGEIFS(clean!U$2:U$998,clean!$B$2:$B$998,$A110,clean!$C$2:$C$998,$B110,clean!$D$2:$D$998,$C110,clean!$E$2:$E$998,$D110,clean!$F$2:$F$998,$E110)</f>
        <v>32427332466.666668</v>
      </c>
      <c r="V110">
        <f>AVERAGEIFS(clean!V$2:V$998,clean!$B$2:$B$998,$A110,clean!$C$2:$C$998,$B110,clean!$D$2:$D$998,$C110,clean!$E$2:$E$998,$D110,clean!$F$2:$F$998,$E110)</f>
        <v>49602540800</v>
      </c>
      <c r="W110">
        <f>AVERAGEIFS(clean!W$2:W$998,clean!$B$2:$B$998,$A110,clean!$C$2:$C$998,$B110,clean!$D$2:$D$998,$C110,clean!$E$2:$E$998,$D110,clean!$F$2:$F$998,$E110)</f>
        <v>1835533.3333333333</v>
      </c>
      <c r="X110">
        <f t="shared" si="3"/>
        <v>2983352533.333323</v>
      </c>
      <c r="Y110">
        <f>AVERAGEIFS(clean!X$2:X$998,clean!$B$2:$B$998,$A110,clean!$C$2:$C$998,$B110,clean!$D$2:$D$998,$C110,clean!$E$2:$E$998,$D110,clean!$F$2:$F$998,$E110)</f>
        <v>14586128233.333334</v>
      </c>
    </row>
    <row r="111" spans="1:25" x14ac:dyDescent="0.3">
      <c r="A111">
        <v>524288</v>
      </c>
      <c r="B111">
        <v>4</v>
      </c>
      <c r="C111">
        <v>125</v>
      </c>
      <c r="D111">
        <v>0.35</v>
      </c>
      <c r="E111">
        <v>13</v>
      </c>
      <c r="F111">
        <f>AVERAGEIFS(clean!G$2:G$998,clean!$B$2:$B$998,$A111,clean!$C$2:$C$998,$B111,clean!$D$2:$D$998,$C111,clean!$E$2:$E$998,$D111,clean!$F$2:$F$998,$E111)</f>
        <v>16383</v>
      </c>
      <c r="G111">
        <f>AVERAGEIFS(clean!H$2:H$998,clean!$B$2:$B$998,$A111,clean!$C$2:$C$998,$B111,clean!$D$2:$D$998,$C111,clean!$E$2:$E$998,$D111,clean!$F$2:$F$998,$E111)</f>
        <v>829028</v>
      </c>
      <c r="H111">
        <f>AVERAGEIFS(clean!I$2:I$998,clean!$B$2:$B$998,$A111,clean!$C$2:$C$998,$B111,clean!$D$2:$D$998,$C111,clean!$E$2:$E$998,$D111,clean!$F$2:$F$998,$E111)</f>
        <v>30287637166.666668</v>
      </c>
      <c r="I111">
        <f>AVERAGEIFS(clean!J$2:J$998,clean!$B$2:$B$998,$A111,clean!$C$2:$C$998,$B111,clean!$D$2:$D$998,$C111,clean!$E$2:$E$998,$D111,clean!$F$2:$F$998,$E111)</f>
        <v>176399100700</v>
      </c>
      <c r="J111">
        <f>AVERAGEIFS(clean!K$2:K$998,clean!$B$2:$B$998,$A111,clean!$C$2:$C$998,$B111,clean!$D$2:$D$998,$C111,clean!$E$2:$E$998,$D111,clean!$F$2:$F$998,$E111)</f>
        <v>5.8242143863435301</v>
      </c>
      <c r="K111">
        <f>AVERAGEIFS(clean!L$2:L$998,clean!$B$2:$B$998,$A111,clean!$C$2:$C$998,$B111,clean!$D$2:$D$998,$C111,clean!$E$2:$E$998,$D111,clean!$F$2:$F$998,$E111)</f>
        <v>216063000</v>
      </c>
      <c r="L111">
        <f>AVERAGEIFS(clean!M$2:M$998,clean!$B$2:$B$998,$A111,clean!$C$2:$C$998,$B111,clean!$D$2:$D$998,$C111,clean!$E$2:$E$998,$D111,clean!$F$2:$F$998,$E111)</f>
        <v>1326604100</v>
      </c>
      <c r="M111">
        <f>AVERAGEIFS(clean!N$2:N$998,clean!$B$2:$B$998,$A111,clean!$C$2:$C$998,$B111,clean!$D$2:$D$998,$C111,clean!$E$2:$E$998,$D111,clean!$F$2:$F$998,$E111)</f>
        <v>20795317033.333332</v>
      </c>
      <c r="N111">
        <f>AVERAGEIFS(clean!O$2:O$998,clean!$B$2:$B$998,$A111,clean!$C$2:$C$998,$B111,clean!$D$2:$D$998,$C111,clean!$E$2:$E$998,$D111,clean!$F$2:$F$998,$E111)</f>
        <v>22121921133.333332</v>
      </c>
      <c r="O111">
        <f>AVERAGEIFS(clean!P$2:P$998,clean!$B$2:$B$998,$A111,clean!$C$2:$C$998,$B111,clean!$D$2:$D$998,$C111,clean!$E$2:$E$998,$D111,clean!$F$2:$F$998,$E111)</f>
        <v>2194766.6666666665</v>
      </c>
      <c r="P111">
        <f>AVERAGEIFS(clean!Q$2:Q$998,clean!$B$2:$B$998,$A111,clean!$C$2:$C$998,$B111,clean!$D$2:$D$998,$C111,clean!$E$2:$E$998,$D111,clean!$F$2:$F$998,$E111)</f>
        <v>7167253666.666667</v>
      </c>
      <c r="Q111">
        <f>AVERAGEIFS(clean!R$2:R$998,clean!$B$2:$B$998,$A111,clean!$C$2:$C$998,$B111,clean!$D$2:$D$998,$C111,clean!$E$2:$E$998,$D111,clean!$F$2:$F$998,$E111)</f>
        <v>7169448433.333333</v>
      </c>
      <c r="R111">
        <f>AVERAGEIFS(clean!S$2:S$998,clean!$B$2:$B$998,$A111,clean!$C$2:$C$998,$B111,clean!$D$2:$D$998,$C111,clean!$E$2:$E$998,$D111,clean!$F$2:$F$998,$E111)</f>
        <v>4226366.666666667</v>
      </c>
      <c r="S111">
        <f t="shared" si="2"/>
        <v>775978233.33333623</v>
      </c>
      <c r="T111">
        <f>AVERAGEIFS(clean!T$2:T$998,clean!$B$2:$B$998,$A111,clean!$C$2:$C$998,$B111,clean!$D$2:$D$998,$C111,clean!$E$2:$E$998,$D111,clean!$F$2:$F$998,$E111)</f>
        <v>211990533.33333334</v>
      </c>
      <c r="U111">
        <f>AVERAGEIFS(clean!U$2:U$998,clean!$B$2:$B$998,$A111,clean!$C$2:$C$998,$B111,clean!$D$2:$D$998,$C111,clean!$E$2:$E$998,$D111,clean!$F$2:$F$998,$E111)</f>
        <v>120194981200</v>
      </c>
      <c r="V111">
        <f>AVERAGEIFS(clean!V$2:V$998,clean!$B$2:$B$998,$A111,clean!$C$2:$C$998,$B111,clean!$D$2:$D$998,$C111,clean!$E$2:$E$998,$D111,clean!$F$2:$F$998,$E111)</f>
        <v>49448242333.333336</v>
      </c>
      <c r="W111">
        <f>AVERAGEIFS(clean!W$2:W$998,clean!$B$2:$B$998,$A111,clean!$C$2:$C$998,$B111,clean!$D$2:$D$998,$C111,clean!$E$2:$E$998,$D111,clean!$F$2:$F$998,$E111)</f>
        <v>1835866.6666666667</v>
      </c>
      <c r="X111">
        <f t="shared" si="3"/>
        <v>6542050766.6666536</v>
      </c>
      <c r="Y111">
        <f>AVERAGEIFS(clean!X$2:X$998,clean!$B$2:$B$998,$A111,clean!$C$2:$C$998,$B111,clean!$D$2:$D$998,$C111,clean!$E$2:$E$998,$D111,clean!$F$2:$F$998,$E111)</f>
        <v>30287637166.666668</v>
      </c>
    </row>
    <row r="112" spans="1:25" x14ac:dyDescent="0.3">
      <c r="A112">
        <v>524288</v>
      </c>
      <c r="B112">
        <v>6</v>
      </c>
      <c r="C112">
        <v>343</v>
      </c>
      <c r="D112">
        <v>0.5</v>
      </c>
      <c r="E112">
        <v>11</v>
      </c>
      <c r="F112">
        <f>AVERAGEIFS(clean!G$2:G$998,clean!$B$2:$B$998,$A112,clean!$C$2:$C$998,$B112,clean!$D$2:$D$998,$C112,clean!$E$2:$E$998,$D112,clean!$F$2:$F$998,$E112)</f>
        <v>4095</v>
      </c>
      <c r="G112">
        <f>AVERAGEIFS(clean!H$2:H$998,clean!$B$2:$B$998,$A112,clean!$C$2:$C$998,$B112,clean!$D$2:$D$998,$C112,clean!$E$2:$E$998,$D112,clean!$F$2:$F$998,$E112)</f>
        <v>88293</v>
      </c>
      <c r="H112">
        <f>AVERAGEIFS(clean!I$2:I$998,clean!$B$2:$B$998,$A112,clean!$C$2:$C$998,$B112,clean!$D$2:$D$998,$C112,clean!$E$2:$E$998,$D112,clean!$F$2:$F$998,$E112)</f>
        <v>32672031325</v>
      </c>
      <c r="I112">
        <f>AVERAGEIFS(clean!J$2:J$998,clean!$B$2:$B$998,$A112,clean!$C$2:$C$998,$B112,clean!$D$2:$D$998,$C112,clean!$E$2:$E$998,$D112,clean!$F$2:$F$998,$E112)</f>
        <v>162625419975</v>
      </c>
      <c r="J112">
        <f>AVERAGEIFS(clean!K$2:K$998,clean!$B$2:$B$998,$A112,clean!$C$2:$C$998,$B112,clean!$D$2:$D$998,$C112,clean!$E$2:$E$998,$D112,clean!$F$2:$F$998,$E112)</f>
        <v>4.9775596609271506</v>
      </c>
      <c r="K112">
        <f>AVERAGEIFS(clean!L$2:L$998,clean!$B$2:$B$998,$A112,clean!$C$2:$C$998,$B112,clean!$D$2:$D$998,$C112,clean!$E$2:$E$998,$D112,clean!$F$2:$F$998,$E112)</f>
        <v>18508400</v>
      </c>
      <c r="L112">
        <f>AVERAGEIFS(clean!M$2:M$998,clean!$B$2:$B$998,$A112,clean!$C$2:$C$998,$B112,clean!$D$2:$D$998,$C112,clean!$E$2:$E$998,$D112,clean!$F$2:$F$998,$E112)</f>
        <v>7021496400</v>
      </c>
      <c r="M112">
        <f>AVERAGEIFS(clean!N$2:N$998,clean!$B$2:$B$998,$A112,clean!$C$2:$C$998,$B112,clean!$D$2:$D$998,$C112,clean!$E$2:$E$998,$D112,clean!$F$2:$F$998,$E112)</f>
        <v>12734490825</v>
      </c>
      <c r="N112">
        <f>AVERAGEIFS(clean!O$2:O$998,clean!$B$2:$B$998,$A112,clean!$C$2:$C$998,$B112,clean!$D$2:$D$998,$C112,clean!$E$2:$E$998,$D112,clean!$F$2:$F$998,$E112)</f>
        <v>19755987225</v>
      </c>
      <c r="O112">
        <f>AVERAGEIFS(clean!P$2:P$998,clean!$B$2:$B$998,$A112,clean!$C$2:$C$998,$B112,clean!$D$2:$D$998,$C112,clean!$E$2:$E$998,$D112,clean!$F$2:$F$998,$E112)</f>
        <v>264225</v>
      </c>
      <c r="P112">
        <f>AVERAGEIFS(clean!Q$2:Q$998,clean!$B$2:$B$998,$A112,clean!$C$2:$C$998,$B112,clean!$D$2:$D$998,$C112,clean!$E$2:$E$998,$D112,clean!$F$2:$F$998,$E112)</f>
        <v>11794091475</v>
      </c>
      <c r="Q112">
        <f>AVERAGEIFS(clean!R$2:R$998,clean!$B$2:$B$998,$A112,clean!$C$2:$C$998,$B112,clean!$D$2:$D$998,$C112,clean!$E$2:$E$998,$D112,clean!$F$2:$F$998,$E112)</f>
        <v>11794355700</v>
      </c>
      <c r="R112">
        <f>AVERAGEIFS(clean!S$2:S$998,clean!$B$2:$B$998,$A112,clean!$C$2:$C$998,$B112,clean!$D$2:$D$998,$C112,clean!$E$2:$E$998,$D112,clean!$F$2:$F$998,$E112)</f>
        <v>4238250</v>
      </c>
      <c r="S112">
        <f t="shared" si="2"/>
        <v>1098941750</v>
      </c>
      <c r="T112">
        <f>AVERAGEIFS(clean!T$2:T$998,clean!$B$2:$B$998,$A112,clean!$C$2:$C$998,$B112,clean!$D$2:$D$998,$C112,clean!$E$2:$E$998,$D112,clean!$F$2:$F$998,$E112)</f>
        <v>181471450</v>
      </c>
      <c r="U112">
        <f>AVERAGEIFS(clean!U$2:U$998,clean!$B$2:$B$998,$A112,clean!$C$2:$C$998,$B112,clean!$D$2:$D$998,$C112,clean!$E$2:$E$998,$D112,clean!$F$2:$F$998,$E112)</f>
        <v>60228201200</v>
      </c>
      <c r="V112">
        <f>AVERAGEIFS(clean!V$2:V$998,clean!$B$2:$B$998,$A112,clean!$C$2:$C$998,$B112,clean!$D$2:$D$998,$C112,clean!$E$2:$E$998,$D112,clean!$F$2:$F$998,$E112)</f>
        <v>91401730900</v>
      </c>
      <c r="W112">
        <f>AVERAGEIFS(clean!W$2:W$998,clean!$B$2:$B$998,$A112,clean!$C$2:$C$998,$B112,clean!$D$2:$D$998,$C112,clean!$E$2:$E$998,$D112,clean!$F$2:$F$998,$E112)</f>
        <v>1869375</v>
      </c>
      <c r="X112">
        <f t="shared" si="3"/>
        <v>10812147050</v>
      </c>
      <c r="Y112">
        <f>AVERAGEIFS(clean!X$2:X$998,clean!$B$2:$B$998,$A112,clean!$C$2:$C$998,$B112,clean!$D$2:$D$998,$C112,clean!$E$2:$E$998,$D112,clean!$F$2:$F$998,$E112)</f>
        <v>32672031325</v>
      </c>
    </row>
    <row r="113" spans="1:25" x14ac:dyDescent="0.3">
      <c r="A113">
        <v>524288</v>
      </c>
      <c r="B113">
        <v>5</v>
      </c>
      <c r="C113">
        <v>216</v>
      </c>
      <c r="D113">
        <v>0.35</v>
      </c>
      <c r="E113">
        <v>12</v>
      </c>
      <c r="F113">
        <f>AVERAGEIFS(clean!G$2:G$998,clean!$B$2:$B$998,$A113,clean!$C$2:$C$998,$B113,clean!$D$2:$D$998,$C113,clean!$E$2:$E$998,$D113,clean!$F$2:$F$998,$E113)</f>
        <v>8191</v>
      </c>
      <c r="G113">
        <f>AVERAGEIFS(clean!H$2:H$998,clean!$B$2:$B$998,$A113,clean!$C$2:$C$998,$B113,clean!$D$2:$D$998,$C113,clean!$E$2:$E$998,$D113,clean!$F$2:$F$998,$E113)</f>
        <v>504657.33333333331</v>
      </c>
      <c r="H113">
        <f>AVERAGEIFS(clean!I$2:I$998,clean!$B$2:$B$998,$A113,clean!$C$2:$C$998,$B113,clean!$D$2:$D$998,$C113,clean!$E$2:$E$998,$D113,clean!$F$2:$F$998,$E113)</f>
        <v>47448948266.666664</v>
      </c>
      <c r="I113">
        <f>AVERAGEIFS(clean!J$2:J$998,clean!$B$2:$B$998,$A113,clean!$C$2:$C$998,$B113,clean!$D$2:$D$998,$C113,clean!$E$2:$E$998,$D113,clean!$F$2:$F$998,$E113)</f>
        <v>259748324266.66666</v>
      </c>
      <c r="J113">
        <f>AVERAGEIFS(clean!K$2:K$998,clean!$B$2:$B$998,$A113,clean!$C$2:$C$998,$B113,clean!$D$2:$D$998,$C113,clean!$E$2:$E$998,$D113,clean!$F$2:$F$998,$E113)</f>
        <v>5.4743135477469194</v>
      </c>
      <c r="K113">
        <f>AVERAGEIFS(clean!L$2:L$998,clean!$B$2:$B$998,$A113,clean!$C$2:$C$998,$B113,clean!$D$2:$D$998,$C113,clean!$E$2:$E$998,$D113,clean!$F$2:$F$998,$E113)</f>
        <v>87453433.333333328</v>
      </c>
      <c r="L113">
        <f>AVERAGEIFS(clean!M$2:M$998,clean!$B$2:$B$998,$A113,clean!$C$2:$C$998,$B113,clean!$D$2:$D$998,$C113,clean!$E$2:$E$998,$D113,clean!$F$2:$F$998,$E113)</f>
        <v>2909847833.3333335</v>
      </c>
      <c r="M113">
        <f>AVERAGEIFS(clean!N$2:N$998,clean!$B$2:$B$998,$A113,clean!$C$2:$C$998,$B113,clean!$D$2:$D$998,$C113,clean!$E$2:$E$998,$D113,clean!$F$2:$F$998,$E113)</f>
        <v>26612369766.666668</v>
      </c>
      <c r="N113">
        <f>AVERAGEIFS(clean!O$2:O$998,clean!$B$2:$B$998,$A113,clean!$C$2:$C$998,$B113,clean!$D$2:$D$998,$C113,clean!$E$2:$E$998,$D113,clean!$F$2:$F$998,$E113)</f>
        <v>29522217600</v>
      </c>
      <c r="O113">
        <f>AVERAGEIFS(clean!P$2:P$998,clean!$B$2:$B$998,$A113,clean!$C$2:$C$998,$B113,clean!$D$2:$D$998,$C113,clean!$E$2:$E$998,$D113,clean!$F$2:$F$998,$E113)</f>
        <v>1332100</v>
      </c>
      <c r="P113">
        <f>AVERAGEIFS(clean!Q$2:Q$998,clean!$B$2:$B$998,$A113,clean!$C$2:$C$998,$B113,clean!$D$2:$D$998,$C113,clean!$E$2:$E$998,$D113,clean!$F$2:$F$998,$E113)</f>
        <v>16903209066.666666</v>
      </c>
      <c r="Q113">
        <f>AVERAGEIFS(clean!R$2:R$998,clean!$B$2:$B$998,$A113,clean!$C$2:$C$998,$B113,clean!$D$2:$D$998,$C113,clean!$E$2:$E$998,$D113,clean!$F$2:$F$998,$E113)</f>
        <v>16904541166.666666</v>
      </c>
      <c r="R113">
        <f>AVERAGEIFS(clean!S$2:S$998,clean!$B$2:$B$998,$A113,clean!$C$2:$C$998,$B113,clean!$D$2:$D$998,$C113,clean!$E$2:$E$998,$D113,clean!$F$2:$F$998,$E113)</f>
        <v>4061766.6666666665</v>
      </c>
      <c r="S113">
        <f t="shared" si="2"/>
        <v>930674299.99999559</v>
      </c>
      <c r="T113">
        <f>AVERAGEIFS(clean!T$2:T$998,clean!$B$2:$B$998,$A113,clean!$C$2:$C$998,$B113,clean!$D$2:$D$998,$C113,clean!$E$2:$E$998,$D113,clean!$F$2:$F$998,$E113)</f>
        <v>299631166.66666669</v>
      </c>
      <c r="U113">
        <f>AVERAGEIFS(clean!U$2:U$998,clean!$B$2:$B$998,$A113,clean!$C$2:$C$998,$B113,clean!$D$2:$D$998,$C113,clean!$E$2:$E$998,$D113,clean!$F$2:$F$998,$E113)</f>
        <v>126629074100</v>
      </c>
      <c r="V113">
        <f>AVERAGEIFS(clean!V$2:V$998,clean!$B$2:$B$998,$A113,clean!$C$2:$C$998,$B113,clean!$D$2:$D$998,$C113,clean!$E$2:$E$998,$D113,clean!$F$2:$F$998,$E113)</f>
        <v>124180769500</v>
      </c>
      <c r="W113">
        <f>AVERAGEIFS(clean!W$2:W$998,clean!$B$2:$B$998,$A113,clean!$C$2:$C$998,$B113,clean!$D$2:$D$998,$C113,clean!$E$2:$E$998,$D113,clean!$F$2:$F$998,$E113)</f>
        <v>1886300</v>
      </c>
      <c r="X113">
        <f t="shared" si="3"/>
        <v>8636963200</v>
      </c>
      <c r="Y113">
        <f>AVERAGEIFS(clean!X$2:X$998,clean!$B$2:$B$998,$A113,clean!$C$2:$C$998,$B113,clean!$D$2:$D$998,$C113,clean!$E$2:$E$998,$D113,clean!$F$2:$F$998,$E113)</f>
        <v>47448948266.666664</v>
      </c>
    </row>
    <row r="114" spans="1:25" x14ac:dyDescent="0.3">
      <c r="A114">
        <v>524288</v>
      </c>
      <c r="B114">
        <v>7</v>
      </c>
      <c r="C114">
        <v>512</v>
      </c>
      <c r="D114">
        <v>0.5</v>
      </c>
      <c r="E114">
        <v>10</v>
      </c>
      <c r="F114">
        <f>AVERAGEIFS(clean!G$2:G$998,clean!$B$2:$B$998,$A114,clean!$C$2:$C$998,$B114,clean!$D$2:$D$998,$C114,clean!$E$2:$E$998,$D114,clean!$F$2:$F$998,$E114)</f>
        <v>2047</v>
      </c>
      <c r="G114">
        <f>AVERAGEIFS(clean!H$2:H$998,clean!$B$2:$B$998,$A114,clean!$C$2:$C$998,$B114,clean!$D$2:$D$998,$C114,clean!$E$2:$E$998,$D114,clean!$F$2:$F$998,$E114)</f>
        <v>34928</v>
      </c>
      <c r="H114">
        <f>AVERAGEIFS(clean!I$2:I$998,clean!$B$2:$B$998,$A114,clean!$C$2:$C$998,$B114,clean!$D$2:$D$998,$C114,clean!$E$2:$E$998,$D114,clean!$F$2:$F$998,$E114)</f>
        <v>41468324675</v>
      </c>
      <c r="I114">
        <f>AVERAGEIFS(clean!J$2:J$998,clean!$B$2:$B$998,$A114,clean!$C$2:$C$998,$B114,clean!$D$2:$D$998,$C114,clean!$E$2:$E$998,$D114,clean!$F$2:$F$998,$E114)</f>
        <v>234449307225</v>
      </c>
      <c r="J114">
        <f>AVERAGEIFS(clean!K$2:K$998,clean!$B$2:$B$998,$A114,clean!$C$2:$C$998,$B114,clean!$D$2:$D$998,$C114,clean!$E$2:$E$998,$D114,clean!$F$2:$F$998,$E114)</f>
        <v>5.6537143232386073</v>
      </c>
      <c r="K114">
        <f>AVERAGEIFS(clean!L$2:L$998,clean!$B$2:$B$998,$A114,clean!$C$2:$C$998,$B114,clean!$D$2:$D$998,$C114,clean!$E$2:$E$998,$D114,clean!$F$2:$F$998,$E114)</f>
        <v>8162925</v>
      </c>
      <c r="L114">
        <f>AVERAGEIFS(clean!M$2:M$998,clean!$B$2:$B$998,$A114,clean!$C$2:$C$998,$B114,clean!$D$2:$D$998,$C114,clean!$E$2:$E$998,$D114,clean!$F$2:$F$998,$E114)</f>
        <v>8414702800</v>
      </c>
      <c r="M114">
        <f>AVERAGEIFS(clean!N$2:N$998,clean!$B$2:$B$998,$A114,clean!$C$2:$C$998,$B114,clean!$D$2:$D$998,$C114,clean!$E$2:$E$998,$D114,clean!$F$2:$F$998,$E114)</f>
        <v>13216683550</v>
      </c>
      <c r="N114">
        <f>AVERAGEIFS(clean!O$2:O$998,clean!$B$2:$B$998,$A114,clean!$C$2:$C$998,$B114,clean!$D$2:$D$998,$C114,clean!$E$2:$E$998,$D114,clean!$F$2:$F$998,$E114)</f>
        <v>21631386350</v>
      </c>
      <c r="O114">
        <f>AVERAGEIFS(clean!P$2:P$998,clean!$B$2:$B$998,$A114,clean!$C$2:$C$998,$B114,clean!$D$2:$D$998,$C114,clean!$E$2:$E$998,$D114,clean!$F$2:$F$998,$E114)</f>
        <v>126600</v>
      </c>
      <c r="P114">
        <f>AVERAGEIFS(clean!Q$2:Q$998,clean!$B$2:$B$998,$A114,clean!$C$2:$C$998,$B114,clean!$D$2:$D$998,$C114,clean!$E$2:$E$998,$D114,clean!$F$2:$F$998,$E114)</f>
        <v>18725511100</v>
      </c>
      <c r="Q114">
        <f>AVERAGEIFS(clean!R$2:R$998,clean!$B$2:$B$998,$A114,clean!$C$2:$C$998,$B114,clean!$D$2:$D$998,$C114,clean!$E$2:$E$998,$D114,clean!$F$2:$F$998,$E114)</f>
        <v>18725637700</v>
      </c>
      <c r="R114">
        <f>AVERAGEIFS(clean!S$2:S$998,clean!$B$2:$B$998,$A114,clean!$C$2:$C$998,$B114,clean!$D$2:$D$998,$C114,clean!$E$2:$E$998,$D114,clean!$F$2:$F$998,$E114)</f>
        <v>4297400</v>
      </c>
      <c r="S114">
        <f t="shared" si="2"/>
        <v>1098840300</v>
      </c>
      <c r="T114">
        <f>AVERAGEIFS(clean!T$2:T$998,clean!$B$2:$B$998,$A114,clean!$C$2:$C$998,$B114,clean!$D$2:$D$998,$C114,clean!$E$2:$E$998,$D114,clean!$F$2:$F$998,$E114)</f>
        <v>168894050</v>
      </c>
      <c r="U114">
        <f>AVERAGEIFS(clean!U$2:U$998,clean!$B$2:$B$998,$A114,clean!$C$2:$C$998,$B114,clean!$D$2:$D$998,$C114,clean!$E$2:$E$998,$D114,clean!$F$2:$F$998,$E114)</f>
        <v>70361940875</v>
      </c>
      <c r="V114">
        <f>AVERAGEIFS(clean!V$2:V$998,clean!$B$2:$B$998,$A114,clean!$C$2:$C$998,$B114,clean!$D$2:$D$998,$C114,clean!$E$2:$E$998,$D114,clean!$F$2:$F$998,$E114)</f>
        <v>151378663725</v>
      </c>
      <c r="W114">
        <f>AVERAGEIFS(clean!W$2:W$998,clean!$B$2:$B$998,$A114,clean!$C$2:$C$998,$B114,clean!$D$2:$D$998,$C114,clean!$E$2:$E$998,$D114,clean!$F$2:$F$998,$E114)</f>
        <v>1844850</v>
      </c>
      <c r="X114">
        <f t="shared" si="3"/>
        <v>12537963725</v>
      </c>
      <c r="Y114">
        <f>AVERAGEIFS(clean!X$2:X$998,clean!$B$2:$B$998,$A114,clean!$C$2:$C$998,$B114,clean!$D$2:$D$998,$C114,clean!$E$2:$E$998,$D114,clean!$F$2:$F$998,$E114)</f>
        <v>41468324675</v>
      </c>
    </row>
    <row r="115" spans="1:25" x14ac:dyDescent="0.3">
      <c r="A115">
        <v>524288</v>
      </c>
      <c r="B115">
        <v>6</v>
      </c>
      <c r="C115">
        <v>343</v>
      </c>
      <c r="D115">
        <v>0.35</v>
      </c>
      <c r="E115">
        <v>11</v>
      </c>
      <c r="F115">
        <f>AVERAGEIFS(clean!G$2:G$998,clean!$B$2:$B$998,$A115,clean!$C$2:$C$998,$B115,clean!$D$2:$D$998,$C115,clean!$E$2:$E$998,$D115,clean!$F$2:$F$998,$E115)</f>
        <v>4095</v>
      </c>
      <c r="G115">
        <f>AVERAGEIFS(clean!H$2:H$998,clean!$B$2:$B$998,$A115,clean!$C$2:$C$998,$B115,clean!$D$2:$D$998,$C115,clean!$E$2:$E$998,$D115,clean!$F$2:$F$998,$E115)</f>
        <v>215846.66666666666</v>
      </c>
      <c r="H115">
        <f>AVERAGEIFS(clean!I$2:I$998,clean!$B$2:$B$998,$A115,clean!$C$2:$C$998,$B115,clean!$D$2:$D$998,$C115,clean!$E$2:$E$998,$D115,clean!$F$2:$F$998,$E115)</f>
        <v>68466253033.333336</v>
      </c>
      <c r="I115">
        <f>AVERAGEIFS(clean!J$2:J$998,clean!$B$2:$B$998,$A115,clean!$C$2:$C$998,$B115,clean!$D$2:$D$998,$C115,clean!$E$2:$E$998,$D115,clean!$F$2:$F$998,$E115)</f>
        <v>383327681900</v>
      </c>
      <c r="J115">
        <f>AVERAGEIFS(clean!K$2:K$998,clean!$B$2:$B$998,$A115,clean!$C$2:$C$998,$B115,clean!$D$2:$D$998,$C115,clean!$E$2:$E$998,$D115,clean!$F$2:$F$998,$E115)</f>
        <v>5.5987852944629237</v>
      </c>
      <c r="K115">
        <f>AVERAGEIFS(clean!L$2:L$998,clean!$B$2:$B$998,$A115,clean!$C$2:$C$998,$B115,clean!$D$2:$D$998,$C115,clean!$E$2:$E$998,$D115,clean!$F$2:$F$998,$E115)</f>
        <v>36983866.666666664</v>
      </c>
      <c r="L115">
        <f>AVERAGEIFS(clean!M$2:M$998,clean!$B$2:$B$998,$A115,clean!$C$2:$C$998,$B115,clean!$D$2:$D$998,$C115,clean!$E$2:$E$998,$D115,clean!$F$2:$F$998,$E115)</f>
        <v>7013627066.666667</v>
      </c>
      <c r="M115">
        <f>AVERAGEIFS(clean!N$2:N$998,clean!$B$2:$B$998,$A115,clean!$C$2:$C$998,$B115,clean!$D$2:$D$998,$C115,clean!$E$2:$E$998,$D115,clean!$F$2:$F$998,$E115)</f>
        <v>31398194066.666668</v>
      </c>
      <c r="N115">
        <f>AVERAGEIFS(clean!O$2:O$998,clean!$B$2:$B$998,$A115,clean!$C$2:$C$998,$B115,clean!$D$2:$D$998,$C115,clean!$E$2:$E$998,$D115,clean!$F$2:$F$998,$E115)</f>
        <v>38411821133.333336</v>
      </c>
      <c r="O115">
        <f>AVERAGEIFS(clean!P$2:P$998,clean!$B$2:$B$998,$A115,clean!$C$2:$C$998,$B115,clean!$D$2:$D$998,$C115,clean!$E$2:$E$998,$D115,clean!$F$2:$F$998,$E115)</f>
        <v>651566.66666666663</v>
      </c>
      <c r="P115">
        <f>AVERAGEIFS(clean!Q$2:Q$998,clean!$B$2:$B$998,$A115,clean!$C$2:$C$998,$B115,clean!$D$2:$D$998,$C115,clean!$E$2:$E$998,$D115,clean!$F$2:$F$998,$E115)</f>
        <v>28920375900</v>
      </c>
      <c r="Q115">
        <f>AVERAGEIFS(clean!R$2:R$998,clean!$B$2:$B$998,$A115,clean!$C$2:$C$998,$B115,clean!$D$2:$D$998,$C115,clean!$E$2:$E$998,$D115,clean!$F$2:$F$998,$E115)</f>
        <v>28921027466.666668</v>
      </c>
      <c r="R115">
        <f>AVERAGEIFS(clean!S$2:S$998,clean!$B$2:$B$998,$A115,clean!$C$2:$C$998,$B115,clean!$D$2:$D$998,$C115,clean!$E$2:$E$998,$D115,clean!$F$2:$F$998,$E115)</f>
        <v>4044566.6666666665</v>
      </c>
      <c r="S115">
        <f t="shared" si="2"/>
        <v>1092376000.0000012</v>
      </c>
      <c r="T115">
        <f>AVERAGEIFS(clean!T$2:T$998,clean!$B$2:$B$998,$A115,clean!$C$2:$C$998,$B115,clean!$D$2:$D$998,$C115,clean!$E$2:$E$998,$D115,clean!$F$2:$F$998,$E115)</f>
        <v>187503800</v>
      </c>
      <c r="U115">
        <f>AVERAGEIFS(clean!U$2:U$998,clean!$B$2:$B$998,$A115,clean!$C$2:$C$998,$B115,clean!$D$2:$D$998,$C115,clean!$E$2:$E$998,$D115,clean!$F$2:$F$998,$E115)</f>
        <v>148773189100</v>
      </c>
      <c r="V115">
        <f>AVERAGEIFS(clean!V$2:V$998,clean!$B$2:$B$998,$A115,clean!$C$2:$C$998,$B115,clean!$D$2:$D$998,$C115,clean!$E$2:$E$998,$D115,clean!$F$2:$F$998,$E115)</f>
        <v>223551719500</v>
      </c>
      <c r="W115">
        <f>AVERAGEIFS(clean!W$2:W$998,clean!$B$2:$B$998,$A115,clean!$C$2:$C$998,$B115,clean!$D$2:$D$998,$C115,clean!$E$2:$E$998,$D115,clean!$F$2:$F$998,$E115)</f>
        <v>2262266.6666666665</v>
      </c>
      <c r="X115">
        <f t="shared" si="3"/>
        <v>10813007233.333334</v>
      </c>
      <c r="Y115">
        <f>AVERAGEIFS(clean!X$2:X$998,clean!$B$2:$B$998,$A115,clean!$C$2:$C$998,$B115,clean!$D$2:$D$998,$C115,clean!$E$2:$E$998,$D115,clean!$F$2:$F$998,$E115)</f>
        <v>68466253033.333336</v>
      </c>
    </row>
    <row r="116" spans="1:25" x14ac:dyDescent="0.3">
      <c r="A116">
        <v>524288</v>
      </c>
      <c r="B116">
        <v>3</v>
      </c>
      <c r="C116">
        <v>64</v>
      </c>
      <c r="D116">
        <v>0.2</v>
      </c>
      <c r="E116">
        <v>13</v>
      </c>
      <c r="F116">
        <f>AVERAGEIFS(clean!G$2:G$998,clean!$B$2:$B$998,$A116,clean!$C$2:$C$998,$B116,clean!$D$2:$D$998,$C116,clean!$E$2:$E$998,$D116,clean!$F$2:$F$998,$E116)</f>
        <v>16383</v>
      </c>
      <c r="G116">
        <f>AVERAGEIFS(clean!H$2:H$998,clean!$B$2:$B$998,$A116,clean!$C$2:$C$998,$B116,clean!$D$2:$D$998,$C116,clean!$E$2:$E$998,$D116,clean!$F$2:$F$998,$E116)</f>
        <v>3668836</v>
      </c>
      <c r="H116">
        <f>AVERAGEIFS(clean!I$2:I$998,clean!$B$2:$B$998,$A116,clean!$C$2:$C$998,$B116,clean!$D$2:$D$998,$C116,clean!$E$2:$E$998,$D116,clean!$F$2:$F$998,$E116)</f>
        <v>57816268666.666664</v>
      </c>
      <c r="I116">
        <f>AVERAGEIFS(clean!J$2:J$998,clean!$B$2:$B$998,$A116,clean!$C$2:$C$998,$B116,clean!$D$2:$D$998,$C116,clean!$E$2:$E$998,$D116,clean!$F$2:$F$998,$E116)</f>
        <v>351953982466.66669</v>
      </c>
      <c r="J116">
        <f>AVERAGEIFS(clean!K$2:K$998,clean!$B$2:$B$998,$A116,clean!$C$2:$C$998,$B116,clean!$D$2:$D$998,$C116,clean!$E$2:$E$998,$D116,clean!$F$2:$F$998,$E116)</f>
        <v>6.0874819875761332</v>
      </c>
      <c r="K116">
        <f>AVERAGEIFS(clean!L$2:L$998,clean!$B$2:$B$998,$A116,clean!$C$2:$C$998,$B116,clean!$D$2:$D$998,$C116,clean!$E$2:$E$998,$D116,clean!$F$2:$F$998,$E116)</f>
        <v>780712833.33333337</v>
      </c>
      <c r="L116">
        <f>AVERAGEIFS(clean!M$2:M$998,clean!$B$2:$B$998,$A116,clean!$C$2:$C$998,$B116,clean!$D$2:$D$998,$C116,clean!$E$2:$E$998,$D116,clean!$F$2:$F$998,$E116)</f>
        <v>18914166.666666668</v>
      </c>
      <c r="M116">
        <f>AVERAGEIFS(clean!N$2:N$998,clean!$B$2:$B$998,$A116,clean!$C$2:$C$998,$B116,clean!$D$2:$D$998,$C116,clean!$E$2:$E$998,$D116,clean!$F$2:$F$998,$E116)</f>
        <v>25249610433.333332</v>
      </c>
      <c r="N116">
        <f>AVERAGEIFS(clean!O$2:O$998,clean!$B$2:$B$998,$A116,clean!$C$2:$C$998,$B116,clean!$D$2:$D$998,$C116,clean!$E$2:$E$998,$D116,clean!$F$2:$F$998,$E116)</f>
        <v>25268524600</v>
      </c>
      <c r="O116">
        <f>AVERAGEIFS(clean!P$2:P$998,clean!$B$2:$B$998,$A116,clean!$C$2:$C$998,$B116,clean!$D$2:$D$998,$C116,clean!$E$2:$E$998,$D116,clean!$F$2:$F$998,$E116)</f>
        <v>10060133.333333334</v>
      </c>
      <c r="P116">
        <f>AVERAGEIFS(clean!Q$2:Q$998,clean!$B$2:$B$998,$A116,clean!$C$2:$C$998,$B116,clean!$D$2:$D$998,$C116,clean!$E$2:$E$998,$D116,clean!$F$2:$F$998,$E116)</f>
        <v>31021438566.666668</v>
      </c>
      <c r="Q116">
        <f>AVERAGEIFS(clean!R$2:R$998,clean!$B$2:$B$998,$A116,clean!$C$2:$C$998,$B116,clean!$D$2:$D$998,$C116,clean!$E$2:$E$998,$D116,clean!$F$2:$F$998,$E116)</f>
        <v>31031498700</v>
      </c>
      <c r="R116">
        <f>AVERAGEIFS(clean!S$2:S$998,clean!$B$2:$B$998,$A116,clean!$C$2:$C$998,$B116,clean!$D$2:$D$998,$C116,clean!$E$2:$E$998,$D116,clean!$F$2:$F$998,$E116)</f>
        <v>6578100</v>
      </c>
      <c r="S116">
        <f t="shared" si="2"/>
        <v>728954433.33332825</v>
      </c>
      <c r="T116">
        <f>AVERAGEIFS(clean!T$2:T$998,clean!$B$2:$B$998,$A116,clean!$C$2:$C$998,$B116,clean!$D$2:$D$998,$C116,clean!$E$2:$E$998,$D116,clean!$F$2:$F$998,$E116)</f>
        <v>289012700</v>
      </c>
      <c r="U116">
        <f>AVERAGEIFS(clean!U$2:U$998,clean!$B$2:$B$998,$A116,clean!$C$2:$C$998,$B116,clean!$D$2:$D$998,$C116,clean!$E$2:$E$998,$D116,clean!$F$2:$F$998,$E116)</f>
        <v>129273141566.66667</v>
      </c>
      <c r="V116">
        <f>AVERAGEIFS(clean!V$2:V$998,clean!$B$2:$B$998,$A116,clean!$C$2:$C$998,$B116,clean!$D$2:$D$998,$C116,clean!$E$2:$E$998,$D116,clean!$F$2:$F$998,$E116)</f>
        <v>218939465566.66666</v>
      </c>
      <c r="W116">
        <f>AVERAGEIFS(clean!W$2:W$998,clean!$B$2:$B$998,$A116,clean!$C$2:$C$998,$B116,clean!$D$2:$D$998,$C116,clean!$E$2:$E$998,$D116,clean!$F$2:$F$998,$E116)</f>
        <v>1851600</v>
      </c>
      <c r="X116">
        <f t="shared" si="3"/>
        <v>3450511033.3333435</v>
      </c>
      <c r="Y116">
        <f>AVERAGEIFS(clean!X$2:X$998,clean!$B$2:$B$998,$A116,clean!$C$2:$C$998,$B116,clean!$D$2:$D$998,$C116,clean!$E$2:$E$998,$D116,clean!$F$2:$F$998,$E116)</f>
        <v>57816268666.666664</v>
      </c>
    </row>
    <row r="117" spans="1:25" x14ac:dyDescent="0.3">
      <c r="A117">
        <v>524288</v>
      </c>
      <c r="B117">
        <v>4</v>
      </c>
      <c r="C117">
        <v>125</v>
      </c>
      <c r="D117">
        <v>0.2</v>
      </c>
      <c r="E117">
        <v>13</v>
      </c>
      <c r="F117">
        <f>AVERAGEIFS(clean!G$2:G$998,clean!$B$2:$B$998,$A117,clean!$C$2:$C$998,$B117,clean!$D$2:$D$998,$C117,clean!$E$2:$E$998,$D117,clean!$F$2:$F$998,$E117)</f>
        <v>16383</v>
      </c>
      <c r="G117">
        <f>AVERAGEIFS(clean!H$2:H$998,clean!$B$2:$B$998,$A117,clean!$C$2:$C$998,$B117,clean!$D$2:$D$998,$C117,clean!$E$2:$E$998,$D117,clean!$F$2:$F$998,$E117)</f>
        <v>3670533.3333333335</v>
      </c>
      <c r="H117">
        <f>AVERAGEIFS(clean!I$2:I$998,clean!$B$2:$B$998,$A117,clean!$C$2:$C$998,$B117,clean!$D$2:$D$998,$C117,clean!$E$2:$E$998,$D117,clean!$F$2:$F$998,$E117)</f>
        <v>117384732933.33333</v>
      </c>
      <c r="I117">
        <f>AVERAGEIFS(clean!J$2:J$998,clean!$B$2:$B$998,$A117,clean!$C$2:$C$998,$B117,clean!$D$2:$D$998,$C117,clean!$E$2:$E$998,$D117,clean!$F$2:$F$998,$E117)</f>
        <v>703136337633.33337</v>
      </c>
      <c r="J117">
        <f>AVERAGEIFS(clean!K$2:K$998,clean!$B$2:$B$998,$A117,clean!$C$2:$C$998,$B117,clean!$D$2:$D$998,$C117,clean!$E$2:$E$998,$D117,clean!$F$2:$F$998,$E117)</f>
        <v>5.9900752325980564</v>
      </c>
      <c r="K117">
        <f>AVERAGEIFS(clean!L$2:L$998,clean!$B$2:$B$998,$A117,clean!$C$2:$C$998,$B117,clean!$D$2:$D$998,$C117,clean!$E$2:$E$998,$D117,clean!$F$2:$F$998,$E117)</f>
        <v>788597533.33333337</v>
      </c>
      <c r="L117">
        <f>AVERAGEIFS(clean!M$2:M$998,clean!$B$2:$B$998,$A117,clean!$C$2:$C$998,$B117,clean!$D$2:$D$998,$C117,clean!$E$2:$E$998,$D117,clean!$F$2:$F$998,$E117)</f>
        <v>780385666.66666663</v>
      </c>
      <c r="M117">
        <f>AVERAGEIFS(clean!N$2:N$998,clean!$B$2:$B$998,$A117,clean!$C$2:$C$998,$B117,clean!$D$2:$D$998,$C117,clean!$E$2:$E$998,$D117,clean!$F$2:$F$998,$E117)</f>
        <v>83150078633.333328</v>
      </c>
      <c r="N117">
        <f>AVERAGEIFS(clean!O$2:O$998,clean!$B$2:$B$998,$A117,clean!$C$2:$C$998,$B117,clean!$D$2:$D$998,$C117,clean!$E$2:$E$998,$D117,clean!$F$2:$F$998,$E117)</f>
        <v>83930464300</v>
      </c>
      <c r="O117">
        <f>AVERAGEIFS(clean!P$2:P$998,clean!$B$2:$B$998,$A117,clean!$C$2:$C$998,$B117,clean!$D$2:$D$998,$C117,clean!$E$2:$E$998,$D117,clean!$F$2:$F$998,$E117)</f>
        <v>10860933.333333334</v>
      </c>
      <c r="P117">
        <f>AVERAGEIFS(clean!Q$2:Q$998,clean!$B$2:$B$998,$A117,clean!$C$2:$C$998,$B117,clean!$D$2:$D$998,$C117,clean!$E$2:$E$998,$D117,clean!$F$2:$F$998,$E117)</f>
        <v>32062535266.666668</v>
      </c>
      <c r="Q117">
        <f>AVERAGEIFS(clean!R$2:R$998,clean!$B$2:$B$998,$A117,clean!$C$2:$C$998,$B117,clean!$D$2:$D$998,$C117,clean!$E$2:$E$998,$D117,clean!$F$2:$F$998,$E117)</f>
        <v>32073396200</v>
      </c>
      <c r="R117">
        <f>AVERAGEIFS(clean!S$2:S$998,clean!$B$2:$B$998,$A117,clean!$C$2:$C$998,$B117,clean!$D$2:$D$998,$C117,clean!$E$2:$E$998,$D117,clean!$F$2:$F$998,$E117)</f>
        <v>7017266.666666667</v>
      </c>
      <c r="S117">
        <f t="shared" si="2"/>
        <v>585257633.33333337</v>
      </c>
      <c r="T117">
        <f>AVERAGEIFS(clean!T$2:T$998,clean!$B$2:$B$998,$A117,clean!$C$2:$C$998,$B117,clean!$D$2:$D$998,$C117,clean!$E$2:$E$998,$D117,clean!$F$2:$F$998,$E117)</f>
        <v>509718166.66666669</v>
      </c>
      <c r="U117">
        <f>AVERAGEIFS(clean!U$2:U$998,clean!$B$2:$B$998,$A117,clean!$C$2:$C$998,$B117,clean!$D$2:$D$998,$C117,clean!$E$2:$E$998,$D117,clean!$F$2:$F$998,$E117)</f>
        <v>476745840466.66669</v>
      </c>
      <c r="V117">
        <f>AVERAGEIFS(clean!V$2:V$998,clean!$B$2:$B$998,$A117,clean!$C$2:$C$998,$B117,clean!$D$2:$D$998,$C117,clean!$E$2:$E$998,$D117,clean!$F$2:$F$998,$E117)</f>
        <v>219128026633.33334</v>
      </c>
      <c r="W117">
        <f>AVERAGEIFS(clean!W$2:W$998,clean!$B$2:$B$998,$A117,clean!$C$2:$C$998,$B117,clean!$D$2:$D$998,$C117,clean!$E$2:$E$998,$D117,clean!$F$2:$F$998,$E117)</f>
        <v>1977933.3333333333</v>
      </c>
      <c r="X117">
        <f t="shared" si="3"/>
        <v>6750774433.3333845</v>
      </c>
      <c r="Y117">
        <f>AVERAGEIFS(clean!X$2:X$998,clean!$B$2:$B$998,$A117,clean!$C$2:$C$998,$B117,clean!$D$2:$D$998,$C117,clean!$E$2:$E$998,$D117,clean!$F$2:$F$998,$E117)</f>
        <v>117384732933.33333</v>
      </c>
    </row>
    <row r="118" spans="1:25" x14ac:dyDescent="0.3">
      <c r="A118">
        <v>524288</v>
      </c>
      <c r="B118">
        <v>7</v>
      </c>
      <c r="C118">
        <v>512</v>
      </c>
      <c r="D118">
        <v>0.35</v>
      </c>
      <c r="E118">
        <v>10</v>
      </c>
      <c r="F118">
        <f>AVERAGEIFS(clean!G$2:G$998,clean!$B$2:$B$998,$A118,clean!$C$2:$C$998,$B118,clean!$D$2:$D$998,$C118,clean!$E$2:$E$998,$D118,clean!$F$2:$F$998,$E118)</f>
        <v>2047</v>
      </c>
      <c r="G118">
        <f>AVERAGEIFS(clean!H$2:H$998,clean!$B$2:$B$998,$A118,clean!$C$2:$C$998,$B118,clean!$D$2:$D$998,$C118,clean!$E$2:$E$998,$D118,clean!$F$2:$F$998,$E118)</f>
        <v>93434.666666666672</v>
      </c>
      <c r="H118">
        <f>AVERAGEIFS(clean!I$2:I$998,clean!$B$2:$B$998,$A118,clean!$C$2:$C$998,$B118,clean!$D$2:$D$998,$C118,clean!$E$2:$E$998,$D118,clean!$F$2:$F$998,$E118)</f>
        <v>89611063633.333328</v>
      </c>
      <c r="I118">
        <f>AVERAGEIFS(clean!J$2:J$998,clean!$B$2:$B$998,$A118,clean!$C$2:$C$998,$B118,clean!$D$2:$D$998,$C118,clean!$E$2:$E$998,$D118,clean!$F$2:$F$998,$E118)</f>
        <v>576494966633.33337</v>
      </c>
      <c r="J118">
        <f>AVERAGEIFS(clean!K$2:K$998,clean!$B$2:$B$998,$A118,clean!$C$2:$C$998,$B118,clean!$D$2:$D$998,$C118,clean!$E$2:$E$998,$D118,clean!$F$2:$F$998,$E118)</f>
        <v>6.4333075286369903</v>
      </c>
      <c r="K118">
        <f>AVERAGEIFS(clean!L$2:L$998,clean!$B$2:$B$998,$A118,clean!$C$2:$C$998,$B118,clean!$D$2:$D$998,$C118,clean!$E$2:$E$998,$D118,clean!$F$2:$F$998,$E118)</f>
        <v>22170733.333333332</v>
      </c>
      <c r="L118">
        <f>AVERAGEIFS(clean!M$2:M$998,clean!$B$2:$B$998,$A118,clean!$C$2:$C$998,$B118,clean!$D$2:$D$998,$C118,clean!$E$2:$E$998,$D118,clean!$F$2:$F$998,$E118)</f>
        <v>8408959133.333333</v>
      </c>
      <c r="M118">
        <f>AVERAGEIFS(clean!N$2:N$998,clean!$B$2:$B$998,$A118,clean!$C$2:$C$998,$B118,clean!$D$2:$D$998,$C118,clean!$E$2:$E$998,$D118,clean!$F$2:$F$998,$E118)</f>
        <v>29882589066.666668</v>
      </c>
      <c r="N118">
        <f>AVERAGEIFS(clean!O$2:O$998,clean!$B$2:$B$998,$A118,clean!$C$2:$C$998,$B118,clean!$D$2:$D$998,$C118,clean!$E$2:$E$998,$D118,clean!$F$2:$F$998,$E118)</f>
        <v>38291548200</v>
      </c>
      <c r="O118">
        <f>AVERAGEIFS(clean!P$2:P$998,clean!$B$2:$B$998,$A118,clean!$C$2:$C$998,$B118,clean!$D$2:$D$998,$C118,clean!$E$2:$E$998,$D118,clean!$F$2:$F$998,$E118)</f>
        <v>200800</v>
      </c>
      <c r="P118">
        <f>AVERAGEIFS(clean!Q$2:Q$998,clean!$B$2:$B$998,$A118,clean!$C$2:$C$998,$B118,clean!$D$2:$D$998,$C118,clean!$E$2:$E$998,$D118,clean!$F$2:$F$998,$E118)</f>
        <v>50201264133.333336</v>
      </c>
      <c r="Q118">
        <f>AVERAGEIFS(clean!R$2:R$998,clean!$B$2:$B$998,$A118,clean!$C$2:$C$998,$B118,clean!$D$2:$D$998,$C118,clean!$E$2:$E$998,$D118,clean!$F$2:$F$998,$E118)</f>
        <v>50201464933.333336</v>
      </c>
      <c r="R118">
        <f>AVERAGEIFS(clean!S$2:S$998,clean!$B$2:$B$998,$A118,clean!$C$2:$C$998,$B118,clean!$D$2:$D$998,$C118,clean!$E$2:$E$998,$D118,clean!$F$2:$F$998,$E118)</f>
        <v>6293300</v>
      </c>
      <c r="S118">
        <f t="shared" si="2"/>
        <v>1089586466.6666641</v>
      </c>
      <c r="T118">
        <f>AVERAGEIFS(clean!T$2:T$998,clean!$B$2:$B$998,$A118,clean!$C$2:$C$998,$B118,clean!$D$2:$D$998,$C118,clean!$E$2:$E$998,$D118,clean!$F$2:$F$998,$E118)</f>
        <v>173204166.66666666</v>
      </c>
      <c r="U118">
        <f>AVERAGEIFS(clean!U$2:U$998,clean!$B$2:$B$998,$A118,clean!$C$2:$C$998,$B118,clean!$D$2:$D$998,$C118,clean!$E$2:$E$998,$D118,clean!$F$2:$F$998,$E118)</f>
        <v>159528872400</v>
      </c>
      <c r="V118">
        <f>AVERAGEIFS(clean!V$2:V$998,clean!$B$2:$B$998,$A118,clean!$C$2:$C$998,$B118,clean!$D$2:$D$998,$C118,clean!$E$2:$E$998,$D118,clean!$F$2:$F$998,$E118)</f>
        <v>404262661133.33331</v>
      </c>
      <c r="W118">
        <f>AVERAGEIFS(clean!W$2:W$998,clean!$B$2:$B$998,$A118,clean!$C$2:$C$998,$B118,clean!$D$2:$D$998,$C118,clean!$E$2:$E$998,$D118,clean!$F$2:$F$998,$E118)</f>
        <v>1941800</v>
      </c>
      <c r="X118">
        <f t="shared" si="3"/>
        <v>12528287133.333435</v>
      </c>
      <c r="Y118">
        <f>AVERAGEIFS(clean!X$2:X$998,clean!$B$2:$B$998,$A118,clean!$C$2:$C$998,$B118,clean!$D$2:$D$998,$C118,clean!$E$2:$E$998,$D118,clean!$F$2:$F$998,$E118)</f>
        <v>89611063633.333328</v>
      </c>
    </row>
    <row r="119" spans="1:25" x14ac:dyDescent="0.3">
      <c r="A119">
        <v>524288</v>
      </c>
      <c r="B119">
        <v>5</v>
      </c>
      <c r="C119">
        <v>216</v>
      </c>
      <c r="D119">
        <v>0.2</v>
      </c>
      <c r="E119">
        <v>12</v>
      </c>
      <c r="F119">
        <f>AVERAGEIFS(clean!G$2:G$998,clean!$B$2:$B$998,$A119,clean!$C$2:$C$998,$B119,clean!$D$2:$D$998,$C119,clean!$E$2:$E$998,$D119,clean!$F$2:$F$998,$E119)</f>
        <v>8191</v>
      </c>
      <c r="G119">
        <f>AVERAGEIFS(clean!H$2:H$998,clean!$B$2:$B$998,$A119,clean!$C$2:$C$998,$B119,clean!$D$2:$D$998,$C119,clean!$E$2:$E$998,$D119,clean!$F$2:$F$998,$E119)</f>
        <v>2243538.6666666665</v>
      </c>
      <c r="H119">
        <f>AVERAGEIFS(clean!I$2:I$998,clean!$B$2:$B$998,$A119,clean!$C$2:$C$998,$B119,clean!$D$2:$D$998,$C119,clean!$E$2:$E$998,$D119,clean!$F$2:$F$998,$E119)</f>
        <v>172644244366.66666</v>
      </c>
      <c r="I119">
        <f>AVERAGEIFS(clean!J$2:J$998,clean!$B$2:$B$998,$A119,clean!$C$2:$C$998,$B119,clean!$D$2:$D$998,$C119,clean!$E$2:$E$998,$D119,clean!$F$2:$F$998,$E119)</f>
        <v>1002511543666.6666</v>
      </c>
      <c r="J119">
        <f>AVERAGEIFS(clean!K$2:K$998,clean!$B$2:$B$998,$A119,clean!$C$2:$C$998,$B119,clean!$D$2:$D$998,$C119,clean!$E$2:$E$998,$D119,clean!$F$2:$F$998,$E119)</f>
        <v>5.8068910571359664</v>
      </c>
      <c r="K119">
        <f>AVERAGEIFS(clean!L$2:L$998,clean!$B$2:$B$998,$A119,clean!$C$2:$C$998,$B119,clean!$D$2:$D$998,$C119,clean!$E$2:$E$998,$D119,clean!$F$2:$F$998,$E119)</f>
        <v>598803733.33333337</v>
      </c>
      <c r="L119">
        <f>AVERAGEIFS(clean!M$2:M$998,clean!$B$2:$B$998,$A119,clean!$C$2:$C$998,$B119,clean!$D$2:$D$998,$C119,clean!$E$2:$E$998,$D119,clean!$F$2:$F$998,$E119)</f>
        <v>2437474766.6666665</v>
      </c>
      <c r="M119">
        <f>AVERAGEIFS(clean!N$2:N$998,clean!$B$2:$B$998,$A119,clean!$C$2:$C$998,$B119,clean!$D$2:$D$998,$C119,clean!$E$2:$E$998,$D119,clean!$F$2:$F$998,$E119)</f>
        <v>92756178866.666672</v>
      </c>
      <c r="N119">
        <f>AVERAGEIFS(clean!O$2:O$998,clean!$B$2:$B$998,$A119,clean!$C$2:$C$998,$B119,clean!$D$2:$D$998,$C119,clean!$E$2:$E$998,$D119,clean!$F$2:$F$998,$E119)</f>
        <v>95193653633.333328</v>
      </c>
      <c r="O119">
        <f>AVERAGEIFS(clean!P$2:P$998,clean!$B$2:$B$998,$A119,clean!$C$2:$C$998,$B119,clean!$D$2:$D$998,$C119,clean!$E$2:$E$998,$D119,clean!$F$2:$F$998,$E119)</f>
        <v>5664166.666666667</v>
      </c>
      <c r="P119">
        <f>AVERAGEIFS(clean!Q$2:Q$998,clean!$B$2:$B$998,$A119,clean!$C$2:$C$998,$B119,clean!$D$2:$D$998,$C119,clean!$E$2:$E$998,$D119,clean!$F$2:$F$998,$E119)</f>
        <v>75799813166.666672</v>
      </c>
      <c r="Q119">
        <f>AVERAGEIFS(clean!R$2:R$998,clean!$B$2:$B$998,$A119,clean!$C$2:$C$998,$B119,clean!$D$2:$D$998,$C119,clean!$E$2:$E$998,$D119,clean!$F$2:$F$998,$E119)</f>
        <v>75805477333.333328</v>
      </c>
      <c r="R119">
        <f>AVERAGEIFS(clean!S$2:S$998,clean!$B$2:$B$998,$A119,clean!$C$2:$C$998,$B119,clean!$D$2:$D$998,$C119,clean!$E$2:$E$998,$D119,clean!$F$2:$F$998,$E119)</f>
        <v>6688733.333333333</v>
      </c>
      <c r="S119">
        <f t="shared" si="2"/>
        <v>1039620933.3333231</v>
      </c>
      <c r="T119">
        <f>AVERAGEIFS(clean!T$2:T$998,clean!$B$2:$B$998,$A119,clean!$C$2:$C$998,$B119,clean!$D$2:$D$998,$C119,clean!$E$2:$E$998,$D119,clean!$F$2:$F$998,$E119)</f>
        <v>349072400</v>
      </c>
      <c r="U119">
        <f>AVERAGEIFS(clean!U$2:U$998,clean!$B$2:$B$998,$A119,clean!$C$2:$C$998,$B119,clean!$D$2:$D$998,$C119,clean!$E$2:$E$998,$D119,clean!$F$2:$F$998,$E119)</f>
        <v>439010203700</v>
      </c>
      <c r="V119">
        <f>AVERAGEIFS(clean!V$2:V$998,clean!$B$2:$B$998,$A119,clean!$C$2:$C$998,$B119,clean!$D$2:$D$998,$C119,clean!$E$2:$E$998,$D119,clean!$F$2:$F$998,$E119)</f>
        <v>554288438666.66663</v>
      </c>
      <c r="W119">
        <f>AVERAGEIFS(clean!W$2:W$998,clean!$B$2:$B$998,$A119,clean!$C$2:$C$998,$B119,clean!$D$2:$D$998,$C119,clean!$E$2:$E$998,$D119,clean!$F$2:$F$998,$E119)</f>
        <v>1916866.6666666667</v>
      </c>
      <c r="X119">
        <f t="shared" si="3"/>
        <v>8861912033.333334</v>
      </c>
      <c r="Y119">
        <f>AVERAGEIFS(clean!X$2:X$998,clean!$B$2:$B$998,$A119,clean!$C$2:$C$998,$B119,clean!$D$2:$D$998,$C119,clean!$E$2:$E$998,$D119,clean!$F$2:$F$998,$E119)</f>
        <v>172644244366.66666</v>
      </c>
    </row>
    <row r="120" spans="1:25" x14ac:dyDescent="0.3">
      <c r="A120">
        <v>524288</v>
      </c>
      <c r="B120">
        <v>6</v>
      </c>
      <c r="C120">
        <v>343</v>
      </c>
      <c r="D120">
        <v>0.2</v>
      </c>
      <c r="E120">
        <v>11</v>
      </c>
      <c r="F120">
        <f>AVERAGEIFS(clean!G$2:G$998,clean!$B$2:$B$998,$A120,clean!$C$2:$C$998,$B120,clean!$D$2:$D$998,$C120,clean!$E$2:$E$998,$D120,clean!$F$2:$F$998,$E120)</f>
        <v>4095</v>
      </c>
      <c r="G120">
        <f>AVERAGEIFS(clean!H$2:H$998,clean!$B$2:$B$998,$A120,clean!$C$2:$C$998,$B120,clean!$D$2:$D$998,$C120,clean!$E$2:$E$998,$D120,clean!$F$2:$F$998,$E120)</f>
        <v>951836</v>
      </c>
      <c r="H120">
        <f>AVERAGEIFS(clean!I$2:I$998,clean!$B$2:$B$998,$A120,clean!$C$2:$C$998,$B120,clean!$D$2:$D$998,$C120,clean!$E$2:$E$998,$D120,clean!$F$2:$F$998,$E120)</f>
        <v>214354245666.66666</v>
      </c>
      <c r="I120">
        <f>AVERAGEIFS(clean!J$2:J$998,clean!$B$2:$B$998,$A120,clean!$C$2:$C$998,$B120,clean!$D$2:$D$998,$C120,clean!$E$2:$E$998,$D120,clean!$F$2:$F$998,$E120)</f>
        <v>1361700111800</v>
      </c>
      <c r="J120">
        <f>AVERAGEIFS(clean!K$2:K$998,clean!$B$2:$B$998,$A120,clean!$C$2:$C$998,$B120,clean!$D$2:$D$998,$C120,clean!$E$2:$E$998,$D120,clean!$F$2:$F$998,$E120)</f>
        <v>6.3526091374460307</v>
      </c>
      <c r="K120">
        <f>AVERAGEIFS(clean!L$2:L$998,clean!$B$2:$B$998,$A120,clean!$C$2:$C$998,$B120,clean!$D$2:$D$998,$C120,clean!$E$2:$E$998,$D120,clean!$F$2:$F$998,$E120)</f>
        <v>145862600</v>
      </c>
      <c r="L120">
        <f>AVERAGEIFS(clean!M$2:M$998,clean!$B$2:$B$998,$A120,clean!$C$2:$C$998,$B120,clean!$D$2:$D$998,$C120,clean!$E$2:$E$998,$D120,clean!$F$2:$F$998,$E120)</f>
        <v>7088976233.333333</v>
      </c>
      <c r="M120">
        <f>AVERAGEIFS(clean!N$2:N$998,clean!$B$2:$B$998,$A120,clean!$C$2:$C$998,$B120,clean!$D$2:$D$998,$C120,clean!$E$2:$E$998,$D120,clean!$F$2:$F$998,$E120)</f>
        <v>77684335033.333328</v>
      </c>
      <c r="N120">
        <f>AVERAGEIFS(clean!O$2:O$998,clean!$B$2:$B$998,$A120,clean!$C$2:$C$998,$B120,clean!$D$2:$D$998,$C120,clean!$E$2:$E$998,$D120,clean!$F$2:$F$998,$E120)</f>
        <v>84773311266.666672</v>
      </c>
      <c r="O120">
        <f>AVERAGEIFS(clean!P$2:P$998,clean!$B$2:$B$998,$A120,clean!$C$2:$C$998,$B120,clean!$D$2:$D$998,$C120,clean!$E$2:$E$998,$D120,clean!$F$2:$F$998,$E120)</f>
        <v>2606066.6666666665</v>
      </c>
      <c r="P120">
        <f>AVERAGEIFS(clean!Q$2:Q$998,clean!$B$2:$B$998,$A120,clean!$C$2:$C$998,$B120,clean!$D$2:$D$998,$C120,clean!$E$2:$E$998,$D120,clean!$F$2:$F$998,$E120)</f>
        <v>128325719066.66667</v>
      </c>
      <c r="Q120">
        <f>AVERAGEIFS(clean!R$2:R$998,clean!$B$2:$B$998,$A120,clean!$C$2:$C$998,$B120,clean!$D$2:$D$998,$C120,clean!$E$2:$E$998,$D120,clean!$F$2:$F$998,$E120)</f>
        <v>128328325133.33333</v>
      </c>
      <c r="R120">
        <f>AVERAGEIFS(clean!S$2:S$998,clean!$B$2:$B$998,$A120,clean!$C$2:$C$998,$B120,clean!$D$2:$D$998,$C120,clean!$E$2:$E$998,$D120,clean!$F$2:$F$998,$E120)</f>
        <v>6517833.333333333</v>
      </c>
      <c r="S120">
        <f t="shared" si="2"/>
        <v>1100228833.3333232</v>
      </c>
      <c r="T120">
        <f>AVERAGEIFS(clean!T$2:T$998,clean!$B$2:$B$998,$A120,clean!$C$2:$C$998,$B120,clean!$D$2:$D$998,$C120,clean!$E$2:$E$998,$D120,clean!$F$2:$F$998,$E120)</f>
        <v>177285933.33333334</v>
      </c>
      <c r="U120">
        <f>AVERAGEIFS(clean!U$2:U$998,clean!$B$2:$B$998,$A120,clean!$C$2:$C$998,$B120,clean!$D$2:$D$998,$C120,clean!$E$2:$E$998,$D120,clean!$F$2:$F$998,$E120)</f>
        <v>364676241433.33331</v>
      </c>
      <c r="V120">
        <f>AVERAGEIFS(clean!V$2:V$998,clean!$B$2:$B$998,$A120,clean!$C$2:$C$998,$B120,clean!$D$2:$D$998,$C120,clean!$E$2:$E$998,$D120,clean!$F$2:$F$998,$E120)</f>
        <v>986033862500</v>
      </c>
      <c r="W120">
        <f>AVERAGEIFS(clean!W$2:W$998,clean!$B$2:$B$998,$A120,clean!$C$2:$C$998,$B120,clean!$D$2:$D$998,$C120,clean!$E$2:$E$998,$D120,clean!$F$2:$F$998,$E120)</f>
        <v>1834566.6666666667</v>
      </c>
      <c r="X120">
        <f t="shared" si="3"/>
        <v>10810887366.66683</v>
      </c>
      <c r="Y120">
        <f>AVERAGEIFS(clean!X$2:X$998,clean!$B$2:$B$998,$A120,clean!$C$2:$C$998,$B120,clean!$D$2:$D$998,$C120,clean!$E$2:$E$998,$D120,clean!$F$2:$F$998,$E120)</f>
        <v>214354245666.66666</v>
      </c>
    </row>
    <row r="121" spans="1:25" x14ac:dyDescent="0.3">
      <c r="A121">
        <v>524288</v>
      </c>
      <c r="B121">
        <v>7</v>
      </c>
      <c r="C121">
        <v>512</v>
      </c>
      <c r="D121">
        <v>0.2</v>
      </c>
      <c r="E121">
        <v>10</v>
      </c>
      <c r="F121">
        <f>AVERAGEIFS(clean!G$2:G$998,clean!$B$2:$B$998,$A121,clean!$C$2:$C$998,$B121,clean!$D$2:$D$998,$C121,clean!$E$2:$E$998,$D121,clean!$F$2:$F$998,$E121)</f>
        <v>2047</v>
      </c>
      <c r="G121">
        <f>AVERAGEIFS(clean!H$2:H$998,clean!$B$2:$B$998,$A121,clean!$C$2:$C$998,$B121,clean!$D$2:$D$998,$C121,clean!$E$2:$E$998,$D121,clean!$F$2:$F$998,$E121)</f>
        <v>338104</v>
      </c>
      <c r="H121">
        <f>AVERAGEIFS(clean!I$2:I$998,clean!$B$2:$B$998,$A121,clean!$C$2:$C$998,$B121,clean!$D$2:$D$998,$C121,clean!$E$2:$E$998,$D121,clean!$F$2:$F$998,$E121)</f>
        <v>266681871533.33334</v>
      </c>
      <c r="I121">
        <f>AVERAGEIFS(clean!J$2:J$998,clean!$B$2:$B$998,$A121,clean!$C$2:$C$998,$B121,clean!$D$2:$D$998,$C121,clean!$E$2:$E$998,$D121,clean!$F$2:$F$998,$E121)</f>
        <v>1867896663300</v>
      </c>
      <c r="J121">
        <f>AVERAGEIFS(clean!K$2:K$998,clean!$B$2:$B$998,$A121,clean!$C$2:$C$998,$B121,clean!$D$2:$D$998,$C121,clean!$E$2:$E$998,$D121,clean!$F$2:$F$998,$E121)</f>
        <v>7.0042105469551501</v>
      </c>
      <c r="K121">
        <f>AVERAGEIFS(clean!L$2:L$998,clean!$B$2:$B$998,$A121,clean!$C$2:$C$998,$B121,clean!$D$2:$D$998,$C121,clean!$E$2:$E$998,$D121,clean!$F$2:$F$998,$E121)</f>
        <v>54570566.666666664</v>
      </c>
      <c r="L121">
        <f>AVERAGEIFS(clean!M$2:M$998,clean!$B$2:$B$998,$A121,clean!$C$2:$C$998,$B121,clean!$D$2:$D$998,$C121,clean!$E$2:$E$998,$D121,clean!$F$2:$F$998,$E121)</f>
        <v>8500850433.333333</v>
      </c>
      <c r="M121">
        <f>AVERAGEIFS(clean!N$2:N$998,clean!$B$2:$B$998,$A121,clean!$C$2:$C$998,$B121,clean!$D$2:$D$998,$C121,clean!$E$2:$E$998,$D121,clean!$F$2:$F$998,$E121)</f>
        <v>73830892300</v>
      </c>
      <c r="N121">
        <f>AVERAGEIFS(clean!O$2:O$998,clean!$B$2:$B$998,$A121,clean!$C$2:$C$998,$B121,clean!$D$2:$D$998,$C121,clean!$E$2:$E$998,$D121,clean!$F$2:$F$998,$E121)</f>
        <v>82331742733.333328</v>
      </c>
      <c r="O121">
        <f>AVERAGEIFS(clean!P$2:P$998,clean!$B$2:$B$998,$A121,clean!$C$2:$C$998,$B121,clean!$D$2:$D$998,$C121,clean!$E$2:$E$998,$D121,clean!$F$2:$F$998,$E121)</f>
        <v>919066.66666666663</v>
      </c>
      <c r="P121">
        <f>AVERAGEIFS(clean!Q$2:Q$998,clean!$B$2:$B$998,$A121,clean!$C$2:$C$998,$B121,clean!$D$2:$D$998,$C121,clean!$E$2:$E$998,$D121,clean!$F$2:$F$998,$E121)</f>
        <v>183187278233.33334</v>
      </c>
      <c r="Q121">
        <f>AVERAGEIFS(clean!R$2:R$998,clean!$B$2:$B$998,$A121,clean!$C$2:$C$998,$B121,clean!$D$2:$D$998,$C121,clean!$E$2:$E$998,$D121,clean!$F$2:$F$998,$E121)</f>
        <v>183188197300</v>
      </c>
      <c r="R121">
        <f>AVERAGEIFS(clean!S$2:S$998,clean!$B$2:$B$998,$A121,clean!$C$2:$C$998,$B121,clean!$D$2:$D$998,$C121,clean!$E$2:$E$998,$D121,clean!$F$2:$F$998,$E121)</f>
        <v>4314700</v>
      </c>
      <c r="S121">
        <f t="shared" si="2"/>
        <v>1103046233.333374</v>
      </c>
      <c r="T121">
        <f>AVERAGEIFS(clean!T$2:T$998,clean!$B$2:$B$998,$A121,clean!$C$2:$C$998,$B121,clean!$D$2:$D$998,$C121,clean!$E$2:$E$998,$D121,clean!$F$2:$F$998,$E121)</f>
        <v>164918766.66666666</v>
      </c>
      <c r="U121">
        <f>AVERAGEIFS(clean!U$2:U$998,clean!$B$2:$B$998,$A121,clean!$C$2:$C$998,$B121,clean!$D$2:$D$998,$C121,clean!$E$2:$E$998,$D121,clean!$F$2:$F$998,$E121)</f>
        <v>389460330633.33331</v>
      </c>
      <c r="V121">
        <f>AVERAGEIFS(clean!V$2:V$998,clean!$B$2:$B$998,$A121,clean!$C$2:$C$998,$B121,clean!$D$2:$D$998,$C121,clean!$E$2:$E$998,$D121,clean!$F$2:$F$998,$E121)</f>
        <v>1465618440466.6667</v>
      </c>
      <c r="W121">
        <f>AVERAGEIFS(clean!W$2:W$998,clean!$B$2:$B$998,$A121,clean!$C$2:$C$998,$B121,clean!$D$2:$D$998,$C121,clean!$E$2:$E$998,$D121,clean!$F$2:$F$998,$E121)</f>
        <v>1954066.6666666667</v>
      </c>
      <c r="X121">
        <f t="shared" si="3"/>
        <v>12651019366.666586</v>
      </c>
      <c r="Y121">
        <f>AVERAGEIFS(clean!X$2:X$998,clean!$B$2:$B$998,$A121,clean!$C$2:$C$998,$B121,clean!$D$2:$D$998,$C121,clean!$E$2:$E$998,$D121,clean!$F$2:$F$998,$E121)</f>
        <v>266681871533.33334</v>
      </c>
    </row>
    <row r="122" spans="1:25" x14ac:dyDescent="0.3">
      <c r="A122">
        <v>1048576</v>
      </c>
      <c r="B122">
        <v>5</v>
      </c>
      <c r="C122">
        <v>216</v>
      </c>
      <c r="D122">
        <v>0.95</v>
      </c>
      <c r="E122">
        <v>13</v>
      </c>
      <c r="F122">
        <f>AVERAGEIFS(clean!G$2:G$998,clean!$B$2:$B$998,$A122,clean!$C$2:$C$998,$B122,clean!$D$2:$D$998,$C122,clean!$E$2:$E$998,$D122,clean!$F$2:$F$998,$E122)</f>
        <v>16383</v>
      </c>
      <c r="G122">
        <f>AVERAGEIFS(clean!H$2:H$998,clean!$B$2:$B$998,$A122,clean!$C$2:$C$998,$B122,clean!$D$2:$D$998,$C122,clean!$E$2:$E$998,$D122,clean!$F$2:$F$998,$E122)</f>
        <v>16384</v>
      </c>
      <c r="H122">
        <f>AVERAGEIFS(clean!I$2:I$998,clean!$B$2:$B$998,$A122,clean!$C$2:$C$998,$B122,clean!$D$2:$D$998,$C122,clean!$E$2:$E$998,$D122,clean!$F$2:$F$998,$E122)</f>
        <v>11699558900</v>
      </c>
      <c r="I122">
        <f>AVERAGEIFS(clean!J$2:J$998,clean!$B$2:$B$998,$A122,clean!$C$2:$C$998,$B122,clean!$D$2:$D$998,$C122,clean!$E$2:$E$998,$D122,clean!$F$2:$F$998,$E122)</f>
        <v>39534741033.333336</v>
      </c>
      <c r="J122">
        <f>AVERAGEIFS(clean!K$2:K$998,clean!$B$2:$B$998,$A122,clean!$C$2:$C$998,$B122,clean!$D$2:$D$998,$C122,clean!$E$2:$E$998,$D122,clean!$F$2:$F$998,$E122)</f>
        <v>3.3792893661812435</v>
      </c>
      <c r="K122">
        <f>AVERAGEIFS(clean!L$2:L$998,clean!$B$2:$B$998,$A122,clean!$C$2:$C$998,$B122,clean!$D$2:$D$998,$C122,clean!$E$2:$E$998,$D122,clean!$F$2:$F$998,$E122)</f>
        <v>5316700</v>
      </c>
      <c r="L122">
        <f>AVERAGEIFS(clean!M$2:M$998,clean!$B$2:$B$998,$A122,clean!$C$2:$C$998,$B122,clean!$D$2:$D$998,$C122,clean!$E$2:$E$998,$D122,clean!$F$2:$F$998,$E122)</f>
        <v>5852962200</v>
      </c>
      <c r="M122">
        <f>AVERAGEIFS(clean!N$2:N$998,clean!$B$2:$B$998,$A122,clean!$C$2:$C$998,$B122,clean!$D$2:$D$998,$C122,clean!$E$2:$E$998,$D122,clean!$F$2:$F$998,$E122)</f>
        <v>3603665733.3333335</v>
      </c>
      <c r="N122">
        <f>AVERAGEIFS(clean!O$2:O$998,clean!$B$2:$B$998,$A122,clean!$C$2:$C$998,$B122,clean!$D$2:$D$998,$C122,clean!$E$2:$E$998,$D122,clean!$F$2:$F$998,$E122)</f>
        <v>9456627933.333334</v>
      </c>
      <c r="O122">
        <f>AVERAGEIFS(clean!P$2:P$998,clean!$B$2:$B$998,$A122,clean!$C$2:$C$998,$B122,clean!$D$2:$D$998,$C122,clean!$E$2:$E$998,$D122,clean!$F$2:$F$998,$E122)</f>
        <v>114866.66666666667</v>
      </c>
      <c r="P122">
        <f>AVERAGEIFS(clean!Q$2:Q$998,clean!$B$2:$B$998,$A122,clean!$C$2:$C$998,$B122,clean!$D$2:$D$998,$C122,clean!$E$2:$E$998,$D122,clean!$F$2:$F$998,$E122)</f>
        <v>579143166.66666663</v>
      </c>
      <c r="Q122">
        <f>AVERAGEIFS(clean!R$2:R$998,clean!$B$2:$B$998,$A122,clean!$C$2:$C$998,$B122,clean!$D$2:$D$998,$C122,clean!$E$2:$E$998,$D122,clean!$F$2:$F$998,$E122)</f>
        <v>579258033.33333337</v>
      </c>
      <c r="R122">
        <f>AVERAGEIFS(clean!S$2:S$998,clean!$B$2:$B$998,$A122,clean!$C$2:$C$998,$B122,clean!$D$2:$D$998,$C122,clean!$E$2:$E$998,$D122,clean!$F$2:$F$998,$E122)</f>
        <v>8172966.666666667</v>
      </c>
      <c r="S122">
        <f t="shared" si="2"/>
        <v>1650183266.6666658</v>
      </c>
      <c r="T122">
        <f>AVERAGEIFS(clean!T$2:T$998,clean!$B$2:$B$998,$A122,clean!$C$2:$C$998,$B122,clean!$D$2:$D$998,$C122,clean!$E$2:$E$998,$D122,clean!$F$2:$F$998,$E122)</f>
        <v>837145766.66666663</v>
      </c>
      <c r="U122">
        <f>AVERAGEIFS(clean!U$2:U$998,clean!$B$2:$B$998,$A122,clean!$C$2:$C$998,$B122,clean!$D$2:$D$998,$C122,clean!$E$2:$E$998,$D122,clean!$F$2:$F$998,$E122)</f>
        <v>17276960166.666668</v>
      </c>
      <c r="V122">
        <f>AVERAGEIFS(clean!V$2:V$998,clean!$B$2:$B$998,$A122,clean!$C$2:$C$998,$B122,clean!$D$2:$D$998,$C122,clean!$E$2:$E$998,$D122,clean!$F$2:$F$998,$E122)</f>
        <v>4102717133.3333335</v>
      </c>
      <c r="W122">
        <f>AVERAGEIFS(clean!W$2:W$998,clean!$B$2:$B$998,$A122,clean!$C$2:$C$998,$B122,clean!$D$2:$D$998,$C122,clean!$E$2:$E$998,$D122,clean!$F$2:$F$998,$E122)</f>
        <v>3761133.3333333335</v>
      </c>
      <c r="X122">
        <f t="shared" si="3"/>
        <v>17314156833.33334</v>
      </c>
      <c r="Y122">
        <f>AVERAGEIFS(clean!X$2:X$998,clean!$B$2:$B$998,$A122,clean!$C$2:$C$998,$B122,clean!$D$2:$D$998,$C122,clean!$E$2:$E$998,$D122,clean!$F$2:$F$998,$E122)</f>
        <v>11699558900</v>
      </c>
    </row>
    <row r="123" spans="1:25" x14ac:dyDescent="0.3">
      <c r="A123">
        <v>1048576</v>
      </c>
      <c r="B123">
        <v>3</v>
      </c>
      <c r="C123">
        <v>64</v>
      </c>
      <c r="D123">
        <v>0.95</v>
      </c>
      <c r="E123">
        <v>14</v>
      </c>
      <c r="F123">
        <f>AVERAGEIFS(clean!G$2:G$998,clean!$B$2:$B$998,$A123,clean!$C$2:$C$998,$B123,clean!$D$2:$D$998,$C123,clean!$E$2:$E$998,$D123,clean!$F$2:$F$998,$E123)</f>
        <v>32767</v>
      </c>
      <c r="G123">
        <f>AVERAGEIFS(clean!H$2:H$998,clean!$B$2:$B$998,$A123,clean!$C$2:$C$998,$B123,clean!$D$2:$D$998,$C123,clean!$E$2:$E$998,$D123,clean!$F$2:$F$998,$E123)</f>
        <v>65536</v>
      </c>
      <c r="H123">
        <f>AVERAGEIFS(clean!I$2:I$998,clean!$B$2:$B$998,$A123,clean!$C$2:$C$998,$B123,clean!$D$2:$D$998,$C123,clean!$E$2:$E$998,$D123,clean!$F$2:$F$998,$E123)</f>
        <v>2949633000</v>
      </c>
      <c r="I123">
        <f>AVERAGEIFS(clean!J$2:J$998,clean!$B$2:$B$998,$A123,clean!$C$2:$C$998,$B123,clean!$D$2:$D$998,$C123,clean!$E$2:$E$998,$D123,clean!$F$2:$F$998,$E123)</f>
        <v>12294701600</v>
      </c>
      <c r="J123">
        <f>AVERAGEIFS(clean!K$2:K$998,clean!$B$2:$B$998,$A123,clean!$C$2:$C$998,$B123,clean!$D$2:$D$998,$C123,clean!$E$2:$E$998,$D123,clean!$F$2:$F$998,$E123)</f>
        <v>4.1681881943147934</v>
      </c>
      <c r="K123">
        <f>AVERAGEIFS(clean!L$2:L$998,clean!$B$2:$B$998,$A123,clean!$C$2:$C$998,$B123,clean!$D$2:$D$998,$C123,clean!$E$2:$E$998,$D123,clean!$F$2:$F$998,$E123)</f>
        <v>10393500</v>
      </c>
      <c r="L123">
        <f>AVERAGEIFS(clean!M$2:M$998,clean!$B$2:$B$998,$A123,clean!$C$2:$C$998,$B123,clean!$D$2:$D$998,$C123,clean!$E$2:$E$998,$D123,clean!$F$2:$F$998,$E123)</f>
        <v>1065085533.3333334</v>
      </c>
      <c r="M123">
        <f>AVERAGEIFS(clean!N$2:N$998,clean!$B$2:$B$998,$A123,clean!$C$2:$C$998,$B123,clean!$D$2:$D$998,$C123,clean!$E$2:$E$998,$D123,clean!$F$2:$F$998,$E123)</f>
        <v>307711933.33333331</v>
      </c>
      <c r="N123">
        <f>AVERAGEIFS(clean!O$2:O$998,clean!$B$2:$B$998,$A123,clean!$C$2:$C$998,$B123,clean!$D$2:$D$998,$C123,clean!$E$2:$E$998,$D123,clean!$F$2:$F$998,$E123)</f>
        <v>1372797466.6666667</v>
      </c>
      <c r="O123">
        <f>AVERAGEIFS(clean!P$2:P$998,clean!$B$2:$B$998,$A123,clean!$C$2:$C$998,$B123,clean!$D$2:$D$998,$C123,clean!$E$2:$E$998,$D123,clean!$F$2:$F$998,$E123)</f>
        <v>151933.33333333334</v>
      </c>
      <c r="P123">
        <f>AVERAGEIFS(clean!Q$2:Q$998,clean!$B$2:$B$998,$A123,clean!$C$2:$C$998,$B123,clean!$D$2:$D$998,$C123,clean!$E$2:$E$998,$D123,clean!$F$2:$F$998,$E123)</f>
        <v>580615333.33333337</v>
      </c>
      <c r="Q123">
        <f>AVERAGEIFS(clean!R$2:R$998,clean!$B$2:$B$998,$A123,clean!$C$2:$C$998,$B123,clean!$D$2:$D$998,$C123,clean!$E$2:$E$998,$D123,clean!$F$2:$F$998,$E123)</f>
        <v>580767266.66666663</v>
      </c>
      <c r="R123">
        <f>AVERAGEIFS(clean!S$2:S$998,clean!$B$2:$B$998,$A123,clean!$C$2:$C$998,$B123,clean!$D$2:$D$998,$C123,clean!$E$2:$E$998,$D123,clean!$F$2:$F$998,$E123)</f>
        <v>8123800</v>
      </c>
      <c r="S123">
        <f t="shared" si="2"/>
        <v>977550966.66666663</v>
      </c>
      <c r="T123">
        <f>AVERAGEIFS(clean!T$2:T$998,clean!$B$2:$B$998,$A123,clean!$C$2:$C$998,$B123,clean!$D$2:$D$998,$C123,clean!$E$2:$E$998,$D123,clean!$F$2:$F$998,$E123)</f>
        <v>777834000</v>
      </c>
      <c r="U123">
        <f>AVERAGEIFS(clean!U$2:U$998,clean!$B$2:$B$998,$A123,clean!$C$2:$C$998,$B123,clean!$D$2:$D$998,$C123,clean!$E$2:$E$998,$D123,clean!$F$2:$F$998,$E123)</f>
        <v>1592744766.6666667</v>
      </c>
      <c r="V123">
        <f>AVERAGEIFS(clean!V$2:V$998,clean!$B$2:$B$998,$A123,clean!$C$2:$C$998,$B123,clean!$D$2:$D$998,$C123,clean!$E$2:$E$998,$D123,clean!$F$2:$F$998,$E123)</f>
        <v>4024293600</v>
      </c>
      <c r="W123">
        <f>AVERAGEIFS(clean!W$2:W$998,clean!$B$2:$B$998,$A123,clean!$C$2:$C$998,$B123,clean!$D$2:$D$998,$C123,clean!$E$2:$E$998,$D123,clean!$F$2:$F$998,$E123)</f>
        <v>3911266.6666666665</v>
      </c>
      <c r="X123">
        <f t="shared" si="3"/>
        <v>5895917966.666667</v>
      </c>
      <c r="Y123">
        <f>AVERAGEIFS(clean!X$2:X$998,clean!$B$2:$B$998,$A123,clean!$C$2:$C$998,$B123,clean!$D$2:$D$998,$C123,clean!$E$2:$E$998,$D123,clean!$F$2:$F$998,$E123)</f>
        <v>2949633000</v>
      </c>
    </row>
    <row r="124" spans="1:25" x14ac:dyDescent="0.3">
      <c r="A124">
        <v>1048576</v>
      </c>
      <c r="B124">
        <v>4</v>
      </c>
      <c r="C124">
        <v>125</v>
      </c>
      <c r="D124">
        <v>0.95</v>
      </c>
      <c r="E124">
        <v>14</v>
      </c>
      <c r="F124">
        <f>AVERAGEIFS(clean!G$2:G$998,clean!$B$2:$B$998,$A124,clean!$C$2:$C$998,$B124,clean!$D$2:$D$998,$C124,clean!$E$2:$E$998,$D124,clean!$F$2:$F$998,$E124)</f>
        <v>32767</v>
      </c>
      <c r="G124">
        <f>AVERAGEIFS(clean!H$2:H$998,clean!$B$2:$B$998,$A124,clean!$C$2:$C$998,$B124,clean!$D$2:$D$998,$C124,clean!$E$2:$E$998,$D124,clean!$F$2:$F$998,$E124)</f>
        <v>65536</v>
      </c>
      <c r="H124">
        <f>AVERAGEIFS(clean!I$2:I$998,clean!$B$2:$B$998,$A124,clean!$C$2:$C$998,$B124,clean!$D$2:$D$998,$C124,clean!$E$2:$E$998,$D124,clean!$F$2:$F$998,$E124)</f>
        <v>5915642300</v>
      </c>
      <c r="I124">
        <f>AVERAGEIFS(clean!J$2:J$998,clean!$B$2:$B$998,$A124,clean!$C$2:$C$998,$B124,clean!$D$2:$D$998,$C124,clean!$E$2:$E$998,$D124,clean!$F$2:$F$998,$E124)</f>
        <v>23327100800</v>
      </c>
      <c r="J124">
        <f>AVERAGEIFS(clean!K$2:K$998,clean!$B$2:$B$998,$A124,clean!$C$2:$C$998,$B124,clean!$D$2:$D$998,$C124,clean!$E$2:$E$998,$D124,clean!$F$2:$F$998,$E124)</f>
        <v>3.9433112685873764</v>
      </c>
      <c r="K124">
        <f>AVERAGEIFS(clean!L$2:L$998,clean!$B$2:$B$998,$A124,clean!$C$2:$C$998,$B124,clean!$D$2:$D$998,$C124,clean!$E$2:$E$998,$D124,clean!$F$2:$F$998,$E124)</f>
        <v>10320700</v>
      </c>
      <c r="L124">
        <f>AVERAGEIFS(clean!M$2:M$998,clean!$B$2:$B$998,$A124,clean!$C$2:$C$998,$B124,clean!$D$2:$D$998,$C124,clean!$E$2:$E$998,$D124,clean!$F$2:$F$998,$E124)</f>
        <v>2961740966.6666665</v>
      </c>
      <c r="M124">
        <f>AVERAGEIFS(clean!N$2:N$998,clean!$B$2:$B$998,$A124,clean!$C$2:$C$998,$B124,clean!$D$2:$D$998,$C124,clean!$E$2:$E$998,$D124,clean!$F$2:$F$998,$E124)</f>
        <v>1013375600</v>
      </c>
      <c r="N124">
        <f>AVERAGEIFS(clean!O$2:O$998,clean!$B$2:$B$998,$A124,clean!$C$2:$C$998,$B124,clean!$D$2:$D$998,$C124,clean!$E$2:$E$998,$D124,clean!$F$2:$F$998,$E124)</f>
        <v>3975116566.6666665</v>
      </c>
      <c r="O124">
        <f>AVERAGEIFS(clean!P$2:P$998,clean!$B$2:$B$998,$A124,clean!$C$2:$C$998,$B124,clean!$D$2:$D$998,$C124,clean!$E$2:$E$998,$D124,clean!$F$2:$F$998,$E124)</f>
        <v>157266.66666666666</v>
      </c>
      <c r="P124">
        <f>AVERAGEIFS(clean!Q$2:Q$998,clean!$B$2:$B$998,$A124,clean!$C$2:$C$998,$B124,clean!$D$2:$D$998,$C124,clean!$E$2:$E$998,$D124,clean!$F$2:$F$998,$E124)</f>
        <v>581788566.66666663</v>
      </c>
      <c r="Q124">
        <f>AVERAGEIFS(clean!R$2:R$998,clean!$B$2:$B$998,$A124,clean!$C$2:$C$998,$B124,clean!$D$2:$D$998,$C124,clean!$E$2:$E$998,$D124,clean!$F$2:$F$998,$E124)</f>
        <v>581945833.33333337</v>
      </c>
      <c r="R124">
        <f>AVERAGEIFS(clean!S$2:S$998,clean!$B$2:$B$998,$A124,clean!$C$2:$C$998,$B124,clean!$D$2:$D$998,$C124,clean!$E$2:$E$998,$D124,clean!$F$2:$F$998,$E124)</f>
        <v>8017866.666666667</v>
      </c>
      <c r="S124">
        <f t="shared" si="2"/>
        <v>1340241333.3333333</v>
      </c>
      <c r="T124">
        <f>AVERAGEIFS(clean!T$2:T$998,clean!$B$2:$B$998,$A124,clean!$C$2:$C$998,$B124,clean!$D$2:$D$998,$C124,clean!$E$2:$E$998,$D124,clean!$F$2:$F$998,$E124)</f>
        <v>874584300</v>
      </c>
      <c r="U124">
        <f>AVERAGEIFS(clean!U$2:U$998,clean!$B$2:$B$998,$A124,clean!$C$2:$C$998,$B124,clean!$D$2:$D$998,$C124,clean!$E$2:$E$998,$D124,clean!$F$2:$F$998,$E124)</f>
        <v>5870570500</v>
      </c>
      <c r="V124">
        <f>AVERAGEIFS(clean!V$2:V$998,clean!$B$2:$B$998,$A124,clean!$C$2:$C$998,$B124,clean!$D$2:$D$998,$C124,clean!$E$2:$E$998,$D124,clean!$F$2:$F$998,$E124)</f>
        <v>3986572433.3333335</v>
      </c>
      <c r="W124">
        <f>AVERAGEIFS(clean!W$2:W$998,clean!$B$2:$B$998,$A124,clean!$C$2:$C$998,$B124,clean!$D$2:$D$998,$C124,clean!$E$2:$E$998,$D124,clean!$F$2:$F$998,$E124)</f>
        <v>3795966.6666666665</v>
      </c>
      <c r="X124">
        <f t="shared" si="3"/>
        <v>12591577600</v>
      </c>
      <c r="Y124">
        <f>AVERAGEIFS(clean!X$2:X$998,clean!$B$2:$B$998,$A124,clean!$C$2:$C$998,$B124,clean!$D$2:$D$998,$C124,clean!$E$2:$E$998,$D124,clean!$F$2:$F$998,$E124)</f>
        <v>5915642300</v>
      </c>
    </row>
    <row r="125" spans="1:25" x14ac:dyDescent="0.3">
      <c r="A125">
        <v>1048576</v>
      </c>
      <c r="B125">
        <v>3</v>
      </c>
      <c r="C125">
        <v>64</v>
      </c>
      <c r="D125">
        <v>0.8</v>
      </c>
      <c r="E125">
        <v>14</v>
      </c>
      <c r="F125">
        <f>AVERAGEIFS(clean!G$2:G$998,clean!$B$2:$B$998,$A125,clean!$C$2:$C$998,$B125,clean!$D$2:$D$998,$C125,clean!$E$2:$E$998,$D125,clean!$F$2:$F$998,$E125)</f>
        <v>32767</v>
      </c>
      <c r="G125">
        <f>AVERAGEIFS(clean!H$2:H$998,clean!$B$2:$B$998,$A125,clean!$C$2:$C$998,$B125,clean!$D$2:$D$998,$C125,clean!$E$2:$E$998,$D125,clean!$F$2:$F$998,$E125)</f>
        <v>115966.66666666667</v>
      </c>
      <c r="H125">
        <f>AVERAGEIFS(clean!I$2:I$998,clean!$B$2:$B$998,$A125,clean!$C$2:$C$998,$B125,clean!$D$2:$D$998,$C125,clean!$E$2:$E$998,$D125,clean!$F$2:$F$998,$E125)</f>
        <v>3960084933.3333335</v>
      </c>
      <c r="I125">
        <f>AVERAGEIFS(clean!J$2:J$998,clean!$B$2:$B$998,$A125,clean!$C$2:$C$998,$B125,clean!$D$2:$D$998,$C125,clean!$E$2:$E$998,$D125,clean!$F$2:$F$998,$E125)</f>
        <v>17969679566.666668</v>
      </c>
      <c r="J125">
        <f>AVERAGEIFS(clean!K$2:K$998,clean!$B$2:$B$998,$A125,clean!$C$2:$C$998,$B125,clean!$D$2:$D$998,$C125,clean!$E$2:$E$998,$D125,clean!$F$2:$F$998,$E125)</f>
        <v>4.5376694054768594</v>
      </c>
      <c r="K125">
        <f>AVERAGEIFS(clean!L$2:L$998,clean!$B$2:$B$998,$A125,clean!$C$2:$C$998,$B125,clean!$D$2:$D$998,$C125,clean!$E$2:$E$998,$D125,clean!$F$2:$F$998,$E125)</f>
        <v>39338133.333333336</v>
      </c>
      <c r="L125">
        <f>AVERAGEIFS(clean!M$2:M$998,clean!$B$2:$B$998,$A125,clean!$C$2:$C$998,$B125,clean!$D$2:$D$998,$C125,clean!$E$2:$E$998,$D125,clean!$F$2:$F$998,$E125)</f>
        <v>1035054766.6666666</v>
      </c>
      <c r="M125">
        <f>AVERAGEIFS(clean!N$2:N$998,clean!$B$2:$B$998,$A125,clean!$C$2:$C$998,$B125,clean!$D$2:$D$998,$C125,clean!$E$2:$E$998,$D125,clean!$F$2:$F$998,$E125)</f>
        <v>901705233.33333337</v>
      </c>
      <c r="N125">
        <f>AVERAGEIFS(clean!O$2:O$998,clean!$B$2:$B$998,$A125,clean!$C$2:$C$998,$B125,clean!$D$2:$D$998,$C125,clean!$E$2:$E$998,$D125,clean!$F$2:$F$998,$E125)</f>
        <v>1936760000</v>
      </c>
      <c r="O125">
        <f>AVERAGEIFS(clean!P$2:P$998,clean!$B$2:$B$998,$A125,clean!$C$2:$C$998,$B125,clean!$D$2:$D$998,$C125,clean!$E$2:$E$998,$D125,clean!$F$2:$F$998,$E125)</f>
        <v>410833.33333333331</v>
      </c>
      <c r="P125">
        <f>AVERAGEIFS(clean!Q$2:Q$998,clean!$B$2:$B$998,$A125,clean!$C$2:$C$998,$B125,clean!$D$2:$D$998,$C125,clean!$E$2:$E$998,$D125,clean!$F$2:$F$998,$E125)</f>
        <v>1001839733.3333334</v>
      </c>
      <c r="Q125">
        <f>AVERAGEIFS(clean!R$2:R$998,clean!$B$2:$B$998,$A125,clean!$C$2:$C$998,$B125,clean!$D$2:$D$998,$C125,clean!$E$2:$E$998,$D125,clean!$F$2:$F$998,$E125)</f>
        <v>1002250566.6666666</v>
      </c>
      <c r="R125">
        <f>AVERAGEIFS(clean!S$2:S$998,clean!$B$2:$B$998,$A125,clean!$C$2:$C$998,$B125,clean!$D$2:$D$998,$C125,clean!$E$2:$E$998,$D125,clean!$F$2:$F$998,$E125)</f>
        <v>8126666.666666667</v>
      </c>
      <c r="S125">
        <f t="shared" si="2"/>
        <v>973609566.66666675</v>
      </c>
      <c r="T125">
        <f>AVERAGEIFS(clean!T$2:T$998,clean!$B$2:$B$998,$A125,clean!$C$2:$C$998,$B125,clean!$D$2:$D$998,$C125,clean!$E$2:$E$998,$D125,clean!$F$2:$F$998,$E125)</f>
        <v>578551633.33333337</v>
      </c>
      <c r="U125">
        <f>AVERAGEIFS(clean!U$2:U$998,clean!$B$2:$B$998,$A125,clean!$C$2:$C$998,$B125,clean!$D$2:$D$998,$C125,clean!$E$2:$E$998,$D125,clean!$F$2:$F$998,$E125)</f>
        <v>4621143033.333333</v>
      </c>
      <c r="V125">
        <f>AVERAGEIFS(clean!V$2:V$998,clean!$B$2:$B$998,$A125,clean!$C$2:$C$998,$B125,clean!$D$2:$D$998,$C125,clean!$E$2:$E$998,$D125,clean!$F$2:$F$998,$E125)</f>
        <v>7011200366.666667</v>
      </c>
      <c r="W125">
        <f>AVERAGEIFS(clean!W$2:W$998,clean!$B$2:$B$998,$A125,clean!$C$2:$C$998,$B125,clean!$D$2:$D$998,$C125,clean!$E$2:$E$998,$D125,clean!$F$2:$F$998,$E125)</f>
        <v>3837033.3333333335</v>
      </c>
      <c r="X125">
        <f t="shared" si="3"/>
        <v>5754947500.0000038</v>
      </c>
      <c r="Y125">
        <f>AVERAGEIFS(clean!X$2:X$998,clean!$B$2:$B$998,$A125,clean!$C$2:$C$998,$B125,clean!$D$2:$D$998,$C125,clean!$E$2:$E$998,$D125,clean!$F$2:$F$998,$E125)</f>
        <v>3960084933.3333335</v>
      </c>
    </row>
    <row r="126" spans="1:25" x14ac:dyDescent="0.3">
      <c r="A126">
        <v>1048576</v>
      </c>
      <c r="B126">
        <v>4</v>
      </c>
      <c r="C126">
        <v>125</v>
      </c>
      <c r="D126">
        <v>0.8</v>
      </c>
      <c r="E126">
        <v>14</v>
      </c>
      <c r="F126">
        <f>AVERAGEIFS(clean!G$2:G$998,clean!$B$2:$B$998,$A126,clean!$C$2:$C$998,$B126,clean!$D$2:$D$998,$C126,clean!$E$2:$E$998,$D126,clean!$F$2:$F$998,$E126)</f>
        <v>32767</v>
      </c>
      <c r="G126">
        <f>AVERAGEIFS(clean!H$2:H$998,clean!$B$2:$B$998,$A126,clean!$C$2:$C$998,$B126,clean!$D$2:$D$998,$C126,clean!$E$2:$E$998,$D126,clean!$F$2:$F$998,$E126)</f>
        <v>115997.33333333333</v>
      </c>
      <c r="H126">
        <f>AVERAGEIFS(clean!I$2:I$998,clean!$B$2:$B$998,$A126,clean!$C$2:$C$998,$B126,clean!$D$2:$D$998,$C126,clean!$E$2:$E$998,$D126,clean!$F$2:$F$998,$E126)</f>
        <v>8292799566.666667</v>
      </c>
      <c r="I126">
        <f>AVERAGEIFS(clean!J$2:J$998,clean!$B$2:$B$998,$A126,clean!$C$2:$C$998,$B126,clean!$D$2:$D$998,$C126,clean!$E$2:$E$998,$D126,clean!$F$2:$F$998,$E126)</f>
        <v>37694101366.666664</v>
      </c>
      <c r="J126">
        <f>AVERAGEIFS(clean!K$2:K$998,clean!$B$2:$B$998,$A126,clean!$C$2:$C$998,$B126,clean!$D$2:$D$998,$C126,clean!$E$2:$E$998,$D126,clean!$F$2:$F$998,$E126)</f>
        <v>4.5453459807978502</v>
      </c>
      <c r="K126">
        <f>AVERAGEIFS(clean!L$2:L$998,clean!$B$2:$B$998,$A126,clean!$C$2:$C$998,$B126,clean!$D$2:$D$998,$C126,clean!$E$2:$E$998,$D126,clean!$F$2:$F$998,$E126)</f>
        <v>24299766.666666668</v>
      </c>
      <c r="L126">
        <f>AVERAGEIFS(clean!M$2:M$998,clean!$B$2:$B$998,$A126,clean!$C$2:$C$998,$B126,clean!$D$2:$D$998,$C126,clean!$E$2:$E$998,$D126,clean!$F$2:$F$998,$E126)</f>
        <v>2944663533.3333335</v>
      </c>
      <c r="M126">
        <f>AVERAGEIFS(clean!N$2:N$998,clean!$B$2:$B$998,$A126,clean!$C$2:$C$998,$B126,clean!$D$2:$D$998,$C126,clean!$E$2:$E$998,$D126,clean!$F$2:$F$998,$E126)</f>
        <v>2931585300</v>
      </c>
      <c r="N126">
        <f>AVERAGEIFS(clean!O$2:O$998,clean!$B$2:$B$998,$A126,clean!$C$2:$C$998,$B126,clean!$D$2:$D$998,$C126,clean!$E$2:$E$998,$D126,clean!$F$2:$F$998,$E126)</f>
        <v>5876248833.333333</v>
      </c>
      <c r="O126">
        <f>AVERAGEIFS(clean!P$2:P$998,clean!$B$2:$B$998,$A126,clean!$C$2:$C$998,$B126,clean!$D$2:$D$998,$C126,clean!$E$2:$E$998,$D126,clean!$F$2:$F$998,$E126)</f>
        <v>443133.33333333331</v>
      </c>
      <c r="P126">
        <f>AVERAGEIFS(clean!Q$2:Q$998,clean!$B$2:$B$998,$A126,clean!$C$2:$C$998,$B126,clean!$D$2:$D$998,$C126,clean!$E$2:$E$998,$D126,clean!$F$2:$F$998,$E126)</f>
        <v>1038055166.6666666</v>
      </c>
      <c r="Q126">
        <f>AVERAGEIFS(clean!R$2:R$998,clean!$B$2:$B$998,$A126,clean!$C$2:$C$998,$B126,clean!$D$2:$D$998,$C126,clean!$E$2:$E$998,$D126,clean!$F$2:$F$998,$E126)</f>
        <v>1038498300</v>
      </c>
      <c r="R126">
        <f>AVERAGEIFS(clean!S$2:S$998,clean!$B$2:$B$998,$A126,clean!$C$2:$C$998,$B126,clean!$D$2:$D$998,$C126,clean!$E$2:$E$998,$D126,clean!$F$2:$F$998,$E126)</f>
        <v>8430533.333333334</v>
      </c>
      <c r="S126">
        <f t="shared" si="2"/>
        <v>1345322133.3333337</v>
      </c>
      <c r="T126">
        <f>AVERAGEIFS(clean!T$2:T$998,clean!$B$2:$B$998,$A126,clean!$C$2:$C$998,$B126,clean!$D$2:$D$998,$C126,clean!$E$2:$E$998,$D126,clean!$F$2:$F$998,$E126)</f>
        <v>855652700</v>
      </c>
      <c r="U126">
        <f>AVERAGEIFS(clean!U$2:U$998,clean!$B$2:$B$998,$A126,clean!$C$2:$C$998,$B126,clean!$D$2:$D$998,$C126,clean!$E$2:$E$998,$D126,clean!$F$2:$F$998,$E126)</f>
        <v>16980788400</v>
      </c>
      <c r="V126">
        <f>AVERAGEIFS(clean!V$2:V$998,clean!$B$2:$B$998,$A126,clean!$C$2:$C$998,$B126,clean!$D$2:$D$998,$C126,clean!$E$2:$E$998,$D126,clean!$F$2:$F$998,$E126)</f>
        <v>7070638133.333333</v>
      </c>
      <c r="W126">
        <f>AVERAGEIFS(clean!W$2:W$998,clean!$B$2:$B$998,$A126,clean!$C$2:$C$998,$B126,clean!$D$2:$D$998,$C126,clean!$E$2:$E$998,$D126,clean!$F$2:$F$998,$E126)</f>
        <v>3742433.3333333335</v>
      </c>
      <c r="X126">
        <f t="shared" si="3"/>
        <v>12783279699.999998</v>
      </c>
      <c r="Y126">
        <f>AVERAGEIFS(clean!X$2:X$998,clean!$B$2:$B$998,$A126,clean!$C$2:$C$998,$B126,clean!$D$2:$D$998,$C126,clean!$E$2:$E$998,$D126,clean!$F$2:$F$998,$E126)</f>
        <v>8292799566.666667</v>
      </c>
    </row>
    <row r="127" spans="1:25" x14ac:dyDescent="0.3">
      <c r="A127">
        <v>1048576</v>
      </c>
      <c r="B127">
        <v>5</v>
      </c>
      <c r="C127">
        <v>216</v>
      </c>
      <c r="D127">
        <v>0.8</v>
      </c>
      <c r="E127">
        <v>13</v>
      </c>
      <c r="F127">
        <f>AVERAGEIFS(clean!G$2:G$998,clean!$B$2:$B$998,$A127,clean!$C$2:$C$998,$B127,clean!$D$2:$D$998,$C127,clean!$E$2:$E$998,$D127,clean!$F$2:$F$998,$E127)</f>
        <v>16383</v>
      </c>
      <c r="G127">
        <f>AVERAGEIFS(clean!H$2:H$998,clean!$B$2:$B$998,$A127,clean!$C$2:$C$998,$B127,clean!$D$2:$D$998,$C127,clean!$E$2:$E$998,$D127,clean!$F$2:$F$998,$E127)</f>
        <v>59337.333333333336</v>
      </c>
      <c r="H127">
        <f>AVERAGEIFS(clean!I$2:I$998,clean!$B$2:$B$998,$A127,clean!$C$2:$C$998,$B127,clean!$D$2:$D$998,$C127,clean!$E$2:$E$998,$D127,clean!$F$2:$F$998,$E127)</f>
        <v>15283255166.666666</v>
      </c>
      <c r="I127">
        <f>AVERAGEIFS(clean!J$2:J$998,clean!$B$2:$B$998,$A127,clean!$C$2:$C$998,$B127,clean!$D$2:$D$998,$C127,clean!$E$2:$E$998,$D127,clean!$F$2:$F$998,$E127)</f>
        <v>60313237600</v>
      </c>
      <c r="J127">
        <f>AVERAGEIFS(clean!K$2:K$998,clean!$B$2:$B$998,$A127,clean!$C$2:$C$998,$B127,clean!$D$2:$D$998,$C127,clean!$E$2:$E$998,$D127,clean!$F$2:$F$998,$E127)</f>
        <v>3.9463781713669532</v>
      </c>
      <c r="K127">
        <f>AVERAGEIFS(clean!L$2:L$998,clean!$B$2:$B$998,$A127,clean!$C$2:$C$998,$B127,clean!$D$2:$D$998,$C127,clean!$E$2:$E$998,$D127,clean!$F$2:$F$998,$E127)</f>
        <v>12261233.333333334</v>
      </c>
      <c r="L127">
        <f>AVERAGEIFS(clean!M$2:M$998,clean!$B$2:$B$998,$A127,clean!$C$2:$C$998,$B127,clean!$D$2:$D$998,$C127,clean!$E$2:$E$998,$D127,clean!$F$2:$F$998,$E127)</f>
        <v>5843744033.333333</v>
      </c>
      <c r="M127">
        <f>AVERAGEIFS(clean!N$2:N$998,clean!$B$2:$B$998,$A127,clean!$C$2:$C$998,$B127,clean!$D$2:$D$998,$C127,clean!$E$2:$E$998,$D127,clean!$F$2:$F$998,$E127)</f>
        <v>5740431000</v>
      </c>
      <c r="N127">
        <f>AVERAGEIFS(clean!O$2:O$998,clean!$B$2:$B$998,$A127,clean!$C$2:$C$998,$B127,clean!$D$2:$D$998,$C127,clean!$E$2:$E$998,$D127,clean!$F$2:$F$998,$E127)</f>
        <v>11584175033.333334</v>
      </c>
      <c r="O127">
        <f>AVERAGEIFS(clean!P$2:P$998,clean!$B$2:$B$998,$A127,clean!$C$2:$C$998,$B127,clean!$D$2:$D$998,$C127,clean!$E$2:$E$998,$D127,clean!$F$2:$F$998,$E127)</f>
        <v>163000</v>
      </c>
      <c r="P127">
        <f>AVERAGEIFS(clean!Q$2:Q$998,clean!$B$2:$B$998,$A127,clean!$C$2:$C$998,$B127,clean!$D$2:$D$998,$C127,clean!$E$2:$E$998,$D127,clean!$F$2:$F$998,$E127)</f>
        <v>2021285500</v>
      </c>
      <c r="Q127">
        <f>AVERAGEIFS(clean!R$2:R$998,clean!$B$2:$B$998,$A127,clean!$C$2:$C$998,$B127,clean!$D$2:$D$998,$C127,clean!$E$2:$E$998,$D127,clean!$F$2:$F$998,$E127)</f>
        <v>2021448500</v>
      </c>
      <c r="R127">
        <f>AVERAGEIFS(clean!S$2:S$998,clean!$B$2:$B$998,$A127,clean!$C$2:$C$998,$B127,clean!$D$2:$D$998,$C127,clean!$E$2:$E$998,$D127,clean!$F$2:$F$998,$E127)</f>
        <v>8129733.333333333</v>
      </c>
      <c r="S127">
        <f t="shared" si="2"/>
        <v>1657240666.6666648</v>
      </c>
      <c r="T127">
        <f>AVERAGEIFS(clean!T$2:T$998,clean!$B$2:$B$998,$A127,clean!$C$2:$C$998,$B127,clean!$D$2:$D$998,$C127,clean!$E$2:$E$998,$D127,clean!$F$2:$F$998,$E127)</f>
        <v>840764633.33333337</v>
      </c>
      <c r="U127">
        <f>AVERAGEIFS(clean!U$2:U$998,clean!$B$2:$B$998,$A127,clean!$C$2:$C$998,$B127,clean!$D$2:$D$998,$C127,clean!$E$2:$E$998,$D127,clean!$F$2:$F$998,$E127)</f>
        <v>27823360066.666668</v>
      </c>
      <c r="V127">
        <f>AVERAGEIFS(clean!V$2:V$998,clean!$B$2:$B$998,$A127,clean!$C$2:$C$998,$B127,clean!$D$2:$D$998,$C127,clean!$E$2:$E$998,$D127,clean!$F$2:$F$998,$E127)</f>
        <v>14736853200</v>
      </c>
      <c r="W127">
        <f>AVERAGEIFS(clean!W$2:W$998,clean!$B$2:$B$998,$A127,clean!$C$2:$C$998,$B127,clean!$D$2:$D$998,$C127,clean!$E$2:$E$998,$D127,clean!$F$2:$F$998,$E127)</f>
        <v>3786500</v>
      </c>
      <c r="X127">
        <f t="shared" si="3"/>
        <v>16908473199.999996</v>
      </c>
      <c r="Y127">
        <f>AVERAGEIFS(clean!X$2:X$998,clean!$B$2:$B$998,$A127,clean!$C$2:$C$998,$B127,clean!$D$2:$D$998,$C127,clean!$E$2:$E$998,$D127,clean!$F$2:$F$998,$E127)</f>
        <v>15283255166.666666</v>
      </c>
    </row>
    <row r="128" spans="1:25" x14ac:dyDescent="0.3">
      <c r="A128">
        <v>1048576</v>
      </c>
      <c r="B128">
        <v>3</v>
      </c>
      <c r="C128">
        <v>64</v>
      </c>
      <c r="D128">
        <v>0.65</v>
      </c>
      <c r="E128">
        <v>14</v>
      </c>
      <c r="F128">
        <f>AVERAGEIFS(clean!G$2:G$998,clean!$B$2:$B$998,$A128,clean!$C$2:$C$998,$B128,clean!$D$2:$D$998,$C128,clean!$E$2:$E$998,$D128,clean!$F$2:$F$998,$E128)</f>
        <v>32767</v>
      </c>
      <c r="G128">
        <f>AVERAGEIFS(clean!H$2:H$998,clean!$B$2:$B$998,$A128,clean!$C$2:$C$998,$B128,clean!$D$2:$D$998,$C128,clean!$E$2:$E$998,$D128,clean!$F$2:$F$998,$E128)</f>
        <v>249761.33333333334</v>
      </c>
      <c r="H128">
        <f>AVERAGEIFS(clean!I$2:I$998,clean!$B$2:$B$998,$A128,clean!$C$2:$C$998,$B128,clean!$D$2:$D$998,$C128,clean!$E$2:$E$998,$D128,clean!$F$2:$F$998,$E128)</f>
        <v>5764725633.333333</v>
      </c>
      <c r="I128">
        <f>AVERAGEIFS(clean!J$2:J$998,clean!$B$2:$B$998,$A128,clean!$C$2:$C$998,$B128,clean!$D$2:$D$998,$C128,clean!$E$2:$E$998,$D128,clean!$F$2:$F$998,$E128)</f>
        <v>29456054200</v>
      </c>
      <c r="J128">
        <f>AVERAGEIFS(clean!K$2:K$998,clean!$B$2:$B$998,$A128,clean!$C$2:$C$998,$B128,clean!$D$2:$D$998,$C128,clean!$E$2:$E$998,$D128,clean!$F$2:$F$998,$E128)</f>
        <v>5.1097270391814638</v>
      </c>
      <c r="K128">
        <f>AVERAGEIFS(clean!L$2:L$998,clean!$B$2:$B$998,$A128,clean!$C$2:$C$998,$B128,clean!$D$2:$D$998,$C128,clean!$E$2:$E$998,$D128,clean!$F$2:$F$998,$E128)</f>
        <v>48683100</v>
      </c>
      <c r="L128">
        <f>AVERAGEIFS(clean!M$2:M$998,clean!$B$2:$B$998,$A128,clean!$C$2:$C$998,$B128,clean!$D$2:$D$998,$C128,clean!$E$2:$E$998,$D128,clean!$F$2:$F$998,$E128)</f>
        <v>1034230033.3333334</v>
      </c>
      <c r="M128">
        <f>AVERAGEIFS(clean!N$2:N$998,clean!$B$2:$B$998,$A128,clean!$C$2:$C$998,$B128,clean!$D$2:$D$998,$C128,clean!$E$2:$E$998,$D128,clean!$F$2:$F$998,$E128)</f>
        <v>1597483333.3333333</v>
      </c>
      <c r="N128">
        <f>AVERAGEIFS(clean!O$2:O$998,clean!$B$2:$B$998,$A128,clean!$C$2:$C$998,$B128,clean!$D$2:$D$998,$C128,clean!$E$2:$E$998,$D128,clean!$F$2:$F$998,$E128)</f>
        <v>2631713366.6666665</v>
      </c>
      <c r="O128">
        <f>AVERAGEIFS(clean!P$2:P$998,clean!$B$2:$B$998,$A128,clean!$C$2:$C$998,$B128,clean!$D$2:$D$998,$C128,clean!$E$2:$E$998,$D128,clean!$F$2:$F$998,$E128)</f>
        <v>753100</v>
      </c>
      <c r="P128">
        <f>AVERAGEIFS(clean!Q$2:Q$998,clean!$B$2:$B$998,$A128,clean!$C$2:$C$998,$B128,clean!$D$2:$D$998,$C128,clean!$E$2:$E$998,$D128,clean!$F$2:$F$998,$E128)</f>
        <v>2113761633.3333333</v>
      </c>
      <c r="Q128">
        <f>AVERAGEIFS(clean!R$2:R$998,clean!$B$2:$B$998,$A128,clean!$C$2:$C$998,$B128,clean!$D$2:$D$998,$C128,clean!$E$2:$E$998,$D128,clean!$F$2:$F$998,$E128)</f>
        <v>2114514733.3333333</v>
      </c>
      <c r="R128">
        <f>AVERAGEIFS(clean!S$2:S$998,clean!$B$2:$B$998,$A128,clean!$C$2:$C$998,$B128,clean!$D$2:$D$998,$C128,clean!$E$2:$E$998,$D128,clean!$F$2:$F$998,$E128)</f>
        <v>8190333.333333333</v>
      </c>
      <c r="S128">
        <f t="shared" si="2"/>
        <v>961624099.99999988</v>
      </c>
      <c r="T128">
        <f>AVERAGEIFS(clean!T$2:T$998,clean!$B$2:$B$998,$A128,clean!$C$2:$C$998,$B128,clean!$D$2:$D$998,$C128,clean!$E$2:$E$998,$D128,clean!$F$2:$F$998,$E128)</f>
        <v>488799933.33333331</v>
      </c>
      <c r="U128">
        <f>AVERAGEIFS(clean!U$2:U$998,clean!$B$2:$B$998,$A128,clean!$C$2:$C$998,$B128,clean!$D$2:$D$998,$C128,clean!$E$2:$E$998,$D128,clean!$F$2:$F$998,$E128)</f>
        <v>8243763633.333333</v>
      </c>
      <c r="V128">
        <f>AVERAGEIFS(clean!V$2:V$998,clean!$B$2:$B$998,$A128,clean!$C$2:$C$998,$B128,clean!$D$2:$D$998,$C128,clean!$E$2:$E$998,$D128,clean!$F$2:$F$998,$E128)</f>
        <v>15110984533.333334</v>
      </c>
      <c r="W128">
        <f>AVERAGEIFS(clean!W$2:W$998,clean!$B$2:$B$998,$A128,clean!$C$2:$C$998,$B128,clean!$D$2:$D$998,$C128,clean!$E$2:$E$998,$D128,clean!$F$2:$F$998,$E128)</f>
        <v>3748866.6666666665</v>
      </c>
      <c r="X128">
        <f t="shared" si="3"/>
        <v>5608757233.3333349</v>
      </c>
      <c r="Y128">
        <f>AVERAGEIFS(clean!X$2:X$998,clean!$B$2:$B$998,$A128,clean!$C$2:$C$998,$B128,clean!$D$2:$D$998,$C128,clean!$E$2:$E$998,$D128,clean!$F$2:$F$998,$E128)</f>
        <v>5764725633.333333</v>
      </c>
    </row>
    <row r="129" spans="1:25" x14ac:dyDescent="0.3">
      <c r="A129">
        <v>1048576</v>
      </c>
      <c r="B129">
        <v>4</v>
      </c>
      <c r="C129">
        <v>125</v>
      </c>
      <c r="D129">
        <v>0.65</v>
      </c>
      <c r="E129">
        <v>14</v>
      </c>
      <c r="F129">
        <f>AVERAGEIFS(clean!G$2:G$998,clean!$B$2:$B$998,$A129,clean!$C$2:$C$998,$B129,clean!$D$2:$D$998,$C129,clean!$E$2:$E$998,$D129,clean!$F$2:$F$998,$E129)</f>
        <v>32767</v>
      </c>
      <c r="G129">
        <f>AVERAGEIFS(clean!H$2:H$998,clean!$B$2:$B$998,$A129,clean!$C$2:$C$998,$B129,clean!$D$2:$D$998,$C129,clean!$E$2:$E$998,$D129,clean!$F$2:$F$998,$E129)</f>
        <v>250256</v>
      </c>
      <c r="H129">
        <f>AVERAGEIFS(clean!I$2:I$998,clean!$B$2:$B$998,$A129,clean!$C$2:$C$998,$B129,clean!$D$2:$D$998,$C129,clean!$E$2:$E$998,$D129,clean!$F$2:$F$998,$E129)</f>
        <v>11804671366.666666</v>
      </c>
      <c r="I129">
        <f>AVERAGEIFS(clean!J$2:J$998,clean!$B$2:$B$998,$A129,clean!$C$2:$C$998,$B129,clean!$D$2:$D$998,$C129,clean!$E$2:$E$998,$D129,clean!$F$2:$F$998,$E129)</f>
        <v>59211001966.666664</v>
      </c>
      <c r="J129">
        <f>AVERAGEIFS(clean!K$2:K$998,clean!$B$2:$B$998,$A129,clean!$C$2:$C$998,$B129,clean!$D$2:$D$998,$C129,clean!$E$2:$E$998,$D129,clean!$F$2:$F$998,$E129)</f>
        <v>5.0158979793416867</v>
      </c>
      <c r="K129">
        <f>AVERAGEIFS(clean!L$2:L$998,clean!$B$2:$B$998,$A129,clean!$C$2:$C$998,$B129,clean!$D$2:$D$998,$C129,clean!$E$2:$E$998,$D129,clean!$F$2:$F$998,$E129)</f>
        <v>49067066.666666664</v>
      </c>
      <c r="L129">
        <f>AVERAGEIFS(clean!M$2:M$998,clean!$B$2:$B$998,$A129,clean!$C$2:$C$998,$B129,clean!$D$2:$D$998,$C129,clean!$E$2:$E$998,$D129,clean!$F$2:$F$998,$E129)</f>
        <v>2902449300</v>
      </c>
      <c r="M129">
        <f>AVERAGEIFS(clean!N$2:N$998,clean!$B$2:$B$998,$A129,clean!$C$2:$C$998,$B129,clean!$D$2:$D$998,$C129,clean!$E$2:$E$998,$D129,clean!$F$2:$F$998,$E129)</f>
        <v>5294075366.666667</v>
      </c>
      <c r="N129">
        <f>AVERAGEIFS(clean!O$2:O$998,clean!$B$2:$B$998,$A129,clean!$C$2:$C$998,$B129,clean!$D$2:$D$998,$C129,clean!$E$2:$E$998,$D129,clean!$F$2:$F$998,$E129)</f>
        <v>8196524666.666667</v>
      </c>
      <c r="O129">
        <f>AVERAGEIFS(clean!P$2:P$998,clean!$B$2:$B$998,$A129,clean!$C$2:$C$998,$B129,clean!$D$2:$D$998,$C129,clean!$E$2:$E$998,$D129,clean!$F$2:$F$998,$E129)</f>
        <v>758933.33333333337</v>
      </c>
      <c r="P129">
        <f>AVERAGEIFS(clean!Q$2:Q$998,clean!$B$2:$B$998,$A129,clean!$C$2:$C$998,$B129,clean!$D$2:$D$998,$C129,clean!$E$2:$E$998,$D129,clean!$F$2:$F$998,$E129)</f>
        <v>2180498000</v>
      </c>
      <c r="Q129">
        <f>AVERAGEIFS(clean!R$2:R$998,clean!$B$2:$B$998,$A129,clean!$C$2:$C$998,$B129,clean!$D$2:$D$998,$C129,clean!$E$2:$E$998,$D129,clean!$F$2:$F$998,$E129)</f>
        <v>2181256933.3333335</v>
      </c>
      <c r="R129">
        <f>AVERAGEIFS(clean!S$2:S$998,clean!$B$2:$B$998,$A129,clean!$C$2:$C$998,$B129,clean!$D$2:$D$998,$C129,clean!$E$2:$E$998,$D129,clean!$F$2:$F$998,$E129)</f>
        <v>7899500</v>
      </c>
      <c r="S129">
        <f t="shared" si="2"/>
        <v>1369923199.9999995</v>
      </c>
      <c r="T129">
        <f>AVERAGEIFS(clean!T$2:T$998,clean!$B$2:$B$998,$A129,clean!$C$2:$C$998,$B129,clean!$D$2:$D$998,$C129,clean!$E$2:$E$998,$D129,clean!$F$2:$F$998,$E129)</f>
        <v>854668600</v>
      </c>
      <c r="U129">
        <f>AVERAGEIFS(clean!U$2:U$998,clean!$B$2:$B$998,$A129,clean!$C$2:$C$998,$B129,clean!$D$2:$D$998,$C129,clean!$E$2:$E$998,$D129,clean!$F$2:$F$998,$E129)</f>
        <v>30805087800</v>
      </c>
      <c r="V129">
        <f>AVERAGEIFS(clean!V$2:V$998,clean!$B$2:$B$998,$A129,clean!$C$2:$C$998,$B129,clean!$D$2:$D$998,$C129,clean!$E$2:$E$998,$D129,clean!$F$2:$F$998,$E129)</f>
        <v>15140661733.333334</v>
      </c>
      <c r="W129">
        <f>AVERAGEIFS(clean!W$2:W$998,clean!$B$2:$B$998,$A129,clean!$C$2:$C$998,$B129,clean!$D$2:$D$998,$C129,clean!$E$2:$E$998,$D129,clean!$F$2:$F$998,$E129)</f>
        <v>3814133.3333333335</v>
      </c>
      <c r="X129">
        <f t="shared" si="3"/>
        <v>12406769699.999996</v>
      </c>
      <c r="Y129">
        <f>AVERAGEIFS(clean!X$2:X$998,clean!$B$2:$B$998,$A129,clean!$C$2:$C$998,$B129,clean!$D$2:$D$998,$C129,clean!$E$2:$E$998,$D129,clean!$F$2:$F$998,$E129)</f>
        <v>11804671366.666666</v>
      </c>
    </row>
    <row r="130" spans="1:25" x14ac:dyDescent="0.3">
      <c r="A130">
        <v>1048576</v>
      </c>
      <c r="B130">
        <v>6</v>
      </c>
      <c r="C130">
        <v>343</v>
      </c>
      <c r="D130">
        <v>0.95</v>
      </c>
      <c r="E130">
        <v>12</v>
      </c>
      <c r="F130">
        <f>AVERAGEIFS(clean!G$2:G$998,clean!$B$2:$B$998,$A130,clean!$C$2:$C$998,$B130,clean!$D$2:$D$998,$C130,clean!$E$2:$E$998,$D130,clean!$F$2:$F$998,$E130)</f>
        <v>8191</v>
      </c>
      <c r="G130">
        <f>AVERAGEIFS(clean!H$2:H$998,clean!$B$2:$B$998,$A130,clean!$C$2:$C$998,$B130,clean!$D$2:$D$998,$C130,clean!$E$2:$E$998,$D130,clean!$F$2:$F$998,$E130)</f>
        <v>24576</v>
      </c>
      <c r="H130">
        <f>AVERAGEIFS(clean!I$2:I$998,clean!$B$2:$B$998,$A130,clean!$C$2:$C$998,$B130,clean!$D$2:$D$998,$C130,clean!$E$2:$E$998,$D130,clean!$F$2:$F$998,$E130)</f>
        <v>21189433733.333332</v>
      </c>
      <c r="I130">
        <f>AVERAGEIFS(clean!J$2:J$998,clean!$B$2:$B$998,$A130,clean!$C$2:$C$998,$B130,clean!$D$2:$D$998,$C130,clean!$E$2:$E$998,$D130,clean!$F$2:$F$998,$E130)</f>
        <v>56461494333.333336</v>
      </c>
      <c r="J130">
        <f>AVERAGEIFS(clean!K$2:K$998,clean!$B$2:$B$998,$A130,clean!$C$2:$C$998,$B130,clean!$D$2:$D$998,$C130,clean!$E$2:$E$998,$D130,clean!$F$2:$F$998,$E130)</f>
        <v>2.6646269005726797</v>
      </c>
      <c r="K130">
        <f>AVERAGEIFS(clean!L$2:L$998,clean!$B$2:$B$998,$A130,clean!$C$2:$C$998,$B130,clean!$D$2:$D$998,$C130,clean!$E$2:$E$998,$D130,clean!$F$2:$F$998,$E130)</f>
        <v>3303866.6666666665</v>
      </c>
      <c r="L130">
        <f>AVERAGEIFS(clean!M$2:M$998,clean!$B$2:$B$998,$A130,clean!$C$2:$C$998,$B130,clean!$D$2:$D$998,$C130,clean!$E$2:$E$998,$D130,clean!$F$2:$F$998,$E130)</f>
        <v>13941057533.333334</v>
      </c>
      <c r="M130">
        <f>AVERAGEIFS(clean!N$2:N$998,clean!$B$2:$B$998,$A130,clean!$C$2:$C$998,$B130,clean!$D$2:$D$998,$C130,clean!$E$2:$E$998,$D130,clean!$F$2:$F$998,$E130)</f>
        <v>1919104500</v>
      </c>
      <c r="N130">
        <f>AVERAGEIFS(clean!O$2:O$998,clean!$B$2:$B$998,$A130,clean!$C$2:$C$998,$B130,clean!$D$2:$D$998,$C130,clean!$E$2:$E$998,$D130,clean!$F$2:$F$998,$E130)</f>
        <v>15860162033.333334</v>
      </c>
      <c r="O130">
        <f>AVERAGEIFS(clean!P$2:P$998,clean!$B$2:$B$998,$A130,clean!$C$2:$C$998,$B130,clean!$D$2:$D$998,$C130,clean!$E$2:$E$998,$D130,clean!$F$2:$F$998,$E130)</f>
        <v>166366.66666666666</v>
      </c>
      <c r="P130">
        <f>AVERAGEIFS(clean!Q$2:Q$998,clean!$B$2:$B$998,$A130,clean!$C$2:$C$998,$B130,clean!$D$2:$D$998,$C130,clean!$E$2:$E$998,$D130,clean!$F$2:$F$998,$E130)</f>
        <v>3329279166.6666665</v>
      </c>
      <c r="Q130">
        <f>AVERAGEIFS(clean!R$2:R$998,clean!$B$2:$B$998,$A130,clean!$C$2:$C$998,$B130,clean!$D$2:$D$998,$C130,clean!$E$2:$E$998,$D130,clean!$F$2:$F$998,$E130)</f>
        <v>3329445533.3333335</v>
      </c>
      <c r="R130">
        <f>AVERAGEIFS(clean!S$2:S$998,clean!$B$2:$B$998,$A130,clean!$C$2:$C$998,$B130,clean!$D$2:$D$998,$C130,clean!$E$2:$E$998,$D130,clean!$F$2:$F$998,$E130)</f>
        <v>7930800</v>
      </c>
      <c r="S130">
        <f t="shared" si="2"/>
        <v>1988591499.9999967</v>
      </c>
      <c r="T130">
        <f>AVERAGEIFS(clean!T$2:T$998,clean!$B$2:$B$998,$A130,clean!$C$2:$C$998,$B130,clean!$D$2:$D$998,$C130,clean!$E$2:$E$998,$D130,clean!$F$2:$F$998,$E130)</f>
        <v>803398833.33333337</v>
      </c>
      <c r="U130">
        <f>AVERAGEIFS(clean!U$2:U$998,clean!$B$2:$B$998,$A130,clean!$C$2:$C$998,$B130,clean!$D$2:$D$998,$C130,clean!$E$2:$E$998,$D130,clean!$F$2:$F$998,$E130)</f>
        <v>9015305266.666666</v>
      </c>
      <c r="V130">
        <f>AVERAGEIFS(clean!V$2:V$998,clean!$B$2:$B$998,$A130,clean!$C$2:$C$998,$B130,clean!$D$2:$D$998,$C130,clean!$E$2:$E$998,$D130,clean!$F$2:$F$998,$E130)</f>
        <v>25492592500</v>
      </c>
      <c r="W130">
        <f>AVERAGEIFS(clean!W$2:W$998,clean!$B$2:$B$998,$A130,clean!$C$2:$C$998,$B130,clean!$D$2:$D$998,$C130,clean!$E$2:$E$998,$D130,clean!$F$2:$F$998,$E130)</f>
        <v>3975400</v>
      </c>
      <c r="X130">
        <f t="shared" si="3"/>
        <v>21146222333.333336</v>
      </c>
      <c r="Y130">
        <f>AVERAGEIFS(clean!X$2:X$998,clean!$B$2:$B$998,$A130,clean!$C$2:$C$998,$B130,clean!$D$2:$D$998,$C130,clean!$E$2:$E$998,$D130,clean!$F$2:$F$998,$E130)</f>
        <v>21189433733.333332</v>
      </c>
    </row>
    <row r="131" spans="1:25" x14ac:dyDescent="0.3">
      <c r="A131">
        <v>1048576</v>
      </c>
      <c r="B131">
        <v>5</v>
      </c>
      <c r="C131">
        <v>216</v>
      </c>
      <c r="D131">
        <v>0.65</v>
      </c>
      <c r="E131">
        <v>13</v>
      </c>
      <c r="F131">
        <f>AVERAGEIFS(clean!G$2:G$998,clean!$B$2:$B$998,$A131,clean!$C$2:$C$998,$B131,clean!$D$2:$D$998,$C131,clean!$E$2:$E$998,$D131,clean!$F$2:$F$998,$E131)</f>
        <v>16383</v>
      </c>
      <c r="G131">
        <f>AVERAGEIFS(clean!H$2:H$998,clean!$B$2:$B$998,$A131,clean!$C$2:$C$998,$B131,clean!$D$2:$D$998,$C131,clean!$E$2:$E$998,$D131,clean!$F$2:$F$998,$E131)</f>
        <v>103234.66666666667</v>
      </c>
      <c r="H131">
        <f>AVERAGEIFS(clean!I$2:I$998,clean!$B$2:$B$998,$A131,clean!$C$2:$C$998,$B131,clean!$D$2:$D$998,$C131,clean!$E$2:$E$998,$D131,clean!$F$2:$F$998,$E131)</f>
        <v>22132629100</v>
      </c>
      <c r="I131">
        <f>AVERAGEIFS(clean!J$2:J$998,clean!$B$2:$B$998,$A131,clean!$C$2:$C$998,$B131,clean!$D$2:$D$998,$C131,clean!$E$2:$E$998,$D131,clean!$F$2:$F$998,$E131)</f>
        <v>96430737266.666672</v>
      </c>
      <c r="J131">
        <f>AVERAGEIFS(clean!K$2:K$998,clean!$B$2:$B$998,$A131,clean!$C$2:$C$998,$B131,clean!$D$2:$D$998,$C131,clean!$E$2:$E$998,$D131,clean!$F$2:$F$998,$E131)</f>
        <v>4.3569656788640811</v>
      </c>
      <c r="K131">
        <f>AVERAGEIFS(clean!L$2:L$998,clean!$B$2:$B$998,$A131,clean!$C$2:$C$998,$B131,clean!$D$2:$D$998,$C131,clean!$E$2:$E$998,$D131,clean!$F$2:$F$998,$E131)</f>
        <v>23648433.333333332</v>
      </c>
      <c r="L131">
        <f>AVERAGEIFS(clean!M$2:M$998,clean!$B$2:$B$998,$A131,clean!$C$2:$C$998,$B131,clean!$D$2:$D$998,$C131,clean!$E$2:$E$998,$D131,clean!$F$2:$F$998,$E131)</f>
        <v>5826554266.666667</v>
      </c>
      <c r="M131">
        <f>AVERAGEIFS(clean!N$2:N$998,clean!$B$2:$B$998,$A131,clean!$C$2:$C$998,$B131,clean!$D$2:$D$998,$C131,clean!$E$2:$E$998,$D131,clean!$F$2:$F$998,$E131)</f>
        <v>11122932166.666666</v>
      </c>
      <c r="N131">
        <f>AVERAGEIFS(clean!O$2:O$998,clean!$B$2:$B$998,$A131,clean!$C$2:$C$998,$B131,clean!$D$2:$D$998,$C131,clean!$E$2:$E$998,$D131,clean!$F$2:$F$998,$E131)</f>
        <v>16949486433.333334</v>
      </c>
      <c r="O131">
        <f>AVERAGEIFS(clean!P$2:P$998,clean!$B$2:$B$998,$A131,clean!$C$2:$C$998,$B131,clean!$D$2:$D$998,$C131,clean!$E$2:$E$998,$D131,clean!$F$2:$F$998,$E131)</f>
        <v>401833.33333333331</v>
      </c>
      <c r="P131">
        <f>AVERAGEIFS(clean!Q$2:Q$998,clean!$B$2:$B$998,$A131,clean!$C$2:$C$998,$B131,clean!$D$2:$D$998,$C131,clean!$E$2:$E$998,$D131,clean!$F$2:$F$998,$E131)</f>
        <v>3495027900</v>
      </c>
      <c r="Q131">
        <f>AVERAGEIFS(clean!R$2:R$998,clean!$B$2:$B$998,$A131,clean!$C$2:$C$998,$B131,clean!$D$2:$D$998,$C131,clean!$E$2:$E$998,$D131,clean!$F$2:$F$998,$E131)</f>
        <v>3495429733.3333335</v>
      </c>
      <c r="R131">
        <f>AVERAGEIFS(clean!S$2:S$998,clean!$B$2:$B$998,$A131,clean!$C$2:$C$998,$B131,clean!$D$2:$D$998,$C131,clean!$E$2:$E$998,$D131,clean!$F$2:$F$998,$E131)</f>
        <v>7908800</v>
      </c>
      <c r="S131">
        <f t="shared" ref="S131:S151" si="4">H131-K131-N131-Q131-R131</f>
        <v>1656155700.0000005</v>
      </c>
      <c r="T131">
        <f>AVERAGEIFS(clean!T$2:T$998,clean!$B$2:$B$998,$A131,clean!$C$2:$C$998,$B131,clean!$D$2:$D$998,$C131,clean!$E$2:$E$998,$D131,clean!$F$2:$F$998,$E131)</f>
        <v>838252433.33333337</v>
      </c>
      <c r="U131">
        <f>AVERAGEIFS(clean!U$2:U$998,clean!$B$2:$B$998,$A131,clean!$C$2:$C$998,$B131,clean!$D$2:$D$998,$C131,clean!$E$2:$E$998,$D131,clean!$F$2:$F$998,$E131)</f>
        <v>53100265300</v>
      </c>
      <c r="V131">
        <f>AVERAGEIFS(clean!V$2:V$998,clean!$B$2:$B$998,$A131,clean!$C$2:$C$998,$B131,clean!$D$2:$D$998,$C131,clean!$E$2:$E$998,$D131,clean!$F$2:$F$998,$E131)</f>
        <v>25508537433.333332</v>
      </c>
      <c r="W131">
        <f>AVERAGEIFS(clean!W$2:W$998,clean!$B$2:$B$998,$A131,clean!$C$2:$C$998,$B131,clean!$D$2:$D$998,$C131,clean!$E$2:$E$998,$D131,clean!$F$2:$F$998,$E131)</f>
        <v>3787066.6666666665</v>
      </c>
      <c r="X131">
        <f t="shared" ref="X131:X151" si="5">I131-T131-U131-V131-W131</f>
        <v>16979895033.333345</v>
      </c>
      <c r="Y131">
        <f>AVERAGEIFS(clean!X$2:X$998,clean!$B$2:$B$998,$A131,clean!$C$2:$C$998,$B131,clean!$D$2:$D$998,$C131,clean!$E$2:$E$998,$D131,clean!$F$2:$F$998,$E131)</f>
        <v>22132629100</v>
      </c>
    </row>
    <row r="132" spans="1:25" x14ac:dyDescent="0.3">
      <c r="A132">
        <v>1048576</v>
      </c>
      <c r="B132">
        <v>7</v>
      </c>
      <c r="C132">
        <v>512</v>
      </c>
      <c r="D132">
        <v>0.95</v>
      </c>
      <c r="E132">
        <v>11</v>
      </c>
      <c r="F132">
        <f>AVERAGEIFS(clean!G$2:G$998,clean!$B$2:$B$998,$A132,clean!$C$2:$C$998,$B132,clean!$D$2:$D$998,$C132,clean!$E$2:$E$998,$D132,clean!$F$2:$F$998,$E132)</f>
        <v>4095</v>
      </c>
      <c r="G132">
        <f>AVERAGEIFS(clean!H$2:H$998,clean!$B$2:$B$998,$A132,clean!$C$2:$C$998,$B132,clean!$D$2:$D$998,$C132,clean!$E$2:$E$998,$D132,clean!$F$2:$F$998,$E132)</f>
        <v>8192</v>
      </c>
      <c r="H132">
        <f>AVERAGEIFS(clean!I$2:I$998,clean!$B$2:$B$998,$A132,clean!$C$2:$C$998,$B132,clean!$D$2:$D$998,$C132,clean!$E$2:$E$998,$D132,clean!$F$2:$F$998,$E132)</f>
        <v>25370596433.333332</v>
      </c>
      <c r="I132">
        <f>AVERAGEIFS(clean!J$2:J$998,clean!$B$2:$B$998,$A132,clean!$C$2:$C$998,$B132,clean!$D$2:$D$998,$C132,clean!$E$2:$E$998,$D132,clean!$F$2:$F$998,$E132)</f>
        <v>73426870333.333328</v>
      </c>
      <c r="J132">
        <f>AVERAGEIFS(clean!K$2:K$998,clean!$B$2:$B$998,$A132,clean!$C$2:$C$998,$B132,clean!$D$2:$D$998,$C132,clean!$E$2:$E$998,$D132,clean!$F$2:$F$998,$E132)</f>
        <v>2.8941921804762436</v>
      </c>
      <c r="K132">
        <f>AVERAGEIFS(clean!L$2:L$998,clean!$B$2:$B$998,$A132,clean!$C$2:$C$998,$B132,clean!$D$2:$D$998,$C132,clean!$E$2:$E$998,$D132,clean!$F$2:$F$998,$E132)</f>
        <v>1444233.3333333333</v>
      </c>
      <c r="L132">
        <f>AVERAGEIFS(clean!M$2:M$998,clean!$B$2:$B$998,$A132,clean!$C$2:$C$998,$B132,clean!$D$2:$D$998,$C132,clean!$E$2:$E$998,$D132,clean!$F$2:$F$998,$E132)</f>
        <v>16693384766.666666</v>
      </c>
      <c r="M132">
        <f>AVERAGEIFS(clean!N$2:N$998,clean!$B$2:$B$998,$A132,clean!$C$2:$C$998,$B132,clean!$D$2:$D$998,$C132,clean!$E$2:$E$998,$D132,clean!$F$2:$F$998,$E132)</f>
        <v>2258592100</v>
      </c>
      <c r="N132">
        <f>AVERAGEIFS(clean!O$2:O$998,clean!$B$2:$B$998,$A132,clean!$C$2:$C$998,$B132,clean!$D$2:$D$998,$C132,clean!$E$2:$E$998,$D132,clean!$F$2:$F$998,$E132)</f>
        <v>18951976866.666668</v>
      </c>
      <c r="O132">
        <f>AVERAGEIFS(clean!P$2:P$998,clean!$B$2:$B$998,$A132,clean!$C$2:$C$998,$B132,clean!$D$2:$D$998,$C132,clean!$E$2:$E$998,$D132,clean!$F$2:$F$998,$E132)</f>
        <v>143700</v>
      </c>
      <c r="P132">
        <f>AVERAGEIFS(clean!Q$2:Q$998,clean!$B$2:$B$998,$A132,clean!$C$2:$C$998,$B132,clean!$D$2:$D$998,$C132,clean!$E$2:$E$998,$D132,clean!$F$2:$F$998,$E132)</f>
        <v>4433186466.666667</v>
      </c>
      <c r="Q132">
        <f>AVERAGEIFS(clean!R$2:R$998,clean!$B$2:$B$998,$A132,clean!$C$2:$C$998,$B132,clean!$D$2:$D$998,$C132,clean!$E$2:$E$998,$D132,clean!$F$2:$F$998,$E132)</f>
        <v>4433330166.666667</v>
      </c>
      <c r="R132">
        <f>AVERAGEIFS(clean!S$2:S$998,clean!$B$2:$B$998,$A132,clean!$C$2:$C$998,$B132,clean!$D$2:$D$998,$C132,clean!$E$2:$E$998,$D132,clean!$F$2:$F$998,$E132)</f>
        <v>8122633.333333333</v>
      </c>
      <c r="S132">
        <f t="shared" si="4"/>
        <v>1975722533.3333318</v>
      </c>
      <c r="T132">
        <f>AVERAGEIFS(clean!T$2:T$998,clean!$B$2:$B$998,$A132,clean!$C$2:$C$998,$B132,clean!$D$2:$D$998,$C132,clean!$E$2:$E$998,$D132,clean!$F$2:$F$998,$E132)</f>
        <v>726302000</v>
      </c>
      <c r="U132">
        <f>AVERAGEIFS(clean!U$2:U$998,clean!$B$2:$B$998,$A132,clean!$C$2:$C$998,$B132,clean!$D$2:$D$998,$C132,clean!$E$2:$E$998,$D132,clean!$F$2:$F$998,$E132)</f>
        <v>11979200633.333334</v>
      </c>
      <c r="V132">
        <f>AVERAGEIFS(clean!V$2:V$998,clean!$B$2:$B$998,$A132,clean!$C$2:$C$998,$B132,clean!$D$2:$D$998,$C132,clean!$E$2:$E$998,$D132,clean!$F$2:$F$998,$E132)</f>
        <v>35870692466.666664</v>
      </c>
      <c r="W132">
        <f>AVERAGEIFS(clean!W$2:W$998,clean!$B$2:$B$998,$A132,clean!$C$2:$C$998,$B132,clean!$D$2:$D$998,$C132,clean!$E$2:$E$998,$D132,clean!$F$2:$F$998,$E132)</f>
        <v>3762833.3333333335</v>
      </c>
      <c r="X132">
        <f t="shared" si="5"/>
        <v>24846912399.999996</v>
      </c>
      <c r="Y132">
        <f>AVERAGEIFS(clean!X$2:X$998,clean!$B$2:$B$998,$A132,clean!$C$2:$C$998,$B132,clean!$D$2:$D$998,$C132,clean!$E$2:$E$998,$D132,clean!$F$2:$F$998,$E132)</f>
        <v>25370596433.333332</v>
      </c>
    </row>
    <row r="133" spans="1:25" x14ac:dyDescent="0.3">
      <c r="A133">
        <v>1048576</v>
      </c>
      <c r="B133">
        <v>6</v>
      </c>
      <c r="C133">
        <v>343</v>
      </c>
      <c r="D133">
        <v>0.8</v>
      </c>
      <c r="E133">
        <v>12</v>
      </c>
      <c r="F133">
        <f>AVERAGEIFS(clean!G$2:G$998,clean!$B$2:$B$998,$A133,clean!$C$2:$C$998,$B133,clean!$D$2:$D$998,$C133,clean!$E$2:$E$998,$D133,clean!$F$2:$F$998,$E133)</f>
        <v>8191</v>
      </c>
      <c r="G133">
        <f>AVERAGEIFS(clean!H$2:H$998,clean!$B$2:$B$998,$A133,clean!$C$2:$C$998,$B133,clean!$D$2:$D$998,$C133,clean!$E$2:$E$998,$D133,clean!$F$2:$F$998,$E133)</f>
        <v>36064</v>
      </c>
      <c r="H133">
        <f>AVERAGEIFS(clean!I$2:I$998,clean!$B$2:$B$998,$A133,clean!$C$2:$C$998,$B133,clean!$D$2:$D$998,$C133,clean!$E$2:$E$998,$D133,clean!$F$2:$F$998,$E133)</f>
        <v>26813561366.666668</v>
      </c>
      <c r="I133">
        <f>AVERAGEIFS(clean!J$2:J$998,clean!$B$2:$B$998,$A133,clean!$C$2:$C$998,$B133,clean!$D$2:$D$998,$C133,clean!$E$2:$E$998,$D133,clean!$F$2:$F$998,$E133)</f>
        <v>87696722666.666672</v>
      </c>
      <c r="J133">
        <f>AVERAGEIFS(clean!K$2:K$998,clean!$B$2:$B$998,$A133,clean!$C$2:$C$998,$B133,clean!$D$2:$D$998,$C133,clean!$E$2:$E$998,$D133,clean!$F$2:$F$998,$E133)</f>
        <v>3.2705885689591803</v>
      </c>
      <c r="K133">
        <f>AVERAGEIFS(clean!L$2:L$998,clean!$B$2:$B$998,$A133,clean!$C$2:$C$998,$B133,clean!$D$2:$D$998,$C133,clean!$E$2:$E$998,$D133,clean!$F$2:$F$998,$E133)</f>
        <v>6475466.666666667</v>
      </c>
      <c r="L133">
        <f>AVERAGEIFS(clean!M$2:M$998,clean!$B$2:$B$998,$A133,clean!$C$2:$C$998,$B133,clean!$D$2:$D$998,$C133,clean!$E$2:$E$998,$D133,clean!$F$2:$F$998,$E133)</f>
        <v>13908287500</v>
      </c>
      <c r="M133">
        <f>AVERAGEIFS(clean!N$2:N$998,clean!$B$2:$B$998,$A133,clean!$C$2:$C$998,$B133,clean!$D$2:$D$998,$C133,clean!$E$2:$E$998,$D133,clean!$F$2:$F$998,$E133)</f>
        <v>6040322133.333333</v>
      </c>
      <c r="N133">
        <f>AVERAGEIFS(clean!O$2:O$998,clean!$B$2:$B$998,$A133,clean!$C$2:$C$998,$B133,clean!$D$2:$D$998,$C133,clean!$E$2:$E$998,$D133,clean!$F$2:$F$998,$E133)</f>
        <v>19948609633.333332</v>
      </c>
      <c r="O133">
        <f>AVERAGEIFS(clean!P$2:P$998,clean!$B$2:$B$998,$A133,clean!$C$2:$C$998,$B133,clean!$D$2:$D$998,$C133,clean!$E$2:$E$998,$D133,clean!$F$2:$F$998,$E133)</f>
        <v>189366.66666666666</v>
      </c>
      <c r="P133">
        <f>AVERAGEIFS(clean!Q$2:Q$998,clean!$B$2:$B$998,$A133,clean!$C$2:$C$998,$B133,clean!$D$2:$D$998,$C133,clean!$E$2:$E$998,$D133,clean!$F$2:$F$998,$E133)</f>
        <v>4864637733.333333</v>
      </c>
      <c r="Q133">
        <f>AVERAGEIFS(clean!R$2:R$998,clean!$B$2:$B$998,$A133,clean!$C$2:$C$998,$B133,clean!$D$2:$D$998,$C133,clean!$E$2:$E$998,$D133,clean!$F$2:$F$998,$E133)</f>
        <v>4864827100</v>
      </c>
      <c r="R133">
        <f>AVERAGEIFS(clean!S$2:S$998,clean!$B$2:$B$998,$A133,clean!$C$2:$C$998,$B133,clean!$D$2:$D$998,$C133,clean!$E$2:$E$998,$D133,clean!$F$2:$F$998,$E133)</f>
        <v>12791166.666666666</v>
      </c>
      <c r="S133">
        <f t="shared" si="4"/>
        <v>1980858000.0000012</v>
      </c>
      <c r="T133">
        <f>AVERAGEIFS(clean!T$2:T$998,clean!$B$2:$B$998,$A133,clean!$C$2:$C$998,$B133,clean!$D$2:$D$998,$C133,clean!$E$2:$E$998,$D133,clean!$F$2:$F$998,$E133)</f>
        <v>701738933.33333337</v>
      </c>
      <c r="U133">
        <f>AVERAGEIFS(clean!U$2:U$998,clean!$B$2:$B$998,$A133,clean!$C$2:$C$998,$B133,clean!$D$2:$D$998,$C133,clean!$E$2:$E$998,$D133,clean!$F$2:$F$998,$E133)</f>
        <v>28538750333.333332</v>
      </c>
      <c r="V133">
        <f>AVERAGEIFS(clean!V$2:V$998,clean!$B$2:$B$998,$A133,clean!$C$2:$C$998,$B133,clean!$D$2:$D$998,$C133,clean!$E$2:$E$998,$D133,clean!$F$2:$F$998,$E133)</f>
        <v>37269485500</v>
      </c>
      <c r="W133">
        <f>AVERAGEIFS(clean!W$2:W$998,clean!$B$2:$B$998,$A133,clean!$C$2:$C$998,$B133,clean!$D$2:$D$998,$C133,clean!$E$2:$E$998,$D133,clean!$F$2:$F$998,$E133)</f>
        <v>3788100</v>
      </c>
      <c r="X133">
        <f t="shared" si="5"/>
        <v>21182959800.000015</v>
      </c>
      <c r="Y133">
        <f>AVERAGEIFS(clean!X$2:X$998,clean!$B$2:$B$998,$A133,clean!$C$2:$C$998,$B133,clean!$D$2:$D$998,$C133,clean!$E$2:$E$998,$D133,clean!$F$2:$F$998,$E133)</f>
        <v>26813561366.666668</v>
      </c>
    </row>
    <row r="134" spans="1:25" x14ac:dyDescent="0.3">
      <c r="A134">
        <v>1048576</v>
      </c>
      <c r="B134">
        <v>3</v>
      </c>
      <c r="C134">
        <v>64</v>
      </c>
      <c r="D134">
        <v>0.5</v>
      </c>
      <c r="E134">
        <v>14</v>
      </c>
      <c r="F134">
        <f>AVERAGEIFS(clean!G$2:G$998,clean!$B$2:$B$998,$A134,clean!$C$2:$C$998,$B134,clean!$D$2:$D$998,$C134,clean!$E$2:$E$998,$D134,clean!$F$2:$F$998,$E134)</f>
        <v>32767</v>
      </c>
      <c r="G134">
        <f>AVERAGEIFS(clean!H$2:H$998,clean!$B$2:$B$998,$A134,clean!$C$2:$C$998,$B134,clean!$D$2:$D$998,$C134,clean!$E$2:$E$998,$D134,clean!$F$2:$F$998,$E134)</f>
        <v>721276</v>
      </c>
      <c r="H134">
        <f>AVERAGEIFS(clean!I$2:I$998,clean!$B$2:$B$998,$A134,clean!$C$2:$C$998,$B134,clean!$D$2:$D$998,$C134,clean!$E$2:$E$998,$D134,clean!$F$2:$F$998,$E134)</f>
        <v>12520729075</v>
      </c>
      <c r="I134">
        <f>AVERAGEIFS(clean!J$2:J$998,clean!$B$2:$B$998,$A134,clean!$C$2:$C$998,$B134,clean!$D$2:$D$998,$C134,clean!$E$2:$E$998,$D134,clean!$F$2:$F$998,$E134)</f>
        <v>72055594075</v>
      </c>
      <c r="J134">
        <f>AVERAGEIFS(clean!K$2:K$998,clean!$B$2:$B$998,$A134,clean!$C$2:$C$998,$B134,clean!$D$2:$D$998,$C134,clean!$E$2:$E$998,$D134,clean!$F$2:$F$998,$E134)</f>
        <v>5.7549016145784844</v>
      </c>
      <c r="K134">
        <f>AVERAGEIFS(clean!L$2:L$998,clean!$B$2:$B$998,$A134,clean!$C$2:$C$998,$B134,clean!$D$2:$D$998,$C134,clean!$E$2:$E$998,$D134,clean!$F$2:$F$998,$E134)</f>
        <v>426488050</v>
      </c>
      <c r="L134">
        <f>AVERAGEIFS(clean!M$2:M$998,clean!$B$2:$B$998,$A134,clean!$C$2:$C$998,$B134,clean!$D$2:$D$998,$C134,clean!$E$2:$E$998,$D134,clean!$F$2:$F$998,$E134)</f>
        <v>638713225</v>
      </c>
      <c r="M134">
        <f>AVERAGEIFS(clean!N$2:N$998,clean!$B$2:$B$998,$A134,clean!$C$2:$C$998,$B134,clean!$D$2:$D$998,$C134,clean!$E$2:$E$998,$D134,clean!$F$2:$F$998,$E134)</f>
        <v>4400409475</v>
      </c>
      <c r="N134">
        <f>AVERAGEIFS(clean!O$2:O$998,clean!$B$2:$B$998,$A134,clean!$C$2:$C$998,$B134,clean!$D$2:$D$998,$C134,clean!$E$2:$E$998,$D134,clean!$F$2:$F$998,$E134)</f>
        <v>5039122700</v>
      </c>
      <c r="O134">
        <f>AVERAGEIFS(clean!P$2:P$998,clean!$B$2:$B$998,$A134,clean!$C$2:$C$998,$B134,clean!$D$2:$D$998,$C134,clean!$E$2:$E$998,$D134,clean!$F$2:$F$998,$E134)</f>
        <v>2013575</v>
      </c>
      <c r="P134">
        <f>AVERAGEIFS(clean!Q$2:Q$998,clean!$B$2:$B$998,$A134,clean!$C$2:$C$998,$B134,clean!$D$2:$D$998,$C134,clean!$E$2:$E$998,$D134,clean!$F$2:$F$998,$E134)</f>
        <v>6057635650</v>
      </c>
      <c r="Q134">
        <f>AVERAGEIFS(clean!R$2:R$998,clean!$B$2:$B$998,$A134,clean!$C$2:$C$998,$B134,clean!$D$2:$D$998,$C134,clean!$E$2:$E$998,$D134,clean!$F$2:$F$998,$E134)</f>
        <v>6059649225</v>
      </c>
      <c r="R134">
        <f>AVERAGEIFS(clean!S$2:S$998,clean!$B$2:$B$998,$A134,clean!$C$2:$C$998,$B134,clean!$D$2:$D$998,$C134,clean!$E$2:$E$998,$D134,clean!$F$2:$F$998,$E134)</f>
        <v>8238650</v>
      </c>
      <c r="S134">
        <f t="shared" si="4"/>
        <v>987230450</v>
      </c>
      <c r="T134">
        <f>AVERAGEIFS(clean!T$2:T$998,clean!$B$2:$B$998,$A134,clean!$C$2:$C$998,$B134,clean!$D$2:$D$998,$C134,clean!$E$2:$E$998,$D134,clean!$F$2:$F$998,$E134)</f>
        <v>579327600</v>
      </c>
      <c r="U134">
        <f>AVERAGEIFS(clean!U$2:U$998,clean!$B$2:$B$998,$A134,clean!$C$2:$C$998,$B134,clean!$D$2:$D$998,$C134,clean!$E$2:$E$998,$D134,clean!$F$2:$F$998,$E134)</f>
        <v>22614854975</v>
      </c>
      <c r="V134">
        <f>AVERAGEIFS(clean!V$2:V$998,clean!$B$2:$B$998,$A134,clean!$C$2:$C$998,$B134,clean!$D$2:$D$998,$C134,clean!$E$2:$E$998,$D134,clean!$F$2:$F$998,$E134)</f>
        <v>43275642475</v>
      </c>
      <c r="W134">
        <f>AVERAGEIFS(clean!W$2:W$998,clean!$B$2:$B$998,$A134,clean!$C$2:$C$998,$B134,clean!$D$2:$D$998,$C134,clean!$E$2:$E$998,$D134,clean!$F$2:$F$998,$E134)</f>
        <v>3889675</v>
      </c>
      <c r="X134">
        <f t="shared" si="5"/>
        <v>5581879350</v>
      </c>
      <c r="Y134">
        <f>AVERAGEIFS(clean!X$2:X$998,clean!$B$2:$B$998,$A134,clean!$C$2:$C$998,$B134,clean!$D$2:$D$998,$C134,clean!$E$2:$E$998,$D134,clean!$F$2:$F$998,$E134)</f>
        <v>12520729075</v>
      </c>
    </row>
    <row r="135" spans="1:25" x14ac:dyDescent="0.3">
      <c r="A135">
        <v>1048576</v>
      </c>
      <c r="B135">
        <v>4</v>
      </c>
      <c r="C135">
        <v>125</v>
      </c>
      <c r="D135">
        <v>0.5</v>
      </c>
      <c r="E135">
        <v>14</v>
      </c>
      <c r="F135">
        <f>AVERAGEIFS(clean!G$2:G$998,clean!$B$2:$B$998,$A135,clean!$C$2:$C$998,$B135,clean!$D$2:$D$998,$C135,clean!$E$2:$E$998,$D135,clean!$F$2:$F$998,$E135)</f>
        <v>32767</v>
      </c>
      <c r="G135">
        <f>AVERAGEIFS(clean!H$2:H$998,clean!$B$2:$B$998,$A135,clean!$C$2:$C$998,$B135,clean!$D$2:$D$998,$C135,clean!$E$2:$E$998,$D135,clean!$F$2:$F$998,$E135)</f>
        <v>721759</v>
      </c>
      <c r="H135">
        <f>AVERAGEIFS(clean!I$2:I$998,clean!$B$2:$B$998,$A135,clean!$C$2:$C$998,$B135,clean!$D$2:$D$998,$C135,clean!$E$2:$E$998,$D135,clean!$F$2:$F$998,$E135)</f>
        <v>25123108300</v>
      </c>
      <c r="I135">
        <f>AVERAGEIFS(clean!J$2:J$998,clean!$B$2:$B$998,$A135,clean!$C$2:$C$998,$B135,clean!$D$2:$D$998,$C135,clean!$E$2:$E$998,$D135,clean!$F$2:$F$998,$E135)</f>
        <v>140069335825</v>
      </c>
      <c r="J135">
        <f>AVERAGEIFS(clean!K$2:K$998,clean!$B$2:$B$998,$A135,clean!$C$2:$C$998,$B135,clean!$D$2:$D$998,$C135,clean!$E$2:$E$998,$D135,clean!$F$2:$F$998,$E135)</f>
        <v>5.5754165933322648</v>
      </c>
      <c r="K135">
        <f>AVERAGEIFS(clean!L$2:L$998,clean!$B$2:$B$998,$A135,clean!$C$2:$C$998,$B135,clean!$D$2:$D$998,$C135,clean!$E$2:$E$998,$D135,clean!$F$2:$F$998,$E135)</f>
        <v>142119175</v>
      </c>
      <c r="L135">
        <f>AVERAGEIFS(clean!M$2:M$998,clean!$B$2:$B$998,$A135,clean!$C$2:$C$998,$B135,clean!$D$2:$D$998,$C135,clean!$E$2:$E$998,$D135,clean!$F$2:$F$998,$E135)</f>
        <v>2815900400</v>
      </c>
      <c r="M135">
        <f>AVERAGEIFS(clean!N$2:N$998,clean!$B$2:$B$998,$A135,clean!$C$2:$C$998,$B135,clean!$D$2:$D$998,$C135,clean!$E$2:$E$998,$D135,clean!$F$2:$F$998,$E135)</f>
        <v>14503695200</v>
      </c>
      <c r="N135">
        <f>AVERAGEIFS(clean!O$2:O$998,clean!$B$2:$B$998,$A135,clean!$C$2:$C$998,$B135,clean!$D$2:$D$998,$C135,clean!$E$2:$E$998,$D135,clean!$F$2:$F$998,$E135)</f>
        <v>17319595600</v>
      </c>
      <c r="O135">
        <f>AVERAGEIFS(clean!P$2:P$998,clean!$B$2:$B$998,$A135,clean!$C$2:$C$998,$B135,clean!$D$2:$D$998,$C135,clean!$E$2:$E$998,$D135,clean!$F$2:$F$998,$E135)</f>
        <v>2085300</v>
      </c>
      <c r="P135">
        <f>AVERAGEIFS(clean!Q$2:Q$998,clean!$B$2:$B$998,$A135,clean!$C$2:$C$998,$B135,clean!$D$2:$D$998,$C135,clean!$E$2:$E$998,$D135,clean!$F$2:$F$998,$E135)</f>
        <v>6250208125</v>
      </c>
      <c r="Q135">
        <f>AVERAGEIFS(clean!R$2:R$998,clean!$B$2:$B$998,$A135,clean!$C$2:$C$998,$B135,clean!$D$2:$D$998,$C135,clean!$E$2:$E$998,$D135,clean!$F$2:$F$998,$E135)</f>
        <v>6252293425</v>
      </c>
      <c r="R135">
        <f>AVERAGEIFS(clean!S$2:S$998,clean!$B$2:$B$998,$A135,clean!$C$2:$C$998,$B135,clean!$D$2:$D$998,$C135,clean!$E$2:$E$998,$D135,clean!$F$2:$F$998,$E135)</f>
        <v>8333800</v>
      </c>
      <c r="S135">
        <f t="shared" si="4"/>
        <v>1400766300</v>
      </c>
      <c r="T135">
        <f>AVERAGEIFS(clean!T$2:T$998,clean!$B$2:$B$998,$A135,clean!$C$2:$C$998,$B135,clean!$D$2:$D$998,$C135,clean!$E$2:$E$998,$D135,clean!$F$2:$F$998,$E135)</f>
        <v>583788950</v>
      </c>
      <c r="U135">
        <f>AVERAGEIFS(clean!U$2:U$998,clean!$B$2:$B$998,$A135,clean!$C$2:$C$998,$B135,clean!$D$2:$D$998,$C135,clean!$E$2:$E$998,$D135,clean!$F$2:$F$998,$E135)</f>
        <v>83713967900</v>
      </c>
      <c r="V135">
        <f>AVERAGEIFS(clean!V$2:V$998,clean!$B$2:$B$998,$A135,clean!$C$2:$C$998,$B135,clean!$D$2:$D$998,$C135,clean!$E$2:$E$998,$D135,clean!$F$2:$F$998,$E135)</f>
        <v>43270535800</v>
      </c>
      <c r="W135">
        <f>AVERAGEIFS(clean!W$2:W$998,clean!$B$2:$B$998,$A135,clean!$C$2:$C$998,$B135,clean!$D$2:$D$998,$C135,clean!$E$2:$E$998,$D135,clean!$F$2:$F$998,$E135)</f>
        <v>3751025</v>
      </c>
      <c r="X135">
        <f t="shared" si="5"/>
        <v>12497292150</v>
      </c>
      <c r="Y135">
        <f>AVERAGEIFS(clean!X$2:X$998,clean!$B$2:$B$998,$A135,clean!$C$2:$C$998,$B135,clean!$D$2:$D$998,$C135,clean!$E$2:$E$998,$D135,clean!$F$2:$F$998,$E135)</f>
        <v>25123108300</v>
      </c>
    </row>
    <row r="136" spans="1:25" x14ac:dyDescent="0.3">
      <c r="A136">
        <v>1048576</v>
      </c>
      <c r="B136">
        <v>7</v>
      </c>
      <c r="C136">
        <v>512</v>
      </c>
      <c r="D136">
        <v>0.8</v>
      </c>
      <c r="E136">
        <v>11</v>
      </c>
      <c r="F136">
        <f>AVERAGEIFS(clean!G$2:G$998,clean!$B$2:$B$998,$A136,clean!$C$2:$C$998,$B136,clean!$D$2:$D$998,$C136,clean!$E$2:$E$998,$D136,clean!$F$2:$F$998,$E136)</f>
        <v>4095</v>
      </c>
      <c r="G136">
        <f>AVERAGEIFS(clean!H$2:H$998,clean!$B$2:$B$998,$A136,clean!$C$2:$C$998,$B136,clean!$D$2:$D$998,$C136,clean!$E$2:$E$998,$D136,clean!$F$2:$F$998,$E136)</f>
        <v>15497.333333333334</v>
      </c>
      <c r="H136">
        <f>AVERAGEIFS(clean!I$2:I$998,clean!$B$2:$B$998,$A136,clean!$C$2:$C$998,$B136,clean!$D$2:$D$998,$C136,clean!$E$2:$E$998,$D136,clean!$F$2:$F$998,$E136)</f>
        <v>33414567933.333332</v>
      </c>
      <c r="I136">
        <f>AVERAGEIFS(clean!J$2:J$998,clean!$B$2:$B$998,$A136,clean!$C$2:$C$998,$B136,clean!$D$2:$D$998,$C136,clean!$E$2:$E$998,$D136,clean!$F$2:$F$998,$E136)</f>
        <v>127967169466.66667</v>
      </c>
      <c r="J136">
        <f>AVERAGEIFS(clean!K$2:K$998,clean!$B$2:$B$998,$A136,clean!$C$2:$C$998,$B136,clean!$D$2:$D$998,$C136,clean!$E$2:$E$998,$D136,clean!$F$2:$F$998,$E136)</f>
        <v>3.8296557971814269</v>
      </c>
      <c r="K136">
        <f>AVERAGEIFS(clean!L$2:L$998,clean!$B$2:$B$998,$A136,clean!$C$2:$C$998,$B136,clean!$D$2:$D$998,$C136,clean!$E$2:$E$998,$D136,clean!$F$2:$F$998,$E136)</f>
        <v>3223600</v>
      </c>
      <c r="L136">
        <f>AVERAGEIFS(clean!M$2:M$998,clean!$B$2:$B$998,$A136,clean!$C$2:$C$998,$B136,clean!$D$2:$D$998,$C136,clean!$E$2:$E$998,$D136,clean!$F$2:$F$998,$E136)</f>
        <v>16649216200</v>
      </c>
      <c r="M136">
        <f>AVERAGEIFS(clean!N$2:N$998,clean!$B$2:$B$998,$A136,clean!$C$2:$C$998,$B136,clean!$D$2:$D$998,$C136,clean!$E$2:$E$998,$D136,clean!$F$2:$F$998,$E136)</f>
        <v>6438524433.333333</v>
      </c>
      <c r="N136">
        <f>AVERAGEIFS(clean!O$2:O$998,clean!$B$2:$B$998,$A136,clean!$C$2:$C$998,$B136,clean!$D$2:$D$998,$C136,clean!$E$2:$E$998,$D136,clean!$F$2:$F$998,$E136)</f>
        <v>23087740633.333332</v>
      </c>
      <c r="O136">
        <f>AVERAGEIFS(clean!P$2:P$998,clean!$B$2:$B$998,$A136,clean!$C$2:$C$998,$B136,clean!$D$2:$D$998,$C136,clean!$E$2:$E$998,$D136,clean!$F$2:$F$998,$E136)</f>
        <v>156933.33333333334</v>
      </c>
      <c r="P136">
        <f>AVERAGEIFS(clean!Q$2:Q$998,clean!$B$2:$B$998,$A136,clean!$C$2:$C$998,$B136,clean!$D$2:$D$998,$C136,clean!$E$2:$E$998,$D136,clean!$F$2:$F$998,$E136)</f>
        <v>8339799100</v>
      </c>
      <c r="Q136">
        <f>AVERAGEIFS(clean!R$2:R$998,clean!$B$2:$B$998,$A136,clean!$C$2:$C$998,$B136,clean!$D$2:$D$998,$C136,clean!$E$2:$E$998,$D136,clean!$F$2:$F$998,$E136)</f>
        <v>8339956033.333333</v>
      </c>
      <c r="R136">
        <f>AVERAGEIFS(clean!S$2:S$998,clean!$B$2:$B$998,$A136,clean!$C$2:$C$998,$B136,clean!$D$2:$D$998,$C136,clean!$E$2:$E$998,$D136,clean!$F$2:$F$998,$E136)</f>
        <v>8464566.666666666</v>
      </c>
      <c r="S136">
        <f t="shared" si="4"/>
        <v>1975183100.0000002</v>
      </c>
      <c r="T136">
        <f>AVERAGEIFS(clean!T$2:T$998,clean!$B$2:$B$998,$A136,clean!$C$2:$C$998,$B136,clean!$D$2:$D$998,$C136,clean!$E$2:$E$998,$D136,clean!$F$2:$F$998,$E136)</f>
        <v>754335366.66666663</v>
      </c>
      <c r="U136">
        <f>AVERAGEIFS(clean!U$2:U$998,clean!$B$2:$B$998,$A136,clean!$C$2:$C$998,$B136,clean!$D$2:$D$998,$C136,clean!$E$2:$E$998,$D136,clean!$F$2:$F$998,$E136)</f>
        <v>34390154633.333336</v>
      </c>
      <c r="V136">
        <f>AVERAGEIFS(clean!V$2:V$998,clean!$B$2:$B$998,$A136,clean!$C$2:$C$998,$B136,clean!$D$2:$D$998,$C136,clean!$E$2:$E$998,$D136,clean!$F$2:$F$998,$E136)</f>
        <v>68001032933.333336</v>
      </c>
      <c r="W136">
        <f>AVERAGEIFS(clean!W$2:W$998,clean!$B$2:$B$998,$A136,clean!$C$2:$C$998,$B136,clean!$D$2:$D$998,$C136,clean!$E$2:$E$998,$D136,clean!$F$2:$F$998,$E136)</f>
        <v>3806766.6666666665</v>
      </c>
      <c r="X136">
        <f t="shared" si="5"/>
        <v>24817839766.666653</v>
      </c>
      <c r="Y136">
        <f>AVERAGEIFS(clean!X$2:X$998,clean!$B$2:$B$998,$A136,clean!$C$2:$C$998,$B136,clean!$D$2:$D$998,$C136,clean!$E$2:$E$998,$D136,clean!$F$2:$F$998,$E136)</f>
        <v>33414567933.333332</v>
      </c>
    </row>
    <row r="137" spans="1:25" x14ac:dyDescent="0.3">
      <c r="A137">
        <v>1048576</v>
      </c>
      <c r="B137">
        <v>6</v>
      </c>
      <c r="C137">
        <v>343</v>
      </c>
      <c r="D137">
        <v>0.65</v>
      </c>
      <c r="E137">
        <v>12</v>
      </c>
      <c r="F137">
        <f>AVERAGEIFS(clean!G$2:G$998,clean!$B$2:$B$998,$A137,clean!$C$2:$C$998,$B137,clean!$D$2:$D$998,$C137,clean!$E$2:$E$998,$D137,clean!$F$2:$F$998,$E137)</f>
        <v>8191</v>
      </c>
      <c r="G137">
        <f>AVERAGEIFS(clean!H$2:H$998,clean!$B$2:$B$998,$A137,clean!$C$2:$C$998,$B137,clean!$D$2:$D$998,$C137,clean!$E$2:$E$998,$D137,clean!$F$2:$F$998,$E137)</f>
        <v>73064</v>
      </c>
      <c r="H137">
        <f>AVERAGEIFS(clean!I$2:I$998,clean!$B$2:$B$998,$A137,clean!$C$2:$C$998,$B137,clean!$D$2:$D$998,$C137,clean!$E$2:$E$998,$D137,clean!$F$2:$F$998,$E137)</f>
        <v>36692421533.333336</v>
      </c>
      <c r="I137">
        <f>AVERAGEIFS(clean!J$2:J$998,clean!$B$2:$B$998,$A137,clean!$C$2:$C$998,$B137,clean!$D$2:$D$998,$C137,clean!$E$2:$E$998,$D137,clean!$F$2:$F$998,$E137)</f>
        <v>149930824633.33334</v>
      </c>
      <c r="J137">
        <f>AVERAGEIFS(clean!K$2:K$998,clean!$B$2:$B$998,$A137,clean!$C$2:$C$998,$B137,clean!$D$2:$D$998,$C137,clean!$E$2:$E$998,$D137,clean!$F$2:$F$998,$E137)</f>
        <v>4.0861076576944235</v>
      </c>
      <c r="K137">
        <f>AVERAGEIFS(clean!L$2:L$998,clean!$B$2:$B$998,$A137,clean!$C$2:$C$998,$B137,clean!$D$2:$D$998,$C137,clean!$E$2:$E$998,$D137,clean!$F$2:$F$998,$E137)</f>
        <v>12208766.666666666</v>
      </c>
      <c r="L137">
        <f>AVERAGEIFS(clean!M$2:M$998,clean!$B$2:$B$998,$A137,clean!$C$2:$C$998,$B137,clean!$D$2:$D$998,$C137,clean!$E$2:$E$998,$D137,clean!$F$2:$F$998,$E137)</f>
        <v>13890168266.666666</v>
      </c>
      <c r="M137">
        <f>AVERAGEIFS(clean!N$2:N$998,clean!$B$2:$B$998,$A137,clean!$C$2:$C$998,$B137,clean!$D$2:$D$998,$C137,clean!$E$2:$E$998,$D137,clean!$F$2:$F$998,$E137)</f>
        <v>11027674233.333334</v>
      </c>
      <c r="N137">
        <f>AVERAGEIFS(clean!O$2:O$998,clean!$B$2:$B$998,$A137,clean!$C$2:$C$998,$B137,clean!$D$2:$D$998,$C137,clean!$E$2:$E$998,$D137,clean!$F$2:$F$998,$E137)</f>
        <v>24917842500</v>
      </c>
      <c r="O137">
        <f>AVERAGEIFS(clean!P$2:P$998,clean!$B$2:$B$998,$A137,clean!$C$2:$C$998,$B137,clean!$D$2:$D$998,$C137,clean!$E$2:$E$998,$D137,clean!$F$2:$F$998,$E137)</f>
        <v>252200</v>
      </c>
      <c r="P137">
        <f>AVERAGEIFS(clean!Q$2:Q$998,clean!$B$2:$B$998,$A137,clean!$C$2:$C$998,$B137,clean!$D$2:$D$998,$C137,clean!$E$2:$E$998,$D137,clean!$F$2:$F$998,$E137)</f>
        <v>9767888033.333334</v>
      </c>
      <c r="Q137">
        <f>AVERAGEIFS(clean!R$2:R$998,clean!$B$2:$B$998,$A137,clean!$C$2:$C$998,$B137,clean!$D$2:$D$998,$C137,clean!$E$2:$E$998,$D137,clean!$F$2:$F$998,$E137)</f>
        <v>9768140233.333334</v>
      </c>
      <c r="R137">
        <f>AVERAGEIFS(clean!S$2:S$998,clean!$B$2:$B$998,$A137,clean!$C$2:$C$998,$B137,clean!$D$2:$D$998,$C137,clean!$E$2:$E$998,$D137,clean!$F$2:$F$998,$E137)</f>
        <v>8220300</v>
      </c>
      <c r="S137">
        <f t="shared" si="4"/>
        <v>1986009733.3333378</v>
      </c>
      <c r="T137">
        <f>AVERAGEIFS(clean!T$2:T$998,clean!$B$2:$B$998,$A137,clean!$C$2:$C$998,$B137,clean!$D$2:$D$998,$C137,clean!$E$2:$E$998,$D137,clean!$F$2:$F$998,$E137)</f>
        <v>705154966.66666663</v>
      </c>
      <c r="U137">
        <f>AVERAGEIFS(clean!U$2:U$998,clean!$B$2:$B$998,$A137,clean!$C$2:$C$998,$B137,clean!$D$2:$D$998,$C137,clean!$E$2:$E$998,$D137,clean!$F$2:$F$998,$E137)</f>
        <v>52067817566.666664</v>
      </c>
      <c r="V137">
        <f>AVERAGEIFS(clean!V$2:V$998,clean!$B$2:$B$998,$A137,clean!$C$2:$C$998,$B137,clean!$D$2:$D$998,$C137,clean!$E$2:$E$998,$D137,clean!$F$2:$F$998,$E137)</f>
        <v>75966586100</v>
      </c>
      <c r="W137">
        <f>AVERAGEIFS(clean!W$2:W$998,clean!$B$2:$B$998,$A137,clean!$C$2:$C$998,$B137,clean!$D$2:$D$998,$C137,clean!$E$2:$E$998,$D137,clean!$F$2:$F$998,$E137)</f>
        <v>3829100</v>
      </c>
      <c r="X137">
        <f t="shared" si="5"/>
        <v>21187436900.000031</v>
      </c>
      <c r="Y137">
        <f>AVERAGEIFS(clean!X$2:X$998,clean!$B$2:$B$998,$A137,clean!$C$2:$C$998,$B137,clean!$D$2:$D$998,$C137,clean!$E$2:$E$998,$D137,clean!$F$2:$F$998,$E137)</f>
        <v>36692421533.333336</v>
      </c>
    </row>
    <row r="138" spans="1:25" x14ac:dyDescent="0.3">
      <c r="A138">
        <v>1048576</v>
      </c>
      <c r="B138">
        <v>5</v>
      </c>
      <c r="C138">
        <v>216</v>
      </c>
      <c r="D138">
        <v>0.5</v>
      </c>
      <c r="E138">
        <v>13</v>
      </c>
      <c r="F138">
        <f>AVERAGEIFS(clean!G$2:G$998,clean!$B$2:$B$998,$A138,clean!$C$2:$C$998,$B138,clean!$D$2:$D$998,$C138,clean!$E$2:$E$998,$D138,clean!$F$2:$F$998,$E138)</f>
        <v>16383</v>
      </c>
      <c r="G138">
        <f>AVERAGEIFS(clean!H$2:H$998,clean!$B$2:$B$998,$A138,clean!$C$2:$C$998,$B138,clean!$D$2:$D$998,$C138,clean!$E$2:$E$998,$D138,clean!$F$2:$F$998,$E138)</f>
        <v>310499</v>
      </c>
      <c r="H138">
        <f>AVERAGEIFS(clean!I$2:I$998,clean!$B$2:$B$998,$A138,clean!$C$2:$C$998,$B138,clean!$D$2:$D$998,$C138,clean!$E$2:$E$998,$D138,clean!$F$2:$F$998,$E138)</f>
        <v>45603542750</v>
      </c>
      <c r="I138">
        <f>AVERAGEIFS(clean!J$2:J$998,clean!$B$2:$B$998,$A138,clean!$C$2:$C$998,$B138,clean!$D$2:$D$998,$C138,clean!$E$2:$E$998,$D138,clean!$F$2:$F$998,$E138)</f>
        <v>225831018650</v>
      </c>
      <c r="J138">
        <f>AVERAGEIFS(clean!K$2:K$998,clean!$B$2:$B$998,$A138,clean!$C$2:$C$998,$B138,clean!$D$2:$D$998,$C138,clean!$E$2:$E$998,$D138,clean!$F$2:$F$998,$E138)</f>
        <v>4.9521187250969376</v>
      </c>
      <c r="K138">
        <f>AVERAGEIFS(clean!L$2:L$998,clean!$B$2:$B$998,$A138,clean!$C$2:$C$998,$B138,clean!$D$2:$D$998,$C138,clean!$E$2:$E$998,$D138,clean!$F$2:$F$998,$E138)</f>
        <v>65564025</v>
      </c>
      <c r="L138">
        <f>AVERAGEIFS(clean!M$2:M$998,clean!$B$2:$B$998,$A138,clean!$C$2:$C$998,$B138,clean!$D$2:$D$998,$C138,clean!$E$2:$E$998,$D138,clean!$F$2:$F$998,$E138)</f>
        <v>5800124450</v>
      </c>
      <c r="M138">
        <f>AVERAGEIFS(clean!N$2:N$998,clean!$B$2:$B$998,$A138,clean!$C$2:$C$998,$B138,clean!$D$2:$D$998,$C138,clean!$E$2:$E$998,$D138,clean!$F$2:$F$998,$E138)</f>
        <v>27644025700</v>
      </c>
      <c r="N138">
        <f>AVERAGEIFS(clean!O$2:O$998,clean!$B$2:$B$998,$A138,clean!$C$2:$C$998,$B138,clean!$D$2:$D$998,$C138,clean!$E$2:$E$998,$D138,clean!$F$2:$F$998,$E138)</f>
        <v>33444150150</v>
      </c>
      <c r="O138">
        <f>AVERAGEIFS(clean!P$2:P$998,clean!$B$2:$B$998,$A138,clean!$C$2:$C$998,$B138,clean!$D$2:$D$998,$C138,clean!$E$2:$E$998,$D138,clean!$F$2:$F$998,$E138)</f>
        <v>894150</v>
      </c>
      <c r="P138">
        <f>AVERAGEIFS(clean!Q$2:Q$998,clean!$B$2:$B$998,$A138,clean!$C$2:$C$998,$B138,clean!$D$2:$D$998,$C138,clean!$E$2:$E$998,$D138,clean!$F$2:$F$998,$E138)</f>
        <v>10440522850</v>
      </c>
      <c r="Q138">
        <f>AVERAGEIFS(clean!R$2:R$998,clean!$B$2:$B$998,$A138,clean!$C$2:$C$998,$B138,clean!$D$2:$D$998,$C138,clean!$E$2:$E$998,$D138,clean!$F$2:$F$998,$E138)</f>
        <v>10441417000</v>
      </c>
      <c r="R138">
        <f>AVERAGEIFS(clean!S$2:S$998,clean!$B$2:$B$998,$A138,clean!$C$2:$C$998,$B138,clean!$D$2:$D$998,$C138,clean!$E$2:$E$998,$D138,clean!$F$2:$F$998,$E138)</f>
        <v>8165900</v>
      </c>
      <c r="S138">
        <f t="shared" si="4"/>
        <v>1644245675</v>
      </c>
      <c r="T138">
        <f>AVERAGEIFS(clean!T$2:T$998,clean!$B$2:$B$998,$A138,clean!$C$2:$C$998,$B138,clean!$D$2:$D$998,$C138,clean!$E$2:$E$998,$D138,clean!$F$2:$F$998,$E138)</f>
        <v>842475350</v>
      </c>
      <c r="U138">
        <f>AVERAGEIFS(clean!U$2:U$998,clean!$B$2:$B$998,$A138,clean!$C$2:$C$998,$B138,clean!$D$2:$D$998,$C138,clean!$E$2:$E$998,$D138,clean!$F$2:$F$998,$E138)</f>
        <v>131471360125</v>
      </c>
      <c r="V138">
        <f>AVERAGEIFS(clean!V$2:V$998,clean!$B$2:$B$998,$A138,clean!$C$2:$C$998,$B138,clean!$D$2:$D$998,$C138,clean!$E$2:$E$998,$D138,clean!$F$2:$F$998,$E138)</f>
        <v>76629582525</v>
      </c>
      <c r="W138">
        <f>AVERAGEIFS(clean!W$2:W$998,clean!$B$2:$B$998,$A138,clean!$C$2:$C$998,$B138,clean!$D$2:$D$998,$C138,clean!$E$2:$E$998,$D138,clean!$F$2:$F$998,$E138)</f>
        <v>3829450</v>
      </c>
      <c r="X138">
        <f t="shared" si="5"/>
        <v>16883771200</v>
      </c>
      <c r="Y138">
        <f>AVERAGEIFS(clean!X$2:X$998,clean!$B$2:$B$998,$A138,clean!$C$2:$C$998,$B138,clean!$D$2:$D$998,$C138,clean!$E$2:$E$998,$D138,clean!$F$2:$F$998,$E138)</f>
        <v>45603542750</v>
      </c>
    </row>
    <row r="139" spans="1:25" x14ac:dyDescent="0.3">
      <c r="A139">
        <v>1048576</v>
      </c>
      <c r="B139">
        <v>3</v>
      </c>
      <c r="C139">
        <v>64</v>
      </c>
      <c r="D139">
        <v>0.35</v>
      </c>
      <c r="E139">
        <v>14</v>
      </c>
      <c r="F139">
        <f>AVERAGEIFS(clean!G$2:G$998,clean!$B$2:$B$998,$A139,clean!$C$2:$C$998,$B139,clean!$D$2:$D$998,$C139,clean!$E$2:$E$998,$D139,clean!$F$2:$F$998,$E139)</f>
        <v>32767</v>
      </c>
      <c r="G139">
        <f>AVERAGEIFS(clean!H$2:H$998,clean!$B$2:$B$998,$A139,clean!$C$2:$C$998,$B139,clean!$D$2:$D$998,$C139,clean!$E$2:$E$998,$D139,clean!$F$2:$F$998,$E139)</f>
        <v>1926150.6666666667</v>
      </c>
      <c r="H139">
        <f>AVERAGEIFS(clean!I$2:I$998,clean!$B$2:$B$998,$A139,clean!$C$2:$C$998,$B139,clean!$D$2:$D$998,$C139,clean!$E$2:$E$998,$D139,clean!$F$2:$F$998,$E139)</f>
        <v>29789413000</v>
      </c>
      <c r="I139">
        <f>AVERAGEIFS(clean!J$2:J$998,clean!$B$2:$B$998,$A139,clean!$C$2:$C$998,$B139,clean!$D$2:$D$998,$C139,clean!$E$2:$E$998,$D139,clean!$F$2:$F$998,$E139)</f>
        <v>181945153866.66666</v>
      </c>
      <c r="J139">
        <f>AVERAGEIFS(clean!K$2:K$998,clean!$B$2:$B$998,$A139,clean!$C$2:$C$998,$B139,clean!$D$2:$D$998,$C139,clean!$E$2:$E$998,$D139,clean!$F$2:$F$998,$E139)</f>
        <v>6.1077222099495536</v>
      </c>
      <c r="K139">
        <f>AVERAGEIFS(clean!L$2:L$998,clean!$B$2:$B$998,$A139,clean!$C$2:$C$998,$B139,clean!$D$2:$D$998,$C139,clean!$E$2:$E$998,$D139,clean!$F$2:$F$998,$E139)</f>
        <v>392018200</v>
      </c>
      <c r="L139">
        <f>AVERAGEIFS(clean!M$2:M$998,clean!$B$2:$B$998,$A139,clean!$C$2:$C$998,$B139,clean!$D$2:$D$998,$C139,clean!$E$2:$E$998,$D139,clean!$F$2:$F$998,$E139)</f>
        <v>678992100</v>
      </c>
      <c r="M139">
        <f>AVERAGEIFS(clean!N$2:N$998,clean!$B$2:$B$998,$A139,clean!$C$2:$C$998,$B139,clean!$D$2:$D$998,$C139,clean!$E$2:$E$998,$D139,clean!$F$2:$F$998,$E139)</f>
        <v>11636015033.333334</v>
      </c>
      <c r="N139">
        <f>AVERAGEIFS(clean!O$2:O$998,clean!$B$2:$B$998,$A139,clean!$C$2:$C$998,$B139,clean!$D$2:$D$998,$C139,clean!$E$2:$E$998,$D139,clean!$F$2:$F$998,$E139)</f>
        <v>12315007133.333334</v>
      </c>
      <c r="O139">
        <f>AVERAGEIFS(clean!P$2:P$998,clean!$B$2:$B$998,$A139,clean!$C$2:$C$998,$B139,clean!$D$2:$D$998,$C139,clean!$E$2:$E$998,$D139,clean!$F$2:$F$998,$E139)</f>
        <v>4897500</v>
      </c>
      <c r="P139">
        <f>AVERAGEIFS(clean!Q$2:Q$998,clean!$B$2:$B$998,$A139,clean!$C$2:$C$998,$B139,clean!$D$2:$D$998,$C139,clean!$E$2:$E$998,$D139,clean!$F$2:$F$998,$E139)</f>
        <v>16092282066.666666</v>
      </c>
      <c r="Q139">
        <f>AVERAGEIFS(clean!R$2:R$998,clean!$B$2:$B$998,$A139,clean!$C$2:$C$998,$B139,clean!$D$2:$D$998,$C139,clean!$E$2:$E$998,$D139,clean!$F$2:$F$998,$E139)</f>
        <v>16097179566.666666</v>
      </c>
      <c r="R139">
        <f>AVERAGEIFS(clean!S$2:S$998,clean!$B$2:$B$998,$A139,clean!$C$2:$C$998,$B139,clean!$D$2:$D$998,$C139,clean!$E$2:$E$998,$D139,clean!$F$2:$F$998,$E139)</f>
        <v>8096966.666666667</v>
      </c>
      <c r="S139">
        <f t="shared" si="4"/>
        <v>977111133.33333337</v>
      </c>
      <c r="T139">
        <f>AVERAGEIFS(clean!T$2:T$998,clean!$B$2:$B$998,$A139,clean!$C$2:$C$998,$B139,clean!$D$2:$D$998,$C139,clean!$E$2:$E$998,$D139,clean!$F$2:$F$998,$E139)</f>
        <v>812791633.33333337</v>
      </c>
      <c r="U139">
        <f>AVERAGEIFS(clean!U$2:U$998,clean!$B$2:$B$998,$A139,clean!$C$2:$C$998,$B139,clean!$D$2:$D$998,$C139,clean!$E$2:$E$998,$D139,clean!$F$2:$F$998,$E139)</f>
        <v>59853449300</v>
      </c>
      <c r="V139">
        <f>AVERAGEIFS(clean!V$2:V$998,clean!$B$2:$B$998,$A139,clean!$C$2:$C$998,$B139,clean!$D$2:$D$998,$C139,clean!$E$2:$E$998,$D139,clean!$F$2:$F$998,$E139)</f>
        <v>115588396233.33333</v>
      </c>
      <c r="W139">
        <f>AVERAGEIFS(clean!W$2:W$998,clean!$B$2:$B$998,$A139,clean!$C$2:$C$998,$B139,clean!$D$2:$D$998,$C139,clean!$E$2:$E$998,$D139,clean!$F$2:$F$998,$E139)</f>
        <v>3860966.6666666665</v>
      </c>
      <c r="X139">
        <f t="shared" si="5"/>
        <v>5686655733.3333178</v>
      </c>
      <c r="Y139">
        <f>AVERAGEIFS(clean!X$2:X$998,clean!$B$2:$B$998,$A139,clean!$C$2:$C$998,$B139,clean!$D$2:$D$998,$C139,clean!$E$2:$E$998,$D139,clean!$F$2:$F$998,$E139)</f>
        <v>29789413000</v>
      </c>
    </row>
    <row r="140" spans="1:25" x14ac:dyDescent="0.3">
      <c r="A140">
        <v>1048576</v>
      </c>
      <c r="B140">
        <v>4</v>
      </c>
      <c r="C140">
        <v>125</v>
      </c>
      <c r="D140">
        <v>0.35</v>
      </c>
      <c r="E140">
        <v>14</v>
      </c>
      <c r="F140">
        <f>AVERAGEIFS(clean!G$2:G$998,clean!$B$2:$B$998,$A140,clean!$C$2:$C$998,$B140,clean!$D$2:$D$998,$C140,clean!$E$2:$E$998,$D140,clean!$F$2:$F$998,$E140)</f>
        <v>32767</v>
      </c>
      <c r="G140">
        <f>AVERAGEIFS(clean!H$2:H$998,clean!$B$2:$B$998,$A140,clean!$C$2:$C$998,$B140,clean!$D$2:$D$998,$C140,clean!$E$2:$E$998,$D140,clean!$F$2:$F$998,$E140)</f>
        <v>1928665.3333333333</v>
      </c>
      <c r="H140">
        <f>AVERAGEIFS(clean!I$2:I$998,clean!$B$2:$B$998,$A140,clean!$C$2:$C$998,$B140,clean!$D$2:$D$998,$C140,clean!$E$2:$E$998,$D140,clean!$F$2:$F$998,$E140)</f>
        <v>59459055100</v>
      </c>
      <c r="I140">
        <f>AVERAGEIFS(clean!J$2:J$998,clean!$B$2:$B$998,$A140,clean!$C$2:$C$998,$B140,clean!$D$2:$D$998,$C140,clean!$E$2:$E$998,$D140,clean!$F$2:$F$998,$E140)</f>
        <v>350954259200</v>
      </c>
      <c r="J140">
        <f>AVERAGEIFS(clean!K$2:K$998,clean!$B$2:$B$998,$A140,clean!$C$2:$C$998,$B140,clean!$D$2:$D$998,$C140,clean!$E$2:$E$998,$D140,clean!$F$2:$F$998,$E140)</f>
        <v>5.9024614585469406</v>
      </c>
      <c r="K140">
        <f>AVERAGEIFS(clean!L$2:L$998,clean!$B$2:$B$998,$A140,clean!$C$2:$C$998,$B140,clean!$D$2:$D$998,$C140,clean!$E$2:$E$998,$D140,clean!$F$2:$F$998,$E140)</f>
        <v>384132800</v>
      </c>
      <c r="L140">
        <f>AVERAGEIFS(clean!M$2:M$998,clean!$B$2:$B$998,$A140,clean!$C$2:$C$998,$B140,clean!$D$2:$D$998,$C140,clean!$E$2:$E$998,$D140,clean!$F$2:$F$998,$E140)</f>
        <v>2590027933.3333335</v>
      </c>
      <c r="M140">
        <f>AVERAGEIFS(clean!N$2:N$998,clean!$B$2:$B$998,$A140,clean!$C$2:$C$998,$B140,clean!$D$2:$D$998,$C140,clean!$E$2:$E$998,$D140,clean!$F$2:$F$998,$E140)</f>
        <v>38442308300</v>
      </c>
      <c r="N140">
        <f>AVERAGEIFS(clean!O$2:O$998,clean!$B$2:$B$998,$A140,clean!$C$2:$C$998,$B140,clean!$D$2:$D$998,$C140,clean!$E$2:$E$998,$D140,clean!$F$2:$F$998,$E140)</f>
        <v>41032336233.333336</v>
      </c>
      <c r="O140">
        <f>AVERAGEIFS(clean!P$2:P$998,clean!$B$2:$B$998,$A140,clean!$C$2:$C$998,$B140,clean!$D$2:$D$998,$C140,clean!$E$2:$E$998,$D140,clean!$F$2:$F$998,$E140)</f>
        <v>5193266.666666667</v>
      </c>
      <c r="P140">
        <f>AVERAGEIFS(clean!Q$2:Q$998,clean!$B$2:$B$998,$A140,clean!$C$2:$C$998,$B140,clean!$D$2:$D$998,$C140,clean!$E$2:$E$998,$D140,clean!$F$2:$F$998,$E140)</f>
        <v>16686779766.666666</v>
      </c>
      <c r="Q140">
        <f>AVERAGEIFS(clean!R$2:R$998,clean!$B$2:$B$998,$A140,clean!$C$2:$C$998,$B140,clean!$D$2:$D$998,$C140,clean!$E$2:$E$998,$D140,clean!$F$2:$F$998,$E140)</f>
        <v>16691973033.333334</v>
      </c>
      <c r="R140">
        <f>AVERAGEIFS(clean!S$2:S$998,clean!$B$2:$B$998,$A140,clean!$C$2:$C$998,$B140,clean!$D$2:$D$998,$C140,clean!$E$2:$E$998,$D140,clean!$F$2:$F$998,$E140)</f>
        <v>8036466.666666667</v>
      </c>
      <c r="S140">
        <f t="shared" si="4"/>
        <v>1342576566.6666634</v>
      </c>
      <c r="T140">
        <f>AVERAGEIFS(clean!T$2:T$998,clean!$B$2:$B$998,$A140,clean!$C$2:$C$998,$B140,clean!$D$2:$D$998,$C140,clean!$E$2:$E$998,$D140,clean!$F$2:$F$998,$E140)</f>
        <v>886280966.66666663</v>
      </c>
      <c r="U140">
        <f>AVERAGEIFS(clean!U$2:U$998,clean!$B$2:$B$998,$A140,clean!$C$2:$C$998,$B140,clean!$D$2:$D$998,$C140,clean!$E$2:$E$998,$D140,clean!$F$2:$F$998,$E140)</f>
        <v>221886420933.33334</v>
      </c>
      <c r="V140">
        <f>AVERAGEIFS(clean!V$2:V$998,clean!$B$2:$B$998,$A140,clean!$C$2:$C$998,$B140,clean!$D$2:$D$998,$C140,clean!$E$2:$E$998,$D140,clean!$F$2:$F$998,$E140)</f>
        <v>115467404666.66667</v>
      </c>
      <c r="W140">
        <f>AVERAGEIFS(clean!W$2:W$998,clean!$B$2:$B$998,$A140,clean!$C$2:$C$998,$B140,clean!$D$2:$D$998,$C140,clean!$E$2:$E$998,$D140,clean!$F$2:$F$998,$E140)</f>
        <v>3782600</v>
      </c>
      <c r="X140">
        <f t="shared" si="5"/>
        <v>12710370033.333298</v>
      </c>
      <c r="Y140">
        <f>AVERAGEIFS(clean!X$2:X$998,clean!$B$2:$B$998,$A140,clean!$C$2:$C$998,$B140,clean!$D$2:$D$998,$C140,clean!$E$2:$E$998,$D140,clean!$F$2:$F$998,$E140)</f>
        <v>59459055100</v>
      </c>
    </row>
    <row r="141" spans="1:25" x14ac:dyDescent="0.3">
      <c r="A141">
        <v>1048576</v>
      </c>
      <c r="B141">
        <v>7</v>
      </c>
      <c r="C141">
        <v>512</v>
      </c>
      <c r="D141">
        <v>0.65</v>
      </c>
      <c r="E141">
        <v>11</v>
      </c>
      <c r="F141">
        <f>AVERAGEIFS(clean!G$2:G$998,clean!$B$2:$B$998,$A141,clean!$C$2:$C$998,$B141,clean!$D$2:$D$998,$C141,clean!$E$2:$E$998,$D141,clean!$F$2:$F$998,$E141)</f>
        <v>4095</v>
      </c>
      <c r="G141">
        <f>AVERAGEIFS(clean!H$2:H$998,clean!$B$2:$B$998,$A141,clean!$C$2:$C$998,$B141,clean!$D$2:$D$998,$C141,clean!$E$2:$E$998,$D141,clean!$F$2:$F$998,$E141)</f>
        <v>31465.333333333332</v>
      </c>
      <c r="H141">
        <f>AVERAGEIFS(clean!I$2:I$998,clean!$B$2:$B$998,$A141,clean!$C$2:$C$998,$B141,clean!$D$2:$D$998,$C141,clean!$E$2:$E$998,$D141,clean!$F$2:$F$998,$E141)</f>
        <v>45931624933.333336</v>
      </c>
      <c r="I141">
        <f>AVERAGEIFS(clean!J$2:J$998,clean!$B$2:$B$998,$A141,clean!$C$2:$C$998,$B141,clean!$D$2:$D$998,$C141,clean!$E$2:$E$998,$D141,clean!$F$2:$F$998,$E141)</f>
        <v>220006440266.66666</v>
      </c>
      <c r="J141">
        <f>AVERAGEIFS(clean!K$2:K$998,clean!$B$2:$B$998,$A141,clean!$C$2:$C$998,$B141,clean!$D$2:$D$998,$C141,clean!$E$2:$E$998,$D141,clean!$F$2:$F$998,$E141)</f>
        <v>4.7898935595821905</v>
      </c>
      <c r="K141">
        <f>AVERAGEIFS(clean!L$2:L$998,clean!$B$2:$B$998,$A141,clean!$C$2:$C$998,$B141,clean!$D$2:$D$998,$C141,clean!$E$2:$E$998,$D141,clean!$F$2:$F$998,$E141)</f>
        <v>5806466.666666667</v>
      </c>
      <c r="L141">
        <f>AVERAGEIFS(clean!M$2:M$998,clean!$B$2:$B$998,$A141,clean!$C$2:$C$998,$B141,clean!$D$2:$D$998,$C141,clean!$E$2:$E$998,$D141,clean!$F$2:$F$998,$E141)</f>
        <v>16574051666.666666</v>
      </c>
      <c r="M141">
        <f>AVERAGEIFS(clean!N$2:N$998,clean!$B$2:$B$998,$A141,clean!$C$2:$C$998,$B141,clean!$D$2:$D$998,$C141,clean!$E$2:$E$998,$D141,clean!$F$2:$F$998,$E141)</f>
        <v>10466287266.666666</v>
      </c>
      <c r="N141">
        <f>AVERAGEIFS(clean!O$2:O$998,clean!$B$2:$B$998,$A141,clean!$C$2:$C$998,$B141,clean!$D$2:$D$998,$C141,clean!$E$2:$E$998,$D141,clean!$F$2:$F$998,$E141)</f>
        <v>27040338933.333332</v>
      </c>
      <c r="O141">
        <f>AVERAGEIFS(clean!P$2:P$998,clean!$B$2:$B$998,$A141,clean!$C$2:$C$998,$B141,clean!$D$2:$D$998,$C141,clean!$E$2:$E$998,$D141,clean!$F$2:$F$998,$E141)</f>
        <v>193866.66666666666</v>
      </c>
      <c r="P141">
        <f>AVERAGEIFS(clean!Q$2:Q$998,clean!$B$2:$B$998,$A141,clean!$C$2:$C$998,$B141,clean!$D$2:$D$998,$C141,clean!$E$2:$E$998,$D141,clean!$F$2:$F$998,$E141)</f>
        <v>16889672833.333334</v>
      </c>
      <c r="Q141">
        <f>AVERAGEIFS(clean!R$2:R$998,clean!$B$2:$B$998,$A141,clean!$C$2:$C$998,$B141,clean!$D$2:$D$998,$C141,clean!$E$2:$E$998,$D141,clean!$F$2:$F$998,$E141)</f>
        <v>16889866700</v>
      </c>
      <c r="R141">
        <f>AVERAGEIFS(clean!S$2:S$998,clean!$B$2:$B$998,$A141,clean!$C$2:$C$998,$B141,clean!$D$2:$D$998,$C141,clean!$E$2:$E$998,$D141,clean!$F$2:$F$998,$E141)</f>
        <v>8516066.666666666</v>
      </c>
      <c r="S141">
        <f t="shared" si="4"/>
        <v>1987096766.6666729</v>
      </c>
      <c r="T141">
        <f>AVERAGEIFS(clean!T$2:T$998,clean!$B$2:$B$998,$A141,clean!$C$2:$C$998,$B141,clean!$D$2:$D$998,$C141,clean!$E$2:$E$998,$D141,clean!$F$2:$F$998,$E141)</f>
        <v>778683933.33333337</v>
      </c>
      <c r="U141">
        <f>AVERAGEIFS(clean!U$2:U$998,clean!$B$2:$B$998,$A141,clean!$C$2:$C$998,$B141,clean!$D$2:$D$998,$C141,clean!$E$2:$E$998,$D141,clean!$F$2:$F$998,$E141)</f>
        <v>56120095733.333336</v>
      </c>
      <c r="V141">
        <f>AVERAGEIFS(clean!V$2:V$998,clean!$B$2:$B$998,$A141,clean!$C$2:$C$998,$B141,clean!$D$2:$D$998,$C141,clean!$E$2:$E$998,$D141,clean!$F$2:$F$998,$E141)</f>
        <v>138152958133.33334</v>
      </c>
      <c r="W141">
        <f>AVERAGEIFS(clean!W$2:W$998,clean!$B$2:$B$998,$A141,clean!$C$2:$C$998,$B141,clean!$D$2:$D$998,$C141,clean!$E$2:$E$998,$D141,clean!$F$2:$F$998,$E141)</f>
        <v>4387933.333333333</v>
      </c>
      <c r="X141">
        <f t="shared" si="5"/>
        <v>24950314533.333294</v>
      </c>
      <c r="Y141">
        <f>AVERAGEIFS(clean!X$2:X$998,clean!$B$2:$B$998,$A141,clean!$C$2:$C$998,$B141,clean!$D$2:$D$998,$C141,clean!$E$2:$E$998,$D141,clean!$F$2:$F$998,$E141)</f>
        <v>45931624933.333336</v>
      </c>
    </row>
    <row r="142" spans="1:25" x14ac:dyDescent="0.3">
      <c r="A142">
        <v>1048576</v>
      </c>
      <c r="B142">
        <v>6</v>
      </c>
      <c r="C142">
        <v>343</v>
      </c>
      <c r="D142">
        <v>0.5</v>
      </c>
      <c r="E142">
        <v>12</v>
      </c>
      <c r="F142">
        <f>AVERAGEIFS(clean!G$2:G$998,clean!$B$2:$B$998,$A142,clean!$C$2:$C$998,$B142,clean!$D$2:$D$998,$C142,clean!$E$2:$E$998,$D142,clean!$F$2:$F$998,$E142)</f>
        <v>8191</v>
      </c>
      <c r="G142">
        <f>AVERAGEIFS(clean!H$2:H$998,clean!$B$2:$B$998,$A142,clean!$C$2:$C$998,$B142,clean!$D$2:$D$998,$C142,clean!$E$2:$E$998,$D142,clean!$F$2:$F$998,$E142)</f>
        <v>181263</v>
      </c>
      <c r="H142">
        <f>AVERAGEIFS(clean!I$2:I$998,clean!$B$2:$B$998,$A142,clean!$C$2:$C$998,$B142,clean!$D$2:$D$998,$C142,clean!$E$2:$E$998,$D142,clean!$F$2:$F$998,$E142)</f>
        <v>70726606325</v>
      </c>
      <c r="I142">
        <f>AVERAGEIFS(clean!J$2:J$998,clean!$B$2:$B$998,$A142,clean!$C$2:$C$998,$B142,clean!$D$2:$D$998,$C142,clean!$E$2:$E$998,$D142,clean!$F$2:$F$998,$E142)</f>
        <v>354820503500</v>
      </c>
      <c r="J142">
        <f>AVERAGEIFS(clean!K$2:K$998,clean!$B$2:$B$998,$A142,clean!$C$2:$C$998,$B142,clean!$D$2:$D$998,$C142,clean!$E$2:$E$998,$D142,clean!$F$2:$F$998,$E142)</f>
        <v>5.0167781681650219</v>
      </c>
      <c r="K142">
        <f>AVERAGEIFS(clean!L$2:L$998,clean!$B$2:$B$998,$A142,clean!$C$2:$C$998,$B142,clean!$D$2:$D$998,$C142,clean!$E$2:$E$998,$D142,clean!$F$2:$F$998,$E142)</f>
        <v>44100575</v>
      </c>
      <c r="L142">
        <f>AVERAGEIFS(clean!M$2:M$998,clean!$B$2:$B$998,$A142,clean!$C$2:$C$998,$B142,clean!$D$2:$D$998,$C142,clean!$E$2:$E$998,$D142,clean!$F$2:$F$998,$E142)</f>
        <v>13856924350</v>
      </c>
      <c r="M142">
        <f>AVERAGEIFS(clean!N$2:N$998,clean!$B$2:$B$998,$A142,clean!$C$2:$C$998,$B142,clean!$D$2:$D$998,$C142,clean!$E$2:$E$998,$D142,clean!$F$2:$F$998,$E142)</f>
        <v>30527849550</v>
      </c>
      <c r="N142">
        <f>AVERAGEIFS(clean!O$2:O$998,clean!$B$2:$B$998,$A142,clean!$C$2:$C$998,$B142,clean!$D$2:$D$998,$C142,clean!$E$2:$E$998,$D142,clean!$F$2:$F$998,$E142)</f>
        <v>44384773900</v>
      </c>
      <c r="O142">
        <f>AVERAGEIFS(clean!P$2:P$998,clean!$B$2:$B$998,$A142,clean!$C$2:$C$998,$B142,clean!$D$2:$D$998,$C142,clean!$E$2:$E$998,$D142,clean!$F$2:$F$998,$E142)</f>
        <v>596625</v>
      </c>
      <c r="P142">
        <f>AVERAGEIFS(clean!Q$2:Q$998,clean!$B$2:$B$998,$A142,clean!$C$2:$C$998,$B142,clean!$D$2:$D$998,$C142,clean!$E$2:$E$998,$D142,clean!$F$2:$F$998,$E142)</f>
        <v>24287483325</v>
      </c>
      <c r="Q142">
        <f>AVERAGEIFS(clean!R$2:R$998,clean!$B$2:$B$998,$A142,clean!$C$2:$C$998,$B142,clean!$D$2:$D$998,$C142,clean!$E$2:$E$998,$D142,clean!$F$2:$F$998,$E142)</f>
        <v>24288079950</v>
      </c>
      <c r="R142">
        <f>AVERAGEIFS(clean!S$2:S$998,clean!$B$2:$B$998,$A142,clean!$C$2:$C$998,$B142,clean!$D$2:$D$998,$C142,clean!$E$2:$E$998,$D142,clean!$F$2:$F$998,$E142)</f>
        <v>11926875</v>
      </c>
      <c r="S142">
        <f t="shared" si="4"/>
        <v>1997725025</v>
      </c>
      <c r="T142">
        <f>AVERAGEIFS(clean!T$2:T$998,clean!$B$2:$B$998,$A142,clean!$C$2:$C$998,$B142,clean!$D$2:$D$998,$C142,clean!$E$2:$E$998,$D142,clean!$F$2:$F$998,$E142)</f>
        <v>717294700</v>
      </c>
      <c r="U142">
        <f>AVERAGEIFS(clean!U$2:U$998,clean!$B$2:$B$998,$A142,clean!$C$2:$C$998,$B142,clean!$D$2:$D$998,$C142,clean!$E$2:$E$998,$D142,clean!$F$2:$F$998,$E142)</f>
        <v>144082119000</v>
      </c>
      <c r="V142">
        <f>AVERAGEIFS(clean!V$2:V$998,clean!$B$2:$B$998,$A142,clean!$C$2:$C$998,$B142,clean!$D$2:$D$998,$C142,clean!$E$2:$E$998,$D142,clean!$F$2:$F$998,$E142)</f>
        <v>188944752875</v>
      </c>
      <c r="W142">
        <f>AVERAGEIFS(clean!W$2:W$998,clean!$B$2:$B$998,$A142,clean!$C$2:$C$998,$B142,clean!$D$2:$D$998,$C142,clean!$E$2:$E$998,$D142,clean!$F$2:$F$998,$E142)</f>
        <v>3842750</v>
      </c>
      <c r="X142">
        <f t="shared" si="5"/>
        <v>21072494175</v>
      </c>
      <c r="Y142">
        <f>AVERAGEIFS(clean!X$2:X$998,clean!$B$2:$B$998,$A142,clean!$C$2:$C$998,$B142,clean!$D$2:$D$998,$C142,clean!$E$2:$E$998,$D142,clean!$F$2:$F$998,$E142)</f>
        <v>70726606325</v>
      </c>
    </row>
    <row r="143" spans="1:25" x14ac:dyDescent="0.3">
      <c r="A143">
        <v>1048576</v>
      </c>
      <c r="B143">
        <v>5</v>
      </c>
      <c r="C143">
        <v>216</v>
      </c>
      <c r="D143">
        <v>0.35</v>
      </c>
      <c r="E143">
        <v>13</v>
      </c>
      <c r="F143">
        <f>AVERAGEIFS(clean!G$2:G$998,clean!$B$2:$B$998,$A143,clean!$C$2:$C$998,$B143,clean!$D$2:$D$998,$C143,clean!$E$2:$E$998,$D143,clean!$F$2:$F$998,$E143)</f>
        <v>16383</v>
      </c>
      <c r="G143">
        <f>AVERAGEIFS(clean!H$2:H$998,clean!$B$2:$B$998,$A143,clean!$C$2:$C$998,$B143,clean!$D$2:$D$998,$C143,clean!$E$2:$E$998,$D143,clean!$F$2:$F$998,$E143)</f>
        <v>864037.33333333337</v>
      </c>
      <c r="H143">
        <f>AVERAGEIFS(clean!I$2:I$998,clean!$B$2:$B$998,$A143,clean!$C$2:$C$998,$B143,clean!$D$2:$D$998,$C143,clean!$E$2:$E$998,$D143,clean!$F$2:$F$998,$E143)</f>
        <v>110172573266.66667</v>
      </c>
      <c r="I143">
        <f>AVERAGEIFS(clean!J$2:J$998,clean!$B$2:$B$998,$A143,clean!$C$2:$C$998,$B143,clean!$D$2:$D$998,$C143,clean!$E$2:$E$998,$D143,clean!$F$2:$F$998,$E143)</f>
        <v>580662635700</v>
      </c>
      <c r="J143">
        <f>AVERAGEIFS(clean!K$2:K$998,clean!$B$2:$B$998,$A143,clean!$C$2:$C$998,$B143,clean!$D$2:$D$998,$C143,clean!$E$2:$E$998,$D143,clean!$F$2:$F$998,$E143)</f>
        <v>5.2704878049794637</v>
      </c>
      <c r="K143">
        <f>AVERAGEIFS(clean!L$2:L$998,clean!$B$2:$B$998,$A143,clean!$C$2:$C$998,$B143,clean!$D$2:$D$998,$C143,clean!$E$2:$E$998,$D143,clean!$F$2:$F$998,$E143)</f>
        <v>179398066.66666666</v>
      </c>
      <c r="L143">
        <f>AVERAGEIFS(clean!M$2:M$998,clean!$B$2:$B$998,$A143,clean!$C$2:$C$998,$B143,clean!$D$2:$D$998,$C143,clean!$E$2:$E$998,$D143,clean!$F$2:$F$998,$E143)</f>
        <v>5678315966.666667</v>
      </c>
      <c r="M143">
        <f>AVERAGEIFS(clean!N$2:N$998,clean!$B$2:$B$998,$A143,clean!$C$2:$C$998,$B143,clean!$D$2:$D$998,$C143,clean!$E$2:$E$998,$D143,clean!$F$2:$F$998,$E143)</f>
        <v>73683119400</v>
      </c>
      <c r="N143">
        <f>AVERAGEIFS(clean!O$2:O$998,clean!$B$2:$B$998,$A143,clean!$C$2:$C$998,$B143,clean!$D$2:$D$998,$C143,clean!$E$2:$E$998,$D143,clean!$F$2:$F$998,$E143)</f>
        <v>79361435366.666672</v>
      </c>
      <c r="O143">
        <f>AVERAGEIFS(clean!P$2:P$998,clean!$B$2:$B$998,$A143,clean!$C$2:$C$998,$B143,clean!$D$2:$D$998,$C143,clean!$E$2:$E$998,$D143,clean!$F$2:$F$998,$E143)</f>
        <v>2386533.3333333335</v>
      </c>
      <c r="P143">
        <f>AVERAGEIFS(clean!Q$2:Q$998,clean!$B$2:$B$998,$A143,clean!$C$2:$C$998,$B143,clean!$D$2:$D$998,$C143,clean!$E$2:$E$998,$D143,clean!$F$2:$F$998,$E143)</f>
        <v>28972809266.666668</v>
      </c>
      <c r="Q143">
        <f>AVERAGEIFS(clean!R$2:R$998,clean!$B$2:$B$998,$A143,clean!$C$2:$C$998,$B143,clean!$D$2:$D$998,$C143,clean!$E$2:$E$998,$D143,clean!$F$2:$F$998,$E143)</f>
        <v>28975195800</v>
      </c>
      <c r="R143">
        <f>AVERAGEIFS(clean!S$2:S$998,clean!$B$2:$B$998,$A143,clean!$C$2:$C$998,$B143,clean!$D$2:$D$998,$C143,clean!$E$2:$E$998,$D143,clean!$F$2:$F$998,$E143)</f>
        <v>17719233.333333332</v>
      </c>
      <c r="S143">
        <f t="shared" si="4"/>
        <v>1638824799.999995</v>
      </c>
      <c r="T143">
        <f>AVERAGEIFS(clean!T$2:T$998,clean!$B$2:$B$998,$A143,clean!$C$2:$C$998,$B143,clean!$D$2:$D$998,$C143,clean!$E$2:$E$998,$D143,clean!$F$2:$F$998,$E143)</f>
        <v>830448066.66666663</v>
      </c>
      <c r="U143">
        <f>AVERAGEIFS(clean!U$2:U$998,clean!$B$2:$B$998,$A143,clean!$C$2:$C$998,$B143,clean!$D$2:$D$998,$C143,clean!$E$2:$E$998,$D143,clean!$F$2:$F$998,$E143)</f>
        <v>349673386800</v>
      </c>
      <c r="V143">
        <f>AVERAGEIFS(clean!V$2:V$998,clean!$B$2:$B$998,$A143,clean!$C$2:$C$998,$B143,clean!$D$2:$D$998,$C143,clean!$E$2:$E$998,$D143,clean!$F$2:$F$998,$E143)</f>
        <v>213298248500</v>
      </c>
      <c r="W143">
        <f>AVERAGEIFS(clean!W$2:W$998,clean!$B$2:$B$998,$A143,clean!$C$2:$C$998,$B143,clean!$D$2:$D$998,$C143,clean!$E$2:$E$998,$D143,clean!$F$2:$F$998,$E143)</f>
        <v>3969366.6666666665</v>
      </c>
      <c r="X143">
        <f t="shared" si="5"/>
        <v>16856582966.666708</v>
      </c>
      <c r="Y143">
        <f>AVERAGEIFS(clean!X$2:X$998,clean!$B$2:$B$998,$A143,clean!$C$2:$C$998,$B143,clean!$D$2:$D$998,$C143,clean!$E$2:$E$998,$D143,clean!$F$2:$F$998,$E143)</f>
        <v>110172573266.66667</v>
      </c>
    </row>
    <row r="144" spans="1:25" x14ac:dyDescent="0.3">
      <c r="A144">
        <v>1048576</v>
      </c>
      <c r="B144">
        <v>7</v>
      </c>
      <c r="C144">
        <v>512</v>
      </c>
      <c r="D144">
        <v>0.5</v>
      </c>
      <c r="E144">
        <v>11</v>
      </c>
      <c r="F144">
        <f>AVERAGEIFS(clean!G$2:G$998,clean!$B$2:$B$998,$A144,clean!$C$2:$C$998,$B144,clean!$D$2:$D$998,$C144,clean!$E$2:$E$998,$D144,clean!$F$2:$F$998,$E144)</f>
        <v>4095</v>
      </c>
      <c r="G144">
        <f>AVERAGEIFS(clean!H$2:H$998,clean!$B$2:$B$998,$A144,clean!$C$2:$C$998,$B144,clean!$D$2:$D$998,$C144,clean!$E$2:$E$998,$D144,clean!$F$2:$F$998,$E144)</f>
        <v>90534</v>
      </c>
      <c r="H144">
        <f>AVERAGEIFS(clean!I$2:I$998,clean!$B$2:$B$998,$A144,clean!$C$2:$C$998,$B144,clean!$D$2:$D$998,$C144,clean!$E$2:$E$998,$D144,clean!$F$2:$F$998,$E144)</f>
        <v>91655885850</v>
      </c>
      <c r="I144">
        <f>AVERAGEIFS(clean!J$2:J$998,clean!$B$2:$B$998,$A144,clean!$C$2:$C$998,$B144,clean!$D$2:$D$998,$C144,clean!$E$2:$E$998,$D144,clean!$F$2:$F$998,$E144)</f>
        <v>553163380550</v>
      </c>
      <c r="J144">
        <f>AVERAGEIFS(clean!K$2:K$998,clean!$B$2:$B$998,$A144,clean!$C$2:$C$998,$B144,clean!$D$2:$D$998,$C144,clean!$E$2:$E$998,$D144,clean!$F$2:$F$998,$E144)</f>
        <v>6.0352671493572227</v>
      </c>
      <c r="K144">
        <f>AVERAGEIFS(clean!L$2:L$998,clean!$B$2:$B$998,$A144,clean!$C$2:$C$998,$B144,clean!$D$2:$D$998,$C144,clean!$E$2:$E$998,$D144,clean!$F$2:$F$998,$E144)</f>
        <v>15434350</v>
      </c>
      <c r="L144">
        <f>AVERAGEIFS(clean!M$2:M$998,clean!$B$2:$B$998,$A144,clean!$C$2:$C$998,$B144,clean!$D$2:$D$998,$C144,clean!$E$2:$E$998,$D144,clean!$F$2:$F$998,$E144)</f>
        <v>16602629250</v>
      </c>
      <c r="M144">
        <f>AVERAGEIFS(clean!N$2:N$998,clean!$B$2:$B$998,$A144,clean!$C$2:$C$998,$B144,clean!$D$2:$D$998,$C144,clean!$E$2:$E$998,$D144,clean!$F$2:$F$998,$E144)</f>
        <v>24394964100</v>
      </c>
      <c r="N144">
        <f>AVERAGEIFS(clean!O$2:O$998,clean!$B$2:$B$998,$A144,clean!$C$2:$C$998,$B144,clean!$D$2:$D$998,$C144,clean!$E$2:$E$998,$D144,clean!$F$2:$F$998,$E144)</f>
        <v>40997593350</v>
      </c>
      <c r="O144">
        <f>AVERAGEIFS(clean!P$2:P$998,clean!$B$2:$B$998,$A144,clean!$C$2:$C$998,$B144,clean!$D$2:$D$998,$C144,clean!$E$2:$E$998,$D144,clean!$F$2:$F$998,$E144)</f>
        <v>273275</v>
      </c>
      <c r="P144">
        <f>AVERAGEIFS(clean!Q$2:Q$998,clean!$B$2:$B$998,$A144,clean!$C$2:$C$998,$B144,clean!$D$2:$D$998,$C144,clean!$E$2:$E$998,$D144,clean!$F$2:$F$998,$E144)</f>
        <v>48647507425</v>
      </c>
      <c r="Q144">
        <f>AVERAGEIFS(clean!R$2:R$998,clean!$B$2:$B$998,$A144,clean!$C$2:$C$998,$B144,clean!$D$2:$D$998,$C144,clean!$E$2:$E$998,$D144,clean!$F$2:$F$998,$E144)</f>
        <v>48647780700</v>
      </c>
      <c r="R144">
        <f>AVERAGEIFS(clean!S$2:S$998,clean!$B$2:$B$998,$A144,clean!$C$2:$C$998,$B144,clean!$D$2:$D$998,$C144,clean!$E$2:$E$998,$D144,clean!$F$2:$F$998,$E144)</f>
        <v>8463825</v>
      </c>
      <c r="S144">
        <f t="shared" si="4"/>
        <v>1986613625</v>
      </c>
      <c r="T144">
        <f>AVERAGEIFS(clean!T$2:T$998,clean!$B$2:$B$998,$A144,clean!$C$2:$C$998,$B144,clean!$D$2:$D$998,$C144,clean!$E$2:$E$998,$D144,clean!$F$2:$F$998,$E144)</f>
        <v>744984800</v>
      </c>
      <c r="U144">
        <f>AVERAGEIFS(clean!U$2:U$998,clean!$B$2:$B$998,$A144,clean!$C$2:$C$998,$B144,clean!$D$2:$D$998,$C144,clean!$E$2:$E$998,$D144,clean!$F$2:$F$998,$E144)</f>
        <v>130392740525</v>
      </c>
      <c r="V144">
        <f>AVERAGEIFS(clean!V$2:V$998,clean!$B$2:$B$998,$A144,clean!$C$2:$C$998,$B144,clean!$D$2:$D$998,$C144,clean!$E$2:$E$998,$D144,clean!$F$2:$F$998,$E144)</f>
        <v>397063547000</v>
      </c>
      <c r="W144">
        <f>AVERAGEIFS(clean!W$2:W$998,clean!$B$2:$B$998,$A144,clean!$C$2:$C$998,$B144,clean!$D$2:$D$998,$C144,clean!$E$2:$E$998,$D144,clean!$F$2:$F$998,$E144)</f>
        <v>3881750</v>
      </c>
      <c r="X144">
        <f t="shared" si="5"/>
        <v>24958226475</v>
      </c>
      <c r="Y144">
        <f>AVERAGEIFS(clean!X$2:X$998,clean!$B$2:$B$998,$A144,clean!$C$2:$C$998,$B144,clean!$D$2:$D$998,$C144,clean!$E$2:$E$998,$D144,clean!$F$2:$F$998,$E144)</f>
        <v>91655885850</v>
      </c>
    </row>
    <row r="145" spans="1:25" x14ac:dyDescent="0.3">
      <c r="A145">
        <v>1048576</v>
      </c>
      <c r="B145">
        <v>6</v>
      </c>
      <c r="C145">
        <v>343</v>
      </c>
      <c r="D145">
        <v>0.35</v>
      </c>
      <c r="E145">
        <v>12</v>
      </c>
      <c r="F145">
        <f>AVERAGEIFS(clean!G$2:G$998,clean!$B$2:$B$998,$A145,clean!$C$2:$C$998,$B145,clean!$D$2:$D$998,$C145,clean!$E$2:$E$998,$D145,clean!$F$2:$F$998,$E145)</f>
        <v>8191</v>
      </c>
      <c r="G145">
        <f>AVERAGEIFS(clean!H$2:H$998,clean!$B$2:$B$998,$A145,clean!$C$2:$C$998,$B145,clean!$D$2:$D$998,$C145,clean!$E$2:$E$998,$D145,clean!$F$2:$F$998,$E145)</f>
        <v>510889.33333333331</v>
      </c>
      <c r="H145">
        <f>AVERAGEIFS(clean!I$2:I$998,clean!$B$2:$B$998,$A145,clean!$C$2:$C$998,$B145,clean!$D$2:$D$998,$C145,clean!$E$2:$E$998,$D145,clean!$F$2:$F$998,$E145)</f>
        <v>151320240133.33334</v>
      </c>
      <c r="I145">
        <f>AVERAGEIFS(clean!J$2:J$998,clean!$B$2:$B$998,$A145,clean!$C$2:$C$998,$B145,clean!$D$2:$D$998,$C145,clean!$E$2:$E$998,$D145,clean!$F$2:$F$998,$E145)</f>
        <v>865684457666.66663</v>
      </c>
      <c r="J145">
        <f>AVERAGEIFS(clean!K$2:K$998,clean!$B$2:$B$998,$A145,clean!$C$2:$C$998,$B145,clean!$D$2:$D$998,$C145,clean!$E$2:$E$998,$D145,clean!$F$2:$F$998,$E145)</f>
        <v>5.720871442665552</v>
      </c>
      <c r="K145">
        <f>AVERAGEIFS(clean!L$2:L$998,clean!$B$2:$B$998,$A145,clean!$C$2:$C$998,$B145,clean!$D$2:$D$998,$C145,clean!$E$2:$E$998,$D145,clean!$F$2:$F$998,$E145)</f>
        <v>91306800</v>
      </c>
      <c r="L145">
        <f>AVERAGEIFS(clean!M$2:M$998,clean!$B$2:$B$998,$A145,clean!$C$2:$C$998,$B145,clean!$D$2:$D$998,$C145,clean!$E$2:$E$998,$D145,clean!$F$2:$F$998,$E145)</f>
        <v>13809938833.333334</v>
      </c>
      <c r="M145">
        <f>AVERAGEIFS(clean!N$2:N$998,clean!$B$2:$B$998,$A145,clean!$C$2:$C$998,$B145,clean!$D$2:$D$998,$C145,clean!$E$2:$E$998,$D145,clean!$F$2:$F$998,$E145)</f>
        <v>66320972200</v>
      </c>
      <c r="N145">
        <f>AVERAGEIFS(clean!O$2:O$998,clean!$B$2:$B$998,$A145,clean!$C$2:$C$998,$B145,clean!$D$2:$D$998,$C145,clean!$E$2:$E$998,$D145,clean!$F$2:$F$998,$E145)</f>
        <v>80130911033.333328</v>
      </c>
      <c r="O145">
        <f>AVERAGEIFS(clean!P$2:P$998,clean!$B$2:$B$998,$A145,clean!$C$2:$C$998,$B145,clean!$D$2:$D$998,$C145,clean!$E$2:$E$998,$D145,clean!$F$2:$F$998,$E145)</f>
        <v>1550866.6666666667</v>
      </c>
      <c r="P145">
        <f>AVERAGEIFS(clean!Q$2:Q$998,clean!$B$2:$B$998,$A145,clean!$C$2:$C$998,$B145,clean!$D$2:$D$998,$C145,clean!$E$2:$E$998,$D145,clean!$F$2:$F$998,$E145)</f>
        <v>68746288066.666672</v>
      </c>
      <c r="Q145">
        <f>AVERAGEIFS(clean!R$2:R$998,clean!$B$2:$B$998,$A145,clean!$C$2:$C$998,$B145,clean!$D$2:$D$998,$C145,clean!$E$2:$E$998,$D145,clean!$F$2:$F$998,$E145)</f>
        <v>68747838933.333328</v>
      </c>
      <c r="R145">
        <f>AVERAGEIFS(clean!S$2:S$998,clean!$B$2:$B$998,$A145,clean!$C$2:$C$998,$B145,clean!$D$2:$D$998,$C145,clean!$E$2:$E$998,$D145,clean!$F$2:$F$998,$E145)</f>
        <v>8554666.666666666</v>
      </c>
      <c r="S145">
        <f t="shared" si="4"/>
        <v>2341628700.0000205</v>
      </c>
      <c r="T145">
        <f>AVERAGEIFS(clean!T$2:T$998,clean!$B$2:$B$998,$A145,clean!$C$2:$C$998,$B145,clean!$D$2:$D$998,$C145,clean!$E$2:$E$998,$D145,clean!$F$2:$F$998,$E145)</f>
        <v>468779766.66666669</v>
      </c>
      <c r="U145">
        <f>AVERAGEIFS(clean!U$2:U$998,clean!$B$2:$B$998,$A145,clean!$C$2:$C$998,$B145,clean!$D$2:$D$998,$C145,clean!$E$2:$E$998,$D145,clean!$F$2:$F$998,$E145)</f>
        <v>313113544333.33331</v>
      </c>
      <c r="V145">
        <f>AVERAGEIFS(clean!V$2:V$998,clean!$B$2:$B$998,$A145,clean!$C$2:$C$998,$B145,clean!$D$2:$D$998,$C145,clean!$E$2:$E$998,$D145,clean!$F$2:$F$998,$E145)</f>
        <v>530765447166.66669</v>
      </c>
      <c r="W145">
        <f>AVERAGEIFS(clean!W$2:W$998,clean!$B$2:$B$998,$A145,clean!$C$2:$C$998,$B145,clean!$D$2:$D$998,$C145,clean!$E$2:$E$998,$D145,clean!$F$2:$F$998,$E145)</f>
        <v>3844900</v>
      </c>
      <c r="X145">
        <f t="shared" si="5"/>
        <v>21332841500.000061</v>
      </c>
      <c r="Y145">
        <f>AVERAGEIFS(clean!X$2:X$998,clean!$B$2:$B$998,$A145,clean!$C$2:$C$998,$B145,clean!$D$2:$D$998,$C145,clean!$E$2:$E$998,$D145,clean!$F$2:$F$998,$E145)</f>
        <v>151320240133.33334</v>
      </c>
    </row>
    <row r="146" spans="1:25" x14ac:dyDescent="0.3">
      <c r="A146">
        <v>1048576</v>
      </c>
      <c r="B146">
        <v>3</v>
      </c>
      <c r="C146">
        <v>64</v>
      </c>
      <c r="D146">
        <v>0.2</v>
      </c>
      <c r="E146">
        <v>14</v>
      </c>
      <c r="F146">
        <f>AVERAGEIFS(clean!G$2:G$998,clean!$B$2:$B$998,$A146,clean!$C$2:$C$998,$B146,clean!$D$2:$D$998,$C146,clean!$E$2:$E$998,$D146,clean!$F$2:$F$998,$E146)</f>
        <v>32767</v>
      </c>
      <c r="G146">
        <f>AVERAGEIFS(clean!H$2:H$998,clean!$B$2:$B$998,$A146,clean!$C$2:$C$998,$B146,clean!$D$2:$D$998,$C146,clean!$E$2:$E$998,$D146,clean!$F$2:$F$998,$E146)</f>
        <v>9805905.333333334</v>
      </c>
      <c r="H146">
        <f>AVERAGEIFS(clean!I$2:I$998,clean!$B$2:$B$998,$A146,clean!$C$2:$C$998,$B146,clean!$D$2:$D$998,$C146,clean!$E$2:$E$998,$D146,clean!$F$2:$F$998,$E146)</f>
        <v>130396670333.33333</v>
      </c>
      <c r="I146">
        <f>AVERAGEIFS(clean!J$2:J$998,clean!$B$2:$B$998,$A146,clean!$C$2:$C$998,$B146,clean!$D$2:$D$998,$C146,clean!$E$2:$E$998,$D146,clean!$F$2:$F$998,$E146)</f>
        <v>817706240000</v>
      </c>
      <c r="J146">
        <f>AVERAGEIFS(clean!K$2:K$998,clean!$B$2:$B$998,$A146,clean!$C$2:$C$998,$B146,clean!$D$2:$D$998,$C146,clean!$E$2:$E$998,$D146,clean!$F$2:$F$998,$E146)</f>
        <v>6.2709193655924524</v>
      </c>
      <c r="K146">
        <f>AVERAGEIFS(clean!L$2:L$998,clean!$B$2:$B$998,$A146,clean!$C$2:$C$998,$B146,clean!$D$2:$D$998,$C146,clean!$E$2:$E$998,$D146,clean!$F$2:$F$998,$E146)</f>
        <v>2149431633.3333335</v>
      </c>
      <c r="L146">
        <f>AVERAGEIFS(clean!M$2:M$998,clean!$B$2:$B$998,$A146,clean!$C$2:$C$998,$B146,clean!$D$2:$D$998,$C146,clean!$E$2:$E$998,$D146,clean!$F$2:$F$998,$E146)</f>
        <v>30628566.666666668</v>
      </c>
      <c r="M146">
        <f>AVERAGEIFS(clean!N$2:N$998,clean!$B$2:$B$998,$A146,clean!$C$2:$C$998,$B146,clean!$D$2:$D$998,$C146,clean!$E$2:$E$998,$D146,clean!$F$2:$F$998,$E146)</f>
        <v>43975618000</v>
      </c>
      <c r="N146">
        <f>AVERAGEIFS(clean!O$2:O$998,clean!$B$2:$B$998,$A146,clean!$C$2:$C$998,$B146,clean!$D$2:$D$998,$C146,clean!$E$2:$E$998,$D146,clean!$F$2:$F$998,$E146)</f>
        <v>44006246566.666664</v>
      </c>
      <c r="O146">
        <f>AVERAGEIFS(clean!P$2:P$998,clean!$B$2:$B$998,$A146,clean!$C$2:$C$998,$B146,clean!$D$2:$D$998,$C146,clean!$E$2:$E$998,$D146,clean!$F$2:$F$998,$E146)</f>
        <v>28451566.666666668</v>
      </c>
      <c r="P146">
        <f>AVERAGEIFS(clean!Q$2:Q$998,clean!$B$2:$B$998,$A146,clean!$C$2:$C$998,$B146,clean!$D$2:$D$998,$C146,clean!$E$2:$E$998,$D146,clean!$F$2:$F$998,$E146)</f>
        <v>83231411500</v>
      </c>
      <c r="Q146">
        <f>AVERAGEIFS(clean!R$2:R$998,clean!$B$2:$B$998,$A146,clean!$C$2:$C$998,$B146,clean!$D$2:$D$998,$C146,clean!$E$2:$E$998,$D146,clean!$F$2:$F$998,$E146)</f>
        <v>83259863066.666672</v>
      </c>
      <c r="R146">
        <f>AVERAGEIFS(clean!S$2:S$998,clean!$B$2:$B$998,$A146,clean!$C$2:$C$998,$B146,clean!$D$2:$D$998,$C146,clean!$E$2:$E$998,$D146,clean!$F$2:$F$998,$E146)</f>
        <v>8110300</v>
      </c>
      <c r="S146">
        <f t="shared" si="4"/>
        <v>973018766.66667175</v>
      </c>
      <c r="T146">
        <f>AVERAGEIFS(clean!T$2:T$998,clean!$B$2:$B$998,$A146,clean!$C$2:$C$998,$B146,clean!$D$2:$D$998,$C146,clean!$E$2:$E$998,$D146,clean!$F$2:$F$998,$E146)</f>
        <v>478623933.33333331</v>
      </c>
      <c r="U146">
        <f>AVERAGEIFS(clean!U$2:U$998,clean!$B$2:$B$998,$A146,clean!$C$2:$C$998,$B146,clean!$D$2:$D$998,$C146,clean!$E$2:$E$998,$D146,clean!$F$2:$F$998,$E146)</f>
        <v>223717877966.66666</v>
      </c>
      <c r="V146">
        <f>AVERAGEIFS(clean!V$2:V$998,clean!$B$2:$B$998,$A146,clean!$C$2:$C$998,$B146,clean!$D$2:$D$998,$C146,clean!$E$2:$E$998,$D146,clean!$F$2:$F$998,$E146)</f>
        <v>586778147166.66663</v>
      </c>
      <c r="W146">
        <f>AVERAGEIFS(clean!W$2:W$998,clean!$B$2:$B$998,$A146,clean!$C$2:$C$998,$B146,clean!$D$2:$D$998,$C146,clean!$E$2:$E$998,$D146,clean!$F$2:$F$998,$E146)</f>
        <v>3886133.3333333335</v>
      </c>
      <c r="X146">
        <f t="shared" si="5"/>
        <v>6727704800.000041</v>
      </c>
      <c r="Y146">
        <f>AVERAGEIFS(clean!X$2:X$998,clean!$B$2:$B$998,$A146,clean!$C$2:$C$998,$B146,clean!$D$2:$D$998,$C146,clean!$E$2:$E$998,$D146,clean!$F$2:$F$998,$E146)</f>
        <v>130396670333.33333</v>
      </c>
    </row>
    <row r="147" spans="1:25" x14ac:dyDescent="0.3">
      <c r="A147">
        <v>1048576</v>
      </c>
      <c r="B147">
        <v>4</v>
      </c>
      <c r="C147">
        <v>125</v>
      </c>
      <c r="D147">
        <v>0.2</v>
      </c>
      <c r="E147">
        <v>14</v>
      </c>
      <c r="F147">
        <f>AVERAGEIFS(clean!G$2:G$998,clean!$B$2:$B$998,$A147,clean!$C$2:$C$998,$B147,clean!$D$2:$D$998,$C147,clean!$E$2:$E$998,$D147,clean!$F$2:$F$998,$E147)</f>
        <v>32767</v>
      </c>
      <c r="G147">
        <f>AVERAGEIFS(clean!H$2:H$998,clean!$B$2:$B$998,$A147,clean!$C$2:$C$998,$B147,clean!$D$2:$D$998,$C147,clean!$E$2:$E$998,$D147,clean!$F$2:$F$998,$E147)</f>
        <v>9805498.666666666</v>
      </c>
      <c r="H147">
        <f>AVERAGEIFS(clean!I$2:I$998,clean!$B$2:$B$998,$A147,clean!$C$2:$C$998,$B147,clean!$D$2:$D$998,$C147,clean!$E$2:$E$998,$D147,clean!$F$2:$F$998,$E147)</f>
        <v>234242152366.66666</v>
      </c>
      <c r="I147">
        <f>AVERAGEIFS(clean!J$2:J$998,clean!$B$2:$B$998,$A147,clean!$C$2:$C$998,$B147,clean!$D$2:$D$998,$C147,clean!$E$2:$E$998,$D147,clean!$F$2:$F$998,$E147)</f>
        <v>1427724628833.3333</v>
      </c>
      <c r="J147">
        <f>AVERAGEIFS(clean!K$2:K$998,clean!$B$2:$B$998,$A147,clean!$C$2:$C$998,$B147,clean!$D$2:$D$998,$C147,clean!$E$2:$E$998,$D147,clean!$F$2:$F$998,$E147)</f>
        <v>6.0951310815381534</v>
      </c>
      <c r="K147">
        <f>AVERAGEIFS(clean!L$2:L$998,clean!$B$2:$B$998,$A147,clean!$C$2:$C$998,$B147,clean!$D$2:$D$998,$C147,clean!$E$2:$E$998,$D147,clean!$F$2:$F$998,$E147)</f>
        <v>2096299900</v>
      </c>
      <c r="L147">
        <f>AVERAGEIFS(clean!M$2:M$998,clean!$B$2:$B$998,$A147,clean!$C$2:$C$998,$B147,clean!$D$2:$D$998,$C147,clean!$E$2:$E$998,$D147,clean!$F$2:$F$998,$E147)</f>
        <v>860025933.33333337</v>
      </c>
      <c r="M147">
        <f>AVERAGEIFS(clean!N$2:N$998,clean!$B$2:$B$998,$A147,clean!$C$2:$C$998,$B147,clean!$D$2:$D$998,$C147,clean!$E$2:$E$998,$D147,clean!$F$2:$F$998,$E147)</f>
        <v>144154079600</v>
      </c>
      <c r="N147">
        <f>AVERAGEIFS(clean!O$2:O$998,clean!$B$2:$B$998,$A147,clean!$C$2:$C$998,$B147,clean!$D$2:$D$998,$C147,clean!$E$2:$E$998,$D147,clean!$F$2:$F$998,$E147)</f>
        <v>145014105533.33334</v>
      </c>
      <c r="O147">
        <f>AVERAGEIFS(clean!P$2:P$998,clean!$B$2:$B$998,$A147,clean!$C$2:$C$998,$B147,clean!$D$2:$D$998,$C147,clean!$E$2:$E$998,$D147,clean!$F$2:$F$998,$E147)</f>
        <v>29017333.333333332</v>
      </c>
      <c r="P147">
        <f>AVERAGEIFS(clean!Q$2:Q$998,clean!$B$2:$B$998,$A147,clean!$C$2:$C$998,$B147,clean!$D$2:$D$998,$C147,clean!$E$2:$E$998,$D147,clean!$F$2:$F$998,$E147)</f>
        <v>85580523066.666672</v>
      </c>
      <c r="Q147">
        <f>AVERAGEIFS(clean!R$2:R$998,clean!$B$2:$B$998,$A147,clean!$C$2:$C$998,$B147,clean!$D$2:$D$998,$C147,clean!$E$2:$E$998,$D147,clean!$F$2:$F$998,$E147)</f>
        <v>85609540400</v>
      </c>
      <c r="R147">
        <f>AVERAGEIFS(clean!S$2:S$998,clean!$B$2:$B$998,$A147,clean!$C$2:$C$998,$B147,clean!$D$2:$D$998,$C147,clean!$E$2:$E$998,$D147,clean!$F$2:$F$998,$E147)</f>
        <v>13058400</v>
      </c>
      <c r="S147">
        <f t="shared" si="4"/>
        <v>1509148133.333313</v>
      </c>
      <c r="T147">
        <f>AVERAGEIFS(clean!T$2:T$998,clean!$B$2:$B$998,$A147,clean!$C$2:$C$998,$B147,clean!$D$2:$D$998,$C147,clean!$E$2:$E$998,$D147,clean!$F$2:$F$998,$E147)</f>
        <v>711989533.33333337</v>
      </c>
      <c r="U147">
        <f>AVERAGEIFS(clean!U$2:U$998,clean!$B$2:$B$998,$A147,clean!$C$2:$C$998,$B147,clean!$D$2:$D$998,$C147,clean!$E$2:$E$998,$D147,clean!$F$2:$F$998,$E147)</f>
        <v>826723190833.33337</v>
      </c>
      <c r="V147">
        <f>AVERAGEIFS(clean!V$2:V$998,clean!$B$2:$B$998,$A147,clean!$C$2:$C$998,$B147,clean!$D$2:$D$998,$C147,clean!$E$2:$E$998,$D147,clean!$F$2:$F$998,$E147)</f>
        <v>586516914300</v>
      </c>
      <c r="W147">
        <f>AVERAGEIFS(clean!W$2:W$998,clean!$B$2:$B$998,$A147,clean!$C$2:$C$998,$B147,clean!$D$2:$D$998,$C147,clean!$E$2:$E$998,$D147,clean!$F$2:$F$998,$E147)</f>
        <v>3853100</v>
      </c>
      <c r="X147">
        <f t="shared" si="5"/>
        <v>13768681066.666626</v>
      </c>
      <c r="Y147">
        <f>AVERAGEIFS(clean!X$2:X$998,clean!$B$2:$B$998,$A147,clean!$C$2:$C$998,$B147,clean!$D$2:$D$998,$C147,clean!$E$2:$E$998,$D147,clean!$F$2:$F$998,$E147)</f>
        <v>234242152366.66666</v>
      </c>
    </row>
    <row r="148" spans="1:25" x14ac:dyDescent="0.3">
      <c r="A148">
        <v>1048576</v>
      </c>
      <c r="B148">
        <v>7</v>
      </c>
      <c r="C148">
        <v>512</v>
      </c>
      <c r="D148">
        <v>0.35</v>
      </c>
      <c r="E148">
        <v>11</v>
      </c>
      <c r="F148">
        <f>AVERAGEIFS(clean!G$2:G$998,clean!$B$2:$B$998,$A148,clean!$C$2:$C$998,$B148,clean!$D$2:$D$998,$C148,clean!$E$2:$E$998,$D148,clean!$F$2:$F$998,$E148)</f>
        <v>4095</v>
      </c>
      <c r="G148">
        <f>AVERAGEIFS(clean!H$2:H$998,clean!$B$2:$B$998,$A148,clean!$C$2:$C$998,$B148,clean!$D$2:$D$998,$C148,clean!$E$2:$E$998,$D148,clean!$F$2:$F$998,$E148)</f>
        <v>216682.66666666666</v>
      </c>
      <c r="H148">
        <f>AVERAGEIFS(clean!I$2:I$998,clean!$B$2:$B$998,$A148,clean!$C$2:$C$998,$B148,clean!$D$2:$D$998,$C148,clean!$E$2:$E$998,$D148,clean!$F$2:$F$998,$E148)</f>
        <v>197196257300</v>
      </c>
      <c r="I148">
        <f>AVERAGEIFS(clean!J$2:J$998,clean!$B$2:$B$998,$A148,clean!$C$2:$C$998,$B148,clean!$D$2:$D$998,$C148,clean!$E$2:$E$998,$D148,clean!$F$2:$F$998,$E148)</f>
        <v>1315303362833.3333</v>
      </c>
      <c r="J148">
        <f>AVERAGEIFS(clean!K$2:K$998,clean!$B$2:$B$998,$A148,clean!$C$2:$C$998,$B148,clean!$D$2:$D$998,$C148,clean!$E$2:$E$998,$D148,clean!$F$2:$F$998,$E148)</f>
        <v>6.6701156873613137</v>
      </c>
      <c r="K148">
        <f>AVERAGEIFS(clean!L$2:L$998,clean!$B$2:$B$998,$A148,clean!$C$2:$C$998,$B148,clean!$D$2:$D$998,$C148,clean!$E$2:$E$998,$D148,clean!$F$2:$F$998,$E148)</f>
        <v>36771366.666666664</v>
      </c>
      <c r="L148">
        <f>AVERAGEIFS(clean!M$2:M$998,clean!$B$2:$B$998,$A148,clean!$C$2:$C$998,$B148,clean!$D$2:$D$998,$C148,clean!$E$2:$E$998,$D148,clean!$F$2:$F$998,$E148)</f>
        <v>16533514566.666666</v>
      </c>
      <c r="M148">
        <f>AVERAGEIFS(clean!N$2:N$998,clean!$B$2:$B$998,$A148,clean!$C$2:$C$998,$B148,clean!$D$2:$D$998,$C148,clean!$E$2:$E$998,$D148,clean!$F$2:$F$998,$E148)</f>
        <v>62050013833.333336</v>
      </c>
      <c r="N148">
        <f>AVERAGEIFS(clean!O$2:O$998,clean!$B$2:$B$998,$A148,clean!$C$2:$C$998,$B148,clean!$D$2:$D$998,$C148,clean!$E$2:$E$998,$D148,clean!$F$2:$F$998,$E148)</f>
        <v>78583528400</v>
      </c>
      <c r="O148">
        <f>AVERAGEIFS(clean!P$2:P$998,clean!$B$2:$B$998,$A148,clean!$C$2:$C$998,$B148,clean!$D$2:$D$998,$C148,clean!$E$2:$E$998,$D148,clean!$F$2:$F$998,$E148)</f>
        <v>639733.33333333337</v>
      </c>
      <c r="P148">
        <f>AVERAGEIFS(clean!Q$2:Q$998,clean!$B$2:$B$998,$A148,clean!$C$2:$C$998,$B148,clean!$D$2:$D$998,$C148,clean!$E$2:$E$998,$D148,clean!$F$2:$F$998,$E148)</f>
        <v>116562140800</v>
      </c>
      <c r="Q148">
        <f>AVERAGEIFS(clean!R$2:R$998,clean!$B$2:$B$998,$A148,clean!$C$2:$C$998,$B148,clean!$D$2:$D$998,$C148,clean!$E$2:$E$998,$D148,clean!$F$2:$F$998,$E148)</f>
        <v>116562780533.33333</v>
      </c>
      <c r="R148">
        <f>AVERAGEIFS(clean!S$2:S$998,clean!$B$2:$B$998,$A148,clean!$C$2:$C$998,$B148,clean!$D$2:$D$998,$C148,clean!$E$2:$E$998,$D148,clean!$F$2:$F$998,$E148)</f>
        <v>13669033.333333334</v>
      </c>
      <c r="S148">
        <f t="shared" si="4"/>
        <v>1999507966.666682</v>
      </c>
      <c r="T148">
        <f>AVERAGEIFS(clean!T$2:T$998,clean!$B$2:$B$998,$A148,clean!$C$2:$C$998,$B148,clean!$D$2:$D$998,$C148,clean!$E$2:$E$998,$D148,clean!$F$2:$F$998,$E148)</f>
        <v>720272366.66666663</v>
      </c>
      <c r="U148">
        <f>AVERAGEIFS(clean!U$2:U$998,clean!$B$2:$B$998,$A148,clean!$C$2:$C$998,$B148,clean!$D$2:$D$998,$C148,clean!$E$2:$E$998,$D148,clean!$F$2:$F$998,$E148)</f>
        <v>338050043833.33331</v>
      </c>
      <c r="V148">
        <f>AVERAGEIFS(clean!V$2:V$998,clean!$B$2:$B$998,$A148,clean!$C$2:$C$998,$B148,clean!$D$2:$D$998,$C148,clean!$E$2:$E$998,$D148,clean!$F$2:$F$998,$E148)</f>
        <v>951532439166.66663</v>
      </c>
      <c r="W148">
        <f>AVERAGEIFS(clean!W$2:W$998,clean!$B$2:$B$998,$A148,clean!$C$2:$C$998,$B148,clean!$D$2:$D$998,$C148,clean!$E$2:$E$998,$D148,clean!$F$2:$F$998,$E148)</f>
        <v>3858433.3333333335</v>
      </c>
      <c r="X148">
        <f t="shared" si="5"/>
        <v>24996749033.333294</v>
      </c>
      <c r="Y148">
        <f>AVERAGEIFS(clean!X$2:X$998,clean!$B$2:$B$998,$A148,clean!$C$2:$C$998,$B148,clean!$D$2:$D$998,$C148,clean!$E$2:$E$998,$D148,clean!$F$2:$F$998,$E148)</f>
        <v>197196257300</v>
      </c>
    </row>
    <row r="149" spans="1:25" x14ac:dyDescent="0.3">
      <c r="A149">
        <v>1048576</v>
      </c>
      <c r="B149">
        <v>5</v>
      </c>
      <c r="C149">
        <v>216</v>
      </c>
      <c r="D149">
        <v>0.2</v>
      </c>
      <c r="E149">
        <v>13</v>
      </c>
      <c r="F149">
        <f>AVERAGEIFS(clean!G$2:G$998,clean!$B$2:$B$998,$A149,clean!$C$2:$C$998,$B149,clean!$D$2:$D$998,$C149,clean!$E$2:$E$998,$D149,clean!$F$2:$F$998,$E149)</f>
        <v>16383</v>
      </c>
      <c r="G149">
        <f>AVERAGEIFS(clean!H$2:H$998,clean!$B$2:$B$998,$A149,clean!$C$2:$C$998,$B149,clean!$D$2:$D$998,$C149,clean!$E$2:$E$998,$D149,clean!$F$2:$F$998,$E149)</f>
        <v>3776118.6666666665</v>
      </c>
      <c r="H149">
        <f>AVERAGEIFS(clean!I$2:I$998,clean!$B$2:$B$998,$A149,clean!$C$2:$C$998,$B149,clean!$D$2:$D$998,$C149,clean!$E$2:$E$998,$D149,clean!$F$2:$F$998,$E149)</f>
        <v>431751896000</v>
      </c>
      <c r="I149">
        <f>AVERAGEIFS(clean!J$2:J$998,clean!$B$2:$B$998,$A149,clean!$C$2:$C$998,$B149,clean!$D$2:$D$998,$C149,clean!$E$2:$E$998,$D149,clean!$F$2:$F$998,$E149)</f>
        <v>2346588257700</v>
      </c>
      <c r="J149">
        <f>AVERAGEIFS(clean!K$2:K$998,clean!$B$2:$B$998,$A149,clean!$C$2:$C$998,$B149,clean!$D$2:$D$998,$C149,clean!$E$2:$E$998,$D149,clean!$F$2:$F$998,$E149)</f>
        <v>5.4350675371406867</v>
      </c>
      <c r="K149">
        <f>AVERAGEIFS(clean!L$2:L$998,clean!$B$2:$B$998,$A149,clean!$C$2:$C$998,$B149,clean!$D$2:$D$998,$C149,clean!$E$2:$E$998,$D149,clean!$F$2:$F$998,$E149)</f>
        <v>841258733.33333337</v>
      </c>
      <c r="L149">
        <f>AVERAGEIFS(clean!M$2:M$998,clean!$B$2:$B$998,$A149,clean!$C$2:$C$998,$B149,clean!$D$2:$D$998,$C149,clean!$E$2:$E$998,$D149,clean!$F$2:$F$998,$E149)</f>
        <v>5035459600</v>
      </c>
      <c r="M149">
        <f>AVERAGEIFS(clean!N$2:N$998,clean!$B$2:$B$998,$A149,clean!$C$2:$C$998,$B149,clean!$D$2:$D$998,$C149,clean!$E$2:$E$998,$D149,clean!$F$2:$F$998,$E149)</f>
        <v>296576130333.33331</v>
      </c>
      <c r="N149">
        <f>AVERAGEIFS(clean!O$2:O$998,clean!$B$2:$B$998,$A149,clean!$C$2:$C$998,$B149,clean!$D$2:$D$998,$C149,clean!$E$2:$E$998,$D149,clean!$F$2:$F$998,$E149)</f>
        <v>301611589933.33331</v>
      </c>
      <c r="O149">
        <f>AVERAGEIFS(clean!P$2:P$998,clean!$B$2:$B$998,$A149,clean!$C$2:$C$998,$B149,clean!$D$2:$D$998,$C149,clean!$E$2:$E$998,$D149,clean!$F$2:$F$998,$E149)</f>
        <v>9633533.333333334</v>
      </c>
      <c r="P149">
        <f>AVERAGEIFS(clean!Q$2:Q$998,clean!$B$2:$B$998,$A149,clean!$C$2:$C$998,$B149,clean!$D$2:$D$998,$C149,clean!$E$2:$E$998,$D149,clean!$F$2:$F$998,$E149)</f>
        <v>127609824133.33333</v>
      </c>
      <c r="Q149">
        <f>AVERAGEIFS(clean!R$2:R$998,clean!$B$2:$B$998,$A149,clean!$C$2:$C$998,$B149,clean!$D$2:$D$998,$C149,clean!$E$2:$E$998,$D149,clean!$F$2:$F$998,$E149)</f>
        <v>127619457666.66667</v>
      </c>
      <c r="R149">
        <f>AVERAGEIFS(clean!S$2:S$998,clean!$B$2:$B$998,$A149,clean!$C$2:$C$998,$B149,clean!$D$2:$D$998,$C149,clean!$E$2:$E$998,$D149,clean!$F$2:$F$998,$E149)</f>
        <v>17969033.333333332</v>
      </c>
      <c r="S149">
        <f t="shared" si="4"/>
        <v>1661620633.333369</v>
      </c>
      <c r="T149">
        <f>AVERAGEIFS(clean!T$2:T$998,clean!$B$2:$B$998,$A149,clean!$C$2:$C$998,$B149,clean!$D$2:$D$998,$C149,clean!$E$2:$E$998,$D149,clean!$F$2:$F$998,$E149)</f>
        <v>531076233.33333331</v>
      </c>
      <c r="U149">
        <f>AVERAGEIFS(clean!U$2:U$998,clean!$B$2:$B$998,$A149,clean!$C$2:$C$998,$B149,clean!$D$2:$D$998,$C149,clean!$E$2:$E$998,$D149,clean!$F$2:$F$998,$E149)</f>
        <v>1392310989966.6667</v>
      </c>
      <c r="V149">
        <f>AVERAGEIFS(clean!V$2:V$998,clean!$B$2:$B$998,$A149,clean!$C$2:$C$998,$B149,clean!$D$2:$D$998,$C149,clean!$E$2:$E$998,$D149,clean!$F$2:$F$998,$E149)</f>
        <v>936263118000</v>
      </c>
      <c r="W149">
        <f>AVERAGEIFS(clean!W$2:W$998,clean!$B$2:$B$998,$A149,clean!$C$2:$C$998,$B149,clean!$D$2:$D$998,$C149,clean!$E$2:$E$998,$D149,clean!$F$2:$F$998,$E149)</f>
        <v>3780700</v>
      </c>
      <c r="X149">
        <f t="shared" si="5"/>
        <v>17479292799.999756</v>
      </c>
      <c r="Y149">
        <f>AVERAGEIFS(clean!X$2:X$998,clean!$B$2:$B$998,$A149,clean!$C$2:$C$998,$B149,clean!$D$2:$D$998,$C149,clean!$E$2:$E$998,$D149,clean!$F$2:$F$998,$E149)</f>
        <v>431751896000</v>
      </c>
    </row>
    <row r="150" spans="1:25" x14ac:dyDescent="0.3">
      <c r="A150">
        <v>1048576</v>
      </c>
      <c r="B150">
        <v>6</v>
      </c>
      <c r="C150">
        <v>343</v>
      </c>
      <c r="D150">
        <v>0.2</v>
      </c>
      <c r="E150">
        <v>12</v>
      </c>
      <c r="F150">
        <f>AVERAGEIFS(clean!G$2:G$998,clean!$B$2:$B$998,$A150,clean!$C$2:$C$998,$B150,clean!$D$2:$D$998,$C150,clean!$E$2:$E$998,$D150,clean!$F$2:$F$998,$E150)</f>
        <v>8191</v>
      </c>
      <c r="G150">
        <f>AVERAGEIFS(clean!H$2:H$998,clean!$B$2:$B$998,$A150,clean!$C$2:$C$998,$B150,clean!$D$2:$D$998,$C150,clean!$E$2:$E$998,$D150,clean!$F$2:$F$998,$E150)</f>
        <v>2280208</v>
      </c>
      <c r="H150">
        <f>AVERAGEIFS(clean!I$2:I$998,clean!$B$2:$B$998,$A150,clean!$C$2:$C$998,$B150,clean!$D$2:$D$998,$C150,clean!$E$2:$E$998,$D150,clean!$F$2:$F$998,$E150)</f>
        <v>554426525833.33337</v>
      </c>
      <c r="I150">
        <f>AVERAGEIFS(clean!J$2:J$998,clean!$B$2:$B$998,$A150,clean!$C$2:$C$998,$B150,clean!$D$2:$D$998,$C150,clean!$E$2:$E$998,$D150,clean!$F$2:$F$998,$E150)</f>
        <v>3470995281000</v>
      </c>
      <c r="J150">
        <f>AVERAGEIFS(clean!K$2:K$998,clean!$B$2:$B$998,$A150,clean!$C$2:$C$998,$B150,clean!$D$2:$D$998,$C150,clean!$E$2:$E$998,$D150,clean!$F$2:$F$998,$E150)</f>
        <v>6.2605874813272564</v>
      </c>
      <c r="K150">
        <f>AVERAGEIFS(clean!L$2:L$998,clean!$B$2:$B$998,$A150,clean!$C$2:$C$998,$B150,clean!$D$2:$D$998,$C150,clean!$E$2:$E$998,$D150,clean!$F$2:$F$998,$E150)</f>
        <v>382893000</v>
      </c>
      <c r="L150">
        <f>AVERAGEIFS(clean!M$2:M$998,clean!$B$2:$B$998,$A150,clean!$C$2:$C$998,$B150,clean!$D$2:$D$998,$C150,clean!$E$2:$E$998,$D150,clean!$F$2:$F$998,$E150)</f>
        <v>13547292966.666666</v>
      </c>
      <c r="M150">
        <f>AVERAGEIFS(clean!N$2:N$998,clean!$B$2:$B$998,$A150,clean!$C$2:$C$998,$B150,clean!$D$2:$D$998,$C150,clean!$E$2:$E$998,$D150,clean!$F$2:$F$998,$E150)</f>
        <v>231008644500</v>
      </c>
      <c r="N150">
        <f>AVERAGEIFS(clean!O$2:O$998,clean!$B$2:$B$998,$A150,clean!$C$2:$C$998,$B150,clean!$D$2:$D$998,$C150,clean!$E$2:$E$998,$D150,clean!$F$2:$F$998,$E150)</f>
        <v>244555937466.66666</v>
      </c>
      <c r="O150">
        <f>AVERAGEIFS(clean!P$2:P$998,clean!$B$2:$B$998,$A150,clean!$C$2:$C$998,$B150,clean!$D$2:$D$998,$C150,clean!$E$2:$E$998,$D150,clean!$F$2:$F$998,$E150)</f>
        <v>5930200</v>
      </c>
      <c r="P150">
        <f>AVERAGEIFS(clean!Q$2:Q$998,clean!$B$2:$B$998,$A150,clean!$C$2:$C$998,$B150,clean!$D$2:$D$998,$C150,clean!$E$2:$E$998,$D150,clean!$F$2:$F$998,$E150)</f>
        <v>307469533500</v>
      </c>
      <c r="Q150">
        <f>AVERAGEIFS(clean!R$2:R$998,clean!$B$2:$B$998,$A150,clean!$C$2:$C$998,$B150,clean!$D$2:$D$998,$C150,clean!$E$2:$E$998,$D150,clean!$F$2:$F$998,$E150)</f>
        <v>307475463700</v>
      </c>
      <c r="R150">
        <f>AVERAGEIFS(clean!S$2:S$998,clean!$B$2:$B$998,$A150,clean!$C$2:$C$998,$B150,clean!$D$2:$D$998,$C150,clean!$E$2:$E$998,$D150,clean!$F$2:$F$998,$E150)</f>
        <v>17803566.666666668</v>
      </c>
      <c r="S150">
        <f t="shared" si="4"/>
        <v>1994428100.0000813</v>
      </c>
      <c r="T150">
        <f>AVERAGEIFS(clean!T$2:T$998,clean!$B$2:$B$998,$A150,clean!$C$2:$C$998,$B150,clean!$D$2:$D$998,$C150,clean!$E$2:$E$998,$D150,clean!$F$2:$F$998,$E150)</f>
        <v>672972533.33333337</v>
      </c>
      <c r="U150">
        <f>AVERAGEIFS(clean!U$2:U$998,clean!$B$2:$B$998,$A150,clean!$C$2:$C$998,$B150,clean!$D$2:$D$998,$C150,clean!$E$2:$E$998,$D150,clean!$F$2:$F$998,$E150)</f>
        <v>1083733622633.3334</v>
      </c>
      <c r="V150">
        <f>AVERAGEIFS(clean!V$2:V$998,clean!$B$2:$B$998,$A150,clean!$C$2:$C$998,$B150,clean!$D$2:$D$998,$C150,clean!$E$2:$E$998,$D150,clean!$F$2:$F$998,$E150)</f>
        <v>2365011090066.6665</v>
      </c>
      <c r="W150">
        <f>AVERAGEIFS(clean!W$2:W$998,clean!$B$2:$B$998,$A150,clean!$C$2:$C$998,$B150,clean!$D$2:$D$998,$C150,clean!$E$2:$E$998,$D150,clean!$F$2:$F$998,$E150)</f>
        <v>3945466.6666666665</v>
      </c>
      <c r="X150">
        <f t="shared" si="5"/>
        <v>21573650299.999836</v>
      </c>
      <c r="Y150">
        <f>AVERAGEIFS(clean!X$2:X$998,clean!$B$2:$B$998,$A150,clean!$C$2:$C$998,$B150,clean!$D$2:$D$998,$C150,clean!$E$2:$E$998,$D150,clean!$F$2:$F$998,$E150)</f>
        <v>554426525833.33337</v>
      </c>
    </row>
    <row r="151" spans="1:25" x14ac:dyDescent="0.3">
      <c r="A151">
        <v>1048576</v>
      </c>
      <c r="B151">
        <v>7</v>
      </c>
      <c r="C151">
        <v>512</v>
      </c>
      <c r="D151">
        <v>0.2</v>
      </c>
      <c r="E151">
        <v>11</v>
      </c>
      <c r="F151">
        <f>AVERAGEIFS(clean!G$2:G$998,clean!$B$2:$B$998,$A151,clean!$C$2:$C$998,$B151,clean!$D$2:$D$998,$C151,clean!$E$2:$E$998,$D151,clean!$F$2:$F$998,$E151)</f>
        <v>4095</v>
      </c>
      <c r="G151">
        <f>AVERAGEIFS(clean!H$2:H$998,clean!$B$2:$B$998,$A151,clean!$C$2:$C$998,$B151,clean!$D$2:$D$998,$C151,clean!$E$2:$E$998,$D151,clean!$F$2:$F$998,$E151)</f>
        <v>958536</v>
      </c>
      <c r="H151">
        <f>AVERAGEIFS(clean!I$2:I$998,clean!$B$2:$B$998,$A151,clean!$C$2:$C$998,$B151,clean!$D$2:$D$998,$C151,clean!$E$2:$E$998,$D151,clean!$F$2:$F$998,$E151)</f>
        <v>689438423400</v>
      </c>
      <c r="I151">
        <f>AVERAGEIFS(clean!J$2:J$998,clean!$B$2:$B$998,$A151,clean!$C$2:$C$998,$B151,clean!$D$2:$D$998,$C151,clean!$E$2:$E$998,$D151,clean!$F$2:$F$998,$E151)</f>
        <v>5046620688500</v>
      </c>
      <c r="J151">
        <f>AVERAGEIFS(clean!K$2:K$998,clean!$B$2:$B$998,$A151,clean!$C$2:$C$998,$B151,clean!$D$2:$D$998,$C151,clean!$E$2:$E$998,$D151,clean!$F$2:$F$998,$E151)</f>
        <v>7.3198830280974434</v>
      </c>
      <c r="K151">
        <f>AVERAGEIFS(clean!L$2:L$998,clean!$B$2:$B$998,$A151,clean!$C$2:$C$998,$B151,clean!$D$2:$D$998,$C151,clean!$E$2:$E$998,$D151,clean!$F$2:$F$998,$E151)</f>
        <v>141157100</v>
      </c>
      <c r="L151">
        <f>AVERAGEIFS(clean!M$2:M$998,clean!$B$2:$B$998,$A151,clean!$C$2:$C$998,$B151,clean!$D$2:$D$998,$C151,clean!$E$2:$E$998,$D151,clean!$F$2:$F$998,$E151)</f>
        <v>16558188933.333334</v>
      </c>
      <c r="M151">
        <f>AVERAGEIFS(clean!N$2:N$998,clean!$B$2:$B$998,$A151,clean!$C$2:$C$998,$B151,clean!$D$2:$D$998,$C151,clean!$E$2:$E$998,$D151,clean!$F$2:$F$998,$E151)</f>
        <v>151624285733.33334</v>
      </c>
      <c r="N151">
        <f>AVERAGEIFS(clean!O$2:O$998,clean!$B$2:$B$998,$A151,clean!$C$2:$C$998,$B151,clean!$D$2:$D$998,$C151,clean!$E$2:$E$998,$D151,clean!$F$2:$F$998,$E151)</f>
        <v>168182474666.66666</v>
      </c>
      <c r="O151">
        <f>AVERAGEIFS(clean!P$2:P$998,clean!$B$2:$B$998,$A151,clean!$C$2:$C$998,$B151,clean!$D$2:$D$998,$C151,clean!$E$2:$E$998,$D151,clean!$F$2:$F$998,$E151)</f>
        <v>2563533.3333333335</v>
      </c>
      <c r="P151">
        <f>AVERAGEIFS(clean!Q$2:Q$998,clean!$B$2:$B$998,$A151,clean!$C$2:$C$998,$B151,clean!$D$2:$D$998,$C151,clean!$E$2:$E$998,$D151,clean!$F$2:$F$998,$E151)</f>
        <v>519108951666.66669</v>
      </c>
      <c r="Q151">
        <f>AVERAGEIFS(clean!R$2:R$998,clean!$B$2:$B$998,$A151,clean!$C$2:$C$998,$B151,clean!$D$2:$D$998,$C151,clean!$E$2:$E$998,$D151,clean!$F$2:$F$998,$E151)</f>
        <v>519111515200</v>
      </c>
      <c r="R151">
        <f>AVERAGEIFS(clean!S$2:S$998,clean!$B$2:$B$998,$A151,clean!$C$2:$C$998,$B151,clean!$D$2:$D$998,$C151,clean!$E$2:$E$998,$D151,clean!$F$2:$F$998,$E151)</f>
        <v>18094366.666666668</v>
      </c>
      <c r="S151">
        <f t="shared" si="4"/>
        <v>1985182066.6667073</v>
      </c>
      <c r="T151">
        <f>AVERAGEIFS(clean!T$2:T$998,clean!$B$2:$B$998,$A151,clean!$C$2:$C$998,$B151,clean!$D$2:$D$998,$C151,clean!$E$2:$E$998,$D151,clean!$F$2:$F$998,$E151)</f>
        <v>764478733.33333337</v>
      </c>
      <c r="U151">
        <f>AVERAGEIFS(clean!U$2:U$998,clean!$B$2:$B$998,$A151,clean!$C$2:$C$998,$B151,clean!$D$2:$D$998,$C151,clean!$E$2:$E$998,$D151,clean!$F$2:$F$998,$E151)</f>
        <v>804596223266.66663</v>
      </c>
      <c r="V151">
        <f>AVERAGEIFS(clean!V$2:V$998,clean!$B$2:$B$998,$A151,clean!$C$2:$C$998,$B151,clean!$D$2:$D$998,$C151,clean!$E$2:$E$998,$D151,clean!$F$2:$F$998,$E151)</f>
        <v>4216013898300</v>
      </c>
      <c r="W151">
        <f>AVERAGEIFS(clean!W$2:W$998,clean!$B$2:$B$998,$A151,clean!$C$2:$C$998,$B151,clean!$D$2:$D$998,$C151,clean!$E$2:$E$998,$D151,clean!$F$2:$F$998,$E151)</f>
        <v>3848600</v>
      </c>
      <c r="X151">
        <f t="shared" si="5"/>
        <v>25242239600.000488</v>
      </c>
      <c r="Y151">
        <f>AVERAGEIFS(clean!X$2:X$998,clean!$B$2:$B$998,$A151,clean!$C$2:$C$998,$B151,clean!$D$2:$D$998,$C151,clean!$E$2:$E$998,$D151,clean!$F$2:$F$998,$E151)</f>
        <v>689438423400</v>
      </c>
    </row>
  </sheetData>
  <autoFilter ref="A1:Y151" xr:uid="{00000000-0001-0000-0100-000000000000}">
    <sortState xmlns:xlrd2="http://schemas.microsoft.com/office/spreadsheetml/2017/richdata2" ref="A2:Y151">
      <sortCondition ref="A1:A151"/>
    </sortState>
  </autoFilter>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38419-2B94-417C-B249-938BBFCA0CE2}">
  <dimension ref="A1:AB151"/>
  <sheetViews>
    <sheetView tabSelected="1" workbookViewId="0">
      <selection activeCell="J10" sqref="J10"/>
    </sheetView>
  </sheetViews>
  <sheetFormatPr defaultRowHeight="14.4" x14ac:dyDescent="0.3"/>
  <cols>
    <col min="26" max="26" width="12" bestFit="1" customWidth="1"/>
    <col min="27" max="27" width="9.33203125" customWidth="1"/>
  </cols>
  <sheetData>
    <row r="1" spans="1:28" s="3" customFormat="1" ht="44.4" customHeight="1" x14ac:dyDescent="0.3">
      <c r="A1" s="3" t="s">
        <v>1</v>
      </c>
      <c r="B1" s="3" t="s">
        <v>2</v>
      </c>
      <c r="C1" s="3" t="s">
        <v>3</v>
      </c>
      <c r="D1" s="3" t="s">
        <v>4</v>
      </c>
      <c r="E1" s="3" t="s">
        <v>20</v>
      </c>
      <c r="F1" s="3" t="s">
        <v>21</v>
      </c>
      <c r="G1" s="3" t="s">
        <v>22</v>
      </c>
      <c r="H1" s="3" t="s">
        <v>50</v>
      </c>
      <c r="I1" s="3" t="s">
        <v>8</v>
      </c>
      <c r="J1" s="3" t="s">
        <v>9</v>
      </c>
      <c r="K1" s="6" t="s">
        <v>34</v>
      </c>
      <c r="L1" s="6" t="s">
        <v>35</v>
      </c>
      <c r="M1" s="6" t="s">
        <v>36</v>
      </c>
      <c r="N1" s="6" t="s">
        <v>37</v>
      </c>
      <c r="O1" s="6" t="s">
        <v>38</v>
      </c>
      <c r="P1" s="6" t="s">
        <v>77</v>
      </c>
      <c r="Q1" s="4" t="s">
        <v>39</v>
      </c>
      <c r="R1" s="4" t="s">
        <v>40</v>
      </c>
      <c r="S1" s="4" t="s">
        <v>47</v>
      </c>
      <c r="T1" s="4" t="s">
        <v>41</v>
      </c>
      <c r="U1" s="4" t="s">
        <v>42</v>
      </c>
      <c r="V1" s="5" t="s">
        <v>43</v>
      </c>
      <c r="W1" s="5" t="s">
        <v>44</v>
      </c>
      <c r="X1" s="5" t="s">
        <v>48</v>
      </c>
      <c r="Y1" s="5" t="s">
        <v>45</v>
      </c>
      <c r="Z1" s="5" t="s">
        <v>46</v>
      </c>
      <c r="AA1" s="5" t="s">
        <v>80</v>
      </c>
      <c r="AB1" s="3" t="s">
        <v>49</v>
      </c>
    </row>
    <row r="2" spans="1:28" x14ac:dyDescent="0.3">
      <c r="A2">
        <v>524288</v>
      </c>
      <c r="B2">
        <v>4</v>
      </c>
      <c r="C2">
        <v>125</v>
      </c>
      <c r="D2">
        <v>0.95</v>
      </c>
      <c r="E2">
        <v>13</v>
      </c>
      <c r="F2">
        <v>16383</v>
      </c>
      <c r="G2">
        <v>16400</v>
      </c>
      <c r="H2">
        <f>A2/F2</f>
        <v>32.001953244216566</v>
      </c>
      <c r="I2">
        <v>3502308166.6666665</v>
      </c>
      <c r="J2">
        <v>13498594600</v>
      </c>
      <c r="K2">
        <f>avg!I93/avg!H93</f>
        <v>3.8541995614415998</v>
      </c>
      <c r="L2">
        <f>avg!U93/avg!N93</f>
        <v>2.2907904295567305</v>
      </c>
      <c r="M2">
        <f>avg!V93/avg!Q93</f>
        <v>6.6018726205376197</v>
      </c>
      <c r="N2">
        <f>avg!W93/avg!R93</f>
        <v>0.4461611849552084</v>
      </c>
      <c r="O2">
        <f>avg!T93/avg!K93</f>
        <v>47.334086292970902</v>
      </c>
      <c r="P2">
        <f>avg!X2/avg!S2</f>
        <v>13.304144454526543</v>
      </c>
      <c r="Q2">
        <f>avg!K93/avg!H93</f>
        <v>1.5041794580326526E-3</v>
      </c>
      <c r="R2">
        <f>1-Q2-T2-U2</f>
        <v>0.95331261778839282</v>
      </c>
      <c r="S2">
        <f>avg!N93/avg!H93</f>
        <v>0.7303390635385264</v>
      </c>
      <c r="T2">
        <f>avg!Q93/avg!H93</f>
        <v>4.4006036209739585E-2</v>
      </c>
      <c r="U2">
        <f>avg!R93/avg!H93</f>
        <v>1.1771665438349728E-3</v>
      </c>
      <c r="V2">
        <f>avg!T93/avg!I93</f>
        <v>1.8473086079642691E-2</v>
      </c>
      <c r="W2">
        <f>1-V2-Y2-Z2</f>
        <v>0.90601254395278552</v>
      </c>
      <c r="X2">
        <f>avg!U93/avg!I93</f>
        <v>0.43408591340810154</v>
      </c>
      <c r="Y2">
        <f>avg!V93/avg!I93</f>
        <v>7.5378101460527855E-2</v>
      </c>
      <c r="Z2">
        <f>avg!W93/avg!I93</f>
        <v>1.3626850704393577E-4</v>
      </c>
      <c r="AA2">
        <f>W2-X2</f>
        <v>0.47192663054468398</v>
      </c>
      <c r="AB2">
        <f>Y2/W2</f>
        <v>8.3197635577610715E-2</v>
      </c>
    </row>
    <row r="3" spans="1:28" x14ac:dyDescent="0.3">
      <c r="A3">
        <v>65536</v>
      </c>
      <c r="B3">
        <v>4</v>
      </c>
      <c r="C3">
        <v>125</v>
      </c>
      <c r="D3">
        <v>0.95</v>
      </c>
      <c r="E3">
        <v>10</v>
      </c>
      <c r="F3">
        <v>2047</v>
      </c>
      <c r="G3">
        <v>2052</v>
      </c>
      <c r="H3">
        <f t="shared" ref="H3:H66" si="0">A3/F3</f>
        <v>32.015632633121641</v>
      </c>
      <c r="I3">
        <v>553755933.33333337</v>
      </c>
      <c r="J3">
        <v>1644916433.3333333</v>
      </c>
      <c r="K3">
        <f>avg!I2/avg!H2</f>
        <v>2.9704718889994735</v>
      </c>
      <c r="L3">
        <f>avg!U2/avg!N2</f>
        <v>1.5619456610141358</v>
      </c>
      <c r="M3">
        <f>avg!V2/avg!Q2</f>
        <v>6.0013574702704711</v>
      </c>
      <c r="N3">
        <f>avg!W2/avg!R2</f>
        <v>0.21230482405033793</v>
      </c>
      <c r="O3">
        <f>avg!T2/avg!K2</f>
        <v>30.827991817251959</v>
      </c>
      <c r="P3">
        <f>avg!X3/avg!S3</f>
        <v>13.502565671992119</v>
      </c>
      <c r="Q3">
        <f>avg!K2/avg!H2</f>
        <v>1.4124152650162726E-3</v>
      </c>
      <c r="R3">
        <f>1-Q3-T3-U3</f>
        <v>0.95845119010914437</v>
      </c>
      <c r="S3">
        <f>avg!N2/avg!H2</f>
        <v>0.85655503585875792</v>
      </c>
      <c r="T3">
        <f>avg!Q2/avg!H2</f>
        <v>3.8844911097416078E-2</v>
      </c>
      <c r="U3">
        <f>avg!R2/avg!H2</f>
        <v>1.2914835284232921E-3</v>
      </c>
      <c r="V3">
        <f>avg!T2/avg!I2</f>
        <v>1.4658252243938715E-2</v>
      </c>
      <c r="W3">
        <f>1-V3-Y3-Z3</f>
        <v>0.90676959009852853</v>
      </c>
      <c r="X3">
        <f>avg!U2/avg!I2</f>
        <v>0.45039726739512381</v>
      </c>
      <c r="Y3">
        <f>avg!V2/avg!I2</f>
        <v>7.8479853069739536E-2</v>
      </c>
      <c r="Z3">
        <f>avg!W2/avg!I2</f>
        <v>9.2304587793345453E-5</v>
      </c>
      <c r="AA3">
        <f t="shared" ref="AA3:AA66" si="1">W3-X3</f>
        <v>0.45637232270340472</v>
      </c>
      <c r="AB3">
        <f t="shared" ref="AB3:AB66" si="2">Y3/W3</f>
        <v>8.6548836580648894E-2</v>
      </c>
    </row>
    <row r="4" spans="1:28" x14ac:dyDescent="0.3">
      <c r="A4">
        <v>131072</v>
      </c>
      <c r="B4">
        <v>5</v>
      </c>
      <c r="C4">
        <v>216</v>
      </c>
      <c r="D4">
        <v>0.95</v>
      </c>
      <c r="E4">
        <v>10</v>
      </c>
      <c r="F4">
        <v>2047</v>
      </c>
      <c r="G4">
        <v>2048</v>
      </c>
      <c r="H4">
        <f t="shared" si="0"/>
        <v>64.031265266243281</v>
      </c>
      <c r="I4">
        <v>1578618800</v>
      </c>
      <c r="J4">
        <v>5131480266.666667</v>
      </c>
      <c r="K4">
        <f>avg!I32/avg!H32</f>
        <v>3.2506139333109849</v>
      </c>
      <c r="L4">
        <f>avg!U32/avg!N32</f>
        <v>1.5931679912250871</v>
      </c>
      <c r="M4">
        <f>avg!V32/avg!Q32</f>
        <v>6.9645128289256331</v>
      </c>
      <c r="N4">
        <f>avg!W32/avg!R32</f>
        <v>0.31766638834271549</v>
      </c>
      <c r="O4">
        <f>avg!T32/avg!K32</f>
        <v>52.038582709381778</v>
      </c>
      <c r="P4">
        <f>avg!X4/avg!S4</f>
        <v>15.478041601196693</v>
      </c>
      <c r="Q4">
        <f>avg!K32/avg!H32</f>
        <v>5.1608406031905865E-4</v>
      </c>
      <c r="R4">
        <f>1-Q4-T4-U4</f>
        <v>0.95236293482209466</v>
      </c>
      <c r="S4">
        <f>avg!N32/avg!H32</f>
        <v>0.85935544836199007</v>
      </c>
      <c r="T4">
        <f>avg!Q32/avg!H32</f>
        <v>4.6337025759480378E-2</v>
      </c>
      <c r="U4">
        <f>avg!R32/avg!H32</f>
        <v>7.8395535810587506E-4</v>
      </c>
      <c r="V4">
        <f>avg!T32/avg!I32</f>
        <v>8.2619110140070822E-3</v>
      </c>
      <c r="W4">
        <f>1-V4-Y4-Z4</f>
        <v>0.89238336607848723</v>
      </c>
      <c r="X4">
        <f>avg!U32/avg!I32</f>
        <v>0.42118123576141847</v>
      </c>
      <c r="Y4">
        <f>avg!V32/avg!I32</f>
        <v>9.9278110835958389E-2</v>
      </c>
      <c r="Z4">
        <f>avg!W32/avg!I32</f>
        <v>7.6612071547282182E-5</v>
      </c>
      <c r="AA4">
        <f t="shared" si="1"/>
        <v>0.47120213031706876</v>
      </c>
      <c r="AB4">
        <f t="shared" si="2"/>
        <v>0.11125051699722813</v>
      </c>
    </row>
    <row r="5" spans="1:28" x14ac:dyDescent="0.3">
      <c r="A5">
        <v>1048576</v>
      </c>
      <c r="B5">
        <v>5</v>
      </c>
      <c r="C5">
        <v>216</v>
      </c>
      <c r="D5">
        <v>0.95</v>
      </c>
      <c r="E5">
        <v>13</v>
      </c>
      <c r="F5">
        <v>16383</v>
      </c>
      <c r="G5">
        <v>16384</v>
      </c>
      <c r="H5">
        <f t="shared" si="0"/>
        <v>64.003906488433131</v>
      </c>
      <c r="I5">
        <v>11699558900</v>
      </c>
      <c r="J5">
        <v>39534741033.333336</v>
      </c>
      <c r="K5">
        <f>avg!I122/avg!H122</f>
        <v>3.3791650925688606</v>
      </c>
      <c r="L5">
        <f>avg!U122/avg!N122</f>
        <v>1.8269683748228818</v>
      </c>
      <c r="M5">
        <f>avg!V122/avg!Q122</f>
        <v>7.0827108080388586</v>
      </c>
      <c r="N5">
        <f>avg!W122/avg!R122</f>
        <v>0.46019193356961363</v>
      </c>
      <c r="O5">
        <f>avg!T122/avg!K122</f>
        <v>157.45589682823305</v>
      </c>
      <c r="P5">
        <f>avg!X5/avg!S5</f>
        <v>9.9231163886782383</v>
      </c>
      <c r="Q5">
        <f>avg!K122/avg!H122</f>
        <v>4.5443593604199901E-4</v>
      </c>
      <c r="R5">
        <f>1-Q5-T5-U5</f>
        <v>0.94933589333867963</v>
      </c>
      <c r="S5">
        <f>avg!N122/avg!H122</f>
        <v>0.80828927091715685</v>
      </c>
      <c r="T5">
        <f>avg!Q122/avg!H122</f>
        <v>4.9511100229029437E-2</v>
      </c>
      <c r="U5">
        <f>avg!R122/avg!H122</f>
        <v>6.9857049624893694E-4</v>
      </c>
      <c r="V5">
        <f>avg!T122/avg!I122</f>
        <v>2.1174939933483697E-2</v>
      </c>
      <c r="W5">
        <f>1-V5-Y5-Z5</f>
        <v>0.8749549407908056</v>
      </c>
      <c r="X5">
        <f>avg!U122/avg!I122</f>
        <v>0.43700704026617415</v>
      </c>
      <c r="Y5">
        <f>avg!V122/avg!I122</f>
        <v>0.10377498438333432</v>
      </c>
      <c r="Z5">
        <f>avg!W122/avg!I122</f>
        <v>9.5134892376357543E-5</v>
      </c>
      <c r="AA5">
        <f t="shared" si="1"/>
        <v>0.43794790052463145</v>
      </c>
      <c r="AB5">
        <f t="shared" si="2"/>
        <v>0.11860608991994487</v>
      </c>
    </row>
    <row r="6" spans="1:28" x14ac:dyDescent="0.3">
      <c r="A6">
        <v>65536</v>
      </c>
      <c r="B6">
        <v>3</v>
      </c>
      <c r="C6">
        <v>64</v>
      </c>
      <c r="D6">
        <v>0.95</v>
      </c>
      <c r="E6">
        <v>10</v>
      </c>
      <c r="F6">
        <v>2047</v>
      </c>
      <c r="G6">
        <v>2049.3333333333335</v>
      </c>
      <c r="H6">
        <f t="shared" si="0"/>
        <v>32.015632633121641</v>
      </c>
      <c r="I6">
        <v>300519066.66666669</v>
      </c>
      <c r="J6">
        <v>798907066.66666663</v>
      </c>
      <c r="K6">
        <f>avg!I3/avg!H3</f>
        <v>2.6584238914624603</v>
      </c>
      <c r="L6">
        <f>avg!U3/avg!N3</f>
        <v>0.85952265202190503</v>
      </c>
      <c r="M6">
        <f>avg!V3/avg!Q3</f>
        <v>4.9504329778667451</v>
      </c>
      <c r="N6">
        <f>avg!W3/avg!R3</f>
        <v>0.21571937722753706</v>
      </c>
      <c r="O6">
        <f>avg!T3/avg!K3</f>
        <v>19.340742397137745</v>
      </c>
      <c r="P6">
        <f>avg!X6/avg!S6</f>
        <v>17.601191349118572</v>
      </c>
      <c r="Q6">
        <f>avg!K3/avg!H3</f>
        <v>2.4801532282144718E-3</v>
      </c>
      <c r="R6">
        <f>1-Q6-T6-U6</f>
        <v>0.91237084014192327</v>
      </c>
      <c r="S6">
        <f>avg!N3/avg!H3</f>
        <v>0.80037827882690082</v>
      </c>
      <c r="T6">
        <f>avg!Q3/avg!H3</f>
        <v>8.2783765688965713E-2</v>
      </c>
      <c r="U6">
        <f>avg!R3/avg!H3</f>
        <v>2.3652409408964842E-3</v>
      </c>
      <c r="V6">
        <f>avg!T3/avg!I3</f>
        <v>1.804377580504566E-2</v>
      </c>
      <c r="W6">
        <f>1-V6-Y6-Z6</f>
        <v>0.82760698240579667</v>
      </c>
      <c r="X6">
        <f>avg!U3/avg!I3</f>
        <v>0.25877861805536662</v>
      </c>
      <c r="Y6">
        <f>avg!V3/avg!I3</f>
        <v>0.15415731291566162</v>
      </c>
      <c r="Z6">
        <f>avg!W3/avg!I3</f>
        <v>1.9192887349600782E-4</v>
      </c>
      <c r="AA6">
        <f t="shared" si="1"/>
        <v>0.56882836435043005</v>
      </c>
      <c r="AB6">
        <f t="shared" si="2"/>
        <v>0.18626874373091548</v>
      </c>
    </row>
    <row r="7" spans="1:28" x14ac:dyDescent="0.3">
      <c r="A7">
        <v>65536</v>
      </c>
      <c r="B7">
        <v>4</v>
      </c>
      <c r="C7">
        <v>125</v>
      </c>
      <c r="D7">
        <v>0.8</v>
      </c>
      <c r="E7">
        <v>10</v>
      </c>
      <c r="F7">
        <v>2047</v>
      </c>
      <c r="G7">
        <v>6705.333333333333</v>
      </c>
      <c r="H7">
        <f t="shared" si="0"/>
        <v>32.015632633121641</v>
      </c>
      <c r="I7">
        <v>680044100</v>
      </c>
      <c r="J7">
        <v>2475598666.6666665</v>
      </c>
      <c r="K7">
        <f>avg!I4/avg!H4</f>
        <v>3.6403501870932584</v>
      </c>
      <c r="L7">
        <f>avg!U4/avg!N4</f>
        <v>2.1509680320094073</v>
      </c>
      <c r="M7">
        <f>avg!V4/avg!Q4</f>
        <v>6.2106878578872982</v>
      </c>
      <c r="N7">
        <f>avg!W4/avg!R4</f>
        <v>0.22077863080906737</v>
      </c>
      <c r="O7">
        <f>avg!T4/avg!K4</f>
        <v>13.821224158551171</v>
      </c>
      <c r="P7">
        <f>avg!X7/avg!S7</f>
        <v>14.343863158320444</v>
      </c>
      <c r="Q7">
        <f>avg!K4/avg!H4</f>
        <v>2.2951452707258252E-3</v>
      </c>
      <c r="R7">
        <f>1-Q7-T7-U7</f>
        <v>0.90261102184402442</v>
      </c>
      <c r="S7">
        <f>avg!N4/avg!H4</f>
        <v>0.82134741947862888</v>
      </c>
      <c r="T7">
        <f>avg!Q4/avg!H4</f>
        <v>9.4014834234034728E-2</v>
      </c>
      <c r="U7">
        <f>avg!R4/avg!H4</f>
        <v>1.0789986512149236E-3</v>
      </c>
      <c r="V7">
        <f>avg!T4/avg!I4</f>
        <v>8.7139191651420082E-3</v>
      </c>
      <c r="W7">
        <f>1-V7-Y7-Z7</f>
        <v>0.83082486714324733</v>
      </c>
      <c r="X7">
        <f>avg!U4/avg!I4</f>
        <v>0.48530826752209166</v>
      </c>
      <c r="Y7">
        <f>avg!V4/avg!I4</f>
        <v>0.1603957749748344</v>
      </c>
      <c r="Z7">
        <f>avg!W4/avg!I4</f>
        <v>6.5438716776386487E-5</v>
      </c>
      <c r="AA7">
        <f t="shared" si="1"/>
        <v>0.34551659962115566</v>
      </c>
      <c r="AB7">
        <f t="shared" si="2"/>
        <v>0.1930560594874198</v>
      </c>
    </row>
    <row r="8" spans="1:28" x14ac:dyDescent="0.3">
      <c r="A8">
        <v>262144</v>
      </c>
      <c r="B8">
        <v>6</v>
      </c>
      <c r="C8">
        <v>343</v>
      </c>
      <c r="D8">
        <v>0.95</v>
      </c>
      <c r="E8">
        <v>10</v>
      </c>
      <c r="F8">
        <v>2047</v>
      </c>
      <c r="G8">
        <v>2048</v>
      </c>
      <c r="H8">
        <f t="shared" si="0"/>
        <v>128.06253053248656</v>
      </c>
      <c r="I8">
        <v>5852622566.666667</v>
      </c>
      <c r="J8">
        <v>13190028333.333334</v>
      </c>
      <c r="K8">
        <f>avg!I66/avg!H66</f>
        <v>2.2536953618804176</v>
      </c>
      <c r="L8">
        <f>avg!U66/avg!N66</f>
        <v>1.1231910310173769</v>
      </c>
      <c r="M8">
        <f>avg!V66/avg!Q66</f>
        <v>7.4916516255545549</v>
      </c>
      <c r="N8">
        <f>avg!W66/avg!R66</f>
        <v>0.41662466133198917</v>
      </c>
      <c r="O8">
        <f>avg!T66/avg!K66</f>
        <v>94.31510673940123</v>
      </c>
      <c r="P8">
        <f>avg!X8/avg!S8</f>
        <v>13.090285714285709</v>
      </c>
      <c r="Q8">
        <f>avg!K66/avg!H66</f>
        <v>1.32595827681285E-4</v>
      </c>
      <c r="R8">
        <f>1-Q8-T8-U8</f>
        <v>0.9509554397656157</v>
      </c>
      <c r="S8">
        <f>avg!N66/avg!H66</f>
        <v>0.81463682517666991</v>
      </c>
      <c r="T8">
        <f>avg!Q66/avg!H66</f>
        <v>4.8550394305568206E-2</v>
      </c>
      <c r="U8">
        <f>avg!R66/avg!H66</f>
        <v>3.6157010113477506E-4</v>
      </c>
      <c r="V8">
        <f>avg!T66/avg!I66</f>
        <v>5.5490151208924619E-3</v>
      </c>
      <c r="W8">
        <f>1-V8-Y8-Z8</f>
        <v>0.83299470041573076</v>
      </c>
      <c r="X8">
        <f>avg!U66/avg!I66</f>
        <v>0.4059966537853027</v>
      </c>
      <c r="Y8">
        <f>avg!V66/avg!I66</f>
        <v>0.16138944356576437</v>
      </c>
      <c r="Z8">
        <f>avg!W66/avg!I66</f>
        <v>6.684089761242615E-5</v>
      </c>
      <c r="AA8">
        <f t="shared" si="1"/>
        <v>0.42699804663042806</v>
      </c>
      <c r="AB8">
        <f t="shared" si="2"/>
        <v>0.19374606283235438</v>
      </c>
    </row>
    <row r="9" spans="1:28" x14ac:dyDescent="0.3">
      <c r="A9">
        <v>524288</v>
      </c>
      <c r="B9">
        <v>4</v>
      </c>
      <c r="C9">
        <v>125</v>
      </c>
      <c r="D9">
        <v>0.8</v>
      </c>
      <c r="E9">
        <v>13</v>
      </c>
      <c r="F9">
        <v>16383</v>
      </c>
      <c r="G9">
        <v>55018.666666666664</v>
      </c>
      <c r="H9">
        <f t="shared" si="0"/>
        <v>32.001953244216566</v>
      </c>
      <c r="I9">
        <v>4531425433.333333</v>
      </c>
      <c r="J9">
        <v>20240340933.333332</v>
      </c>
      <c r="K9">
        <f>avg!I95/avg!H95</f>
        <v>4.4666609284673724</v>
      </c>
      <c r="L9">
        <f>avg!U95/avg!N95</f>
        <v>3.0719225809783404</v>
      </c>
      <c r="M9">
        <f>avg!V95/avg!Q95</f>
        <v>6.7580102198719096</v>
      </c>
      <c r="N9">
        <f>avg!W95/avg!R95</f>
        <v>0.45630594629156013</v>
      </c>
      <c r="O9">
        <f>avg!T95/avg!K95</f>
        <v>40.603249435147966</v>
      </c>
      <c r="P9">
        <f>avg!X9/avg!S9</f>
        <v>16.395846715481028</v>
      </c>
      <c r="Q9">
        <f>avg!K95/avg!H95</f>
        <v>2.9334183828527895E-3</v>
      </c>
      <c r="R9">
        <f>1-Q9-T9-U9</f>
        <v>0.88778652380340395</v>
      </c>
      <c r="S9">
        <f>avg!N95/avg!H95</f>
        <v>0.71619251257972449</v>
      </c>
      <c r="T9">
        <f>avg!Q95/avg!H95</f>
        <v>0.10835967045925057</v>
      </c>
      <c r="U9">
        <f>avg!R95/avg!H95</f>
        <v>9.2038735449271399E-4</v>
      </c>
      <c r="V9">
        <f>avg!T95/avg!I95</f>
        <v>2.6665627905068819E-2</v>
      </c>
      <c r="W9">
        <f>1-V9-Y9-Z9</f>
        <v>0.80929332435421364</v>
      </c>
      <c r="X9">
        <f>avg!U95/avg!I95</f>
        <v>0.49255763689145238</v>
      </c>
      <c r="Y9">
        <f>avg!V95/avg!I95</f>
        <v>0.16394702264468444</v>
      </c>
      <c r="Z9">
        <f>avg!W95/avg!I95</f>
        <v>9.4025096033132044E-5</v>
      </c>
      <c r="AA9">
        <f t="shared" si="1"/>
        <v>0.31673568746276126</v>
      </c>
      <c r="AB9">
        <f t="shared" si="2"/>
        <v>0.20258047077740093</v>
      </c>
    </row>
    <row r="10" spans="1:28" x14ac:dyDescent="0.3">
      <c r="A10">
        <v>131072</v>
      </c>
      <c r="B10">
        <v>4</v>
      </c>
      <c r="C10">
        <v>125</v>
      </c>
      <c r="D10">
        <v>0.95</v>
      </c>
      <c r="E10">
        <v>11</v>
      </c>
      <c r="F10">
        <v>4095</v>
      </c>
      <c r="G10">
        <v>8192</v>
      </c>
      <c r="H10">
        <f t="shared" si="0"/>
        <v>32.007814407814408</v>
      </c>
      <c r="I10">
        <v>787174733.33333337</v>
      </c>
      <c r="J10">
        <v>3005159266.6666665</v>
      </c>
      <c r="K10">
        <f>avg!I33/avg!H33</f>
        <v>3.8176520909673504</v>
      </c>
      <c r="L10">
        <f>avg!U33/avg!N33</f>
        <v>1.2235802737971162</v>
      </c>
      <c r="M10">
        <f>avg!V33/avg!Q33</f>
        <v>6.7385610502455959</v>
      </c>
      <c r="N10">
        <f>avg!W33/avg!R33</f>
        <v>0.27696521784071532</v>
      </c>
      <c r="O10">
        <f>avg!T33/avg!K33</f>
        <v>30.123885350318467</v>
      </c>
      <c r="P10">
        <f>avg!X10/avg!S10</f>
        <v>13.921045996546125</v>
      </c>
      <c r="Q10">
        <f>avg!K33/avg!H33</f>
        <v>1.7285446407875049E-3</v>
      </c>
      <c r="R10">
        <f>1-Q10-T10-U10</f>
        <v>0.90333632829170241</v>
      </c>
      <c r="S10">
        <f>avg!N33/avg!H33</f>
        <v>0.76423819836358231</v>
      </c>
      <c r="T10">
        <f>avg!Q33/avg!H33</f>
        <v>9.3296439646902624E-2</v>
      </c>
      <c r="U10">
        <f>avg!R33/avg!H33</f>
        <v>1.6386874206074193E-3</v>
      </c>
      <c r="V10">
        <f>avg!T33/avg!I33</f>
        <v>1.3639399123139098E-2</v>
      </c>
      <c r="W10">
        <f>1-V10-Y10-Z10</f>
        <v>0.82156360032299125</v>
      </c>
      <c r="X10">
        <f>avg!U33/avg!I33</f>
        <v>0.24494290252702972</v>
      </c>
      <c r="Y10">
        <f>avg!V33/avg!I33</f>
        <v>0.16467811611715136</v>
      </c>
      <c r="Z10">
        <f>avg!W33/avg!I33</f>
        <v>1.1888443671837339E-4</v>
      </c>
      <c r="AA10">
        <f t="shared" si="1"/>
        <v>0.57662069779596159</v>
      </c>
      <c r="AB10">
        <f t="shared" si="2"/>
        <v>0.20044475686655233</v>
      </c>
    </row>
    <row r="11" spans="1:28" x14ac:dyDescent="0.3">
      <c r="A11">
        <v>1048576</v>
      </c>
      <c r="B11">
        <v>4</v>
      </c>
      <c r="C11">
        <v>125</v>
      </c>
      <c r="D11">
        <v>0.95</v>
      </c>
      <c r="E11">
        <v>14</v>
      </c>
      <c r="F11">
        <v>32767</v>
      </c>
      <c r="G11">
        <v>65536</v>
      </c>
      <c r="H11">
        <f t="shared" si="0"/>
        <v>32.000976592303232</v>
      </c>
      <c r="I11">
        <v>5915642300</v>
      </c>
      <c r="J11">
        <v>23327100800</v>
      </c>
      <c r="K11">
        <f>avg!I124/avg!H124</f>
        <v>3.9432912973794916</v>
      </c>
      <c r="L11">
        <f>avg!U124/avg!N124</f>
        <v>1.4768297738052916</v>
      </c>
      <c r="M11">
        <f>avg!V124/avg!Q124</f>
        <v>6.8504183808630525</v>
      </c>
      <c r="N11">
        <f>avg!W124/avg!R124</f>
        <v>0.47343848737818867</v>
      </c>
      <c r="O11">
        <f>avg!T124/avg!K124</f>
        <v>84.740792775683815</v>
      </c>
      <c r="P11">
        <f>avg!X11/avg!S11</f>
        <v>15.802338270898126</v>
      </c>
      <c r="Q11">
        <f>avg!K124/avg!H124</f>
        <v>1.7446457166620775E-3</v>
      </c>
      <c r="R11">
        <f>1-Q11-T11-U11</f>
        <v>0.8985259132385337</v>
      </c>
      <c r="S11">
        <f>avg!N124/avg!H124</f>
        <v>0.67196702658419127</v>
      </c>
      <c r="T11">
        <f>avg!Q124/avg!H124</f>
        <v>9.8374073992495009E-2</v>
      </c>
      <c r="U11">
        <f>avg!R124/avg!H124</f>
        <v>1.3553670523092085E-3</v>
      </c>
      <c r="V11">
        <f>avg!T124/avg!I124</f>
        <v>3.7492198773368353E-2</v>
      </c>
      <c r="W11">
        <f>1-V11-Y11-Z11</f>
        <v>0.79144632066750442</v>
      </c>
      <c r="X11">
        <f>avg!U124/avg!I124</f>
        <v>0.2516630999425355</v>
      </c>
      <c r="Y11">
        <f>avg!V124/avg!I124</f>
        <v>0.17089875280743561</v>
      </c>
      <c r="Z11">
        <f>avg!W124/avg!I124</f>
        <v>1.6272775169157182E-4</v>
      </c>
      <c r="AA11">
        <f t="shared" si="1"/>
        <v>0.53978322072496887</v>
      </c>
      <c r="AB11">
        <f t="shared" si="2"/>
        <v>0.21593220960746889</v>
      </c>
    </row>
    <row r="12" spans="1:28" x14ac:dyDescent="0.3">
      <c r="A12">
        <v>524288</v>
      </c>
      <c r="B12">
        <v>3</v>
      </c>
      <c r="C12">
        <v>64</v>
      </c>
      <c r="D12">
        <v>0.95</v>
      </c>
      <c r="E12">
        <v>13</v>
      </c>
      <c r="F12">
        <v>16383</v>
      </c>
      <c r="G12">
        <v>16398.666666666668</v>
      </c>
      <c r="H12">
        <f t="shared" si="0"/>
        <v>32.001953244216566</v>
      </c>
      <c r="I12">
        <v>1407393033.3333333</v>
      </c>
      <c r="J12">
        <v>5789837700</v>
      </c>
      <c r="K12">
        <f>avg!I92/avg!H92</f>
        <v>4.1138740656453914</v>
      </c>
      <c r="L12">
        <f>avg!U92/avg!N92</f>
        <v>1.6782757306213725</v>
      </c>
      <c r="M12">
        <f>avg!V92/avg!Q92</f>
        <v>6.6761181790299418</v>
      </c>
      <c r="N12">
        <f>avg!W92/avg!R92</f>
        <v>0.44751835346640773</v>
      </c>
      <c r="O12">
        <f>avg!T92/avg!K92</f>
        <v>25.946547464793152</v>
      </c>
      <c r="P12">
        <f>avg!X12/avg!S12</f>
        <v>15.953999755122085</v>
      </c>
      <c r="Q12">
        <f>avg!K92/avg!H92</f>
        <v>5.2825565831634193E-3</v>
      </c>
      <c r="R12">
        <f>1-Q12-T12-U12</f>
        <v>0.88243222557754586</v>
      </c>
      <c r="S12">
        <f>avg!N92/avg!H92</f>
        <v>0.67673765899698568</v>
      </c>
      <c r="T12">
        <f>avg!Q92/avg!H92</f>
        <v>0.10934619045411882</v>
      </c>
      <c r="U12">
        <f>avg!R92/avg!H92</f>
        <v>2.9390273851717945E-3</v>
      </c>
      <c r="V12">
        <f>avg!T92/avg!I92</f>
        <v>3.3317525751484653E-2</v>
      </c>
      <c r="W12">
        <f>1-V12-Y12-Z12</f>
        <v>0.78891248252664037</v>
      </c>
      <c r="X12">
        <f>avg!U92/avg!I92</f>
        <v>0.2760785505265545</v>
      </c>
      <c r="Y12">
        <f>avg!V92/avg!I92</f>
        <v>0.17745027636957769</v>
      </c>
      <c r="Z12">
        <f>avg!W92/avg!I92</f>
        <v>3.1971535229735371E-4</v>
      </c>
      <c r="AA12">
        <f t="shared" si="1"/>
        <v>0.51283393200008587</v>
      </c>
      <c r="AB12">
        <f t="shared" si="2"/>
        <v>0.22493024296086667</v>
      </c>
    </row>
    <row r="13" spans="1:28" x14ac:dyDescent="0.3">
      <c r="A13">
        <v>1048576</v>
      </c>
      <c r="B13">
        <v>4</v>
      </c>
      <c r="C13">
        <v>125</v>
      </c>
      <c r="D13">
        <v>0.8</v>
      </c>
      <c r="E13">
        <v>14</v>
      </c>
      <c r="F13">
        <v>32767</v>
      </c>
      <c r="G13">
        <v>115997.33333333333</v>
      </c>
      <c r="H13">
        <f t="shared" si="0"/>
        <v>32.000976592303232</v>
      </c>
      <c r="I13">
        <v>8292799566.666667</v>
      </c>
      <c r="J13">
        <v>37694101366.666664</v>
      </c>
      <c r="K13">
        <f>avg!I126/avg!H126</f>
        <v>4.5454012319530834</v>
      </c>
      <c r="L13">
        <f>avg!U126/avg!N126</f>
        <v>2.8897326988053291</v>
      </c>
      <c r="M13">
        <f>avg!V126/avg!Q126</f>
        <v>6.808521625248046</v>
      </c>
      <c r="N13">
        <f>avg!W126/avg!R126</f>
        <v>0.44391418494678075</v>
      </c>
      <c r="O13">
        <f>avg!T126/avg!K126</f>
        <v>35.212383383653886</v>
      </c>
      <c r="P13">
        <f>avg!X13/avg!S13</f>
        <v>1.7991684189692756</v>
      </c>
      <c r="Q13">
        <f>avg!K126/avg!H126</f>
        <v>2.9302247656317207E-3</v>
      </c>
      <c r="R13">
        <f>1-Q13-T13-U13</f>
        <v>0.87082425043698641</v>
      </c>
      <c r="S13">
        <f>avg!N126/avg!H126</f>
        <v>0.70859651027298631</v>
      </c>
      <c r="T13">
        <f>avg!Q126/avg!H126</f>
        <v>0.12522891595912883</v>
      </c>
      <c r="U13">
        <f>avg!R126/avg!H126</f>
        <v>1.0166088382529219E-3</v>
      </c>
      <c r="V13">
        <f>avg!T126/avg!I126</f>
        <v>2.2699909773062365E-2</v>
      </c>
      <c r="W13">
        <f>1-V13-Y13-Z13</f>
        <v>0.78962137365929397</v>
      </c>
      <c r="X13">
        <f>avg!U126/avg!I126</f>
        <v>0.45048927509428066</v>
      </c>
      <c r="Y13">
        <f>avg!V126/avg!I126</f>
        <v>0.18757943224469548</v>
      </c>
      <c r="Z13">
        <f>avg!W126/avg!I126</f>
        <v>9.9284322948279942E-5</v>
      </c>
      <c r="AA13">
        <f t="shared" si="1"/>
        <v>0.33913209856501331</v>
      </c>
      <c r="AB13">
        <f t="shared" si="2"/>
        <v>0.23755617375883278</v>
      </c>
    </row>
    <row r="14" spans="1:28" x14ac:dyDescent="0.3">
      <c r="A14">
        <v>131072</v>
      </c>
      <c r="B14">
        <v>4</v>
      </c>
      <c r="C14">
        <v>125</v>
      </c>
      <c r="D14">
        <v>0.8</v>
      </c>
      <c r="E14">
        <v>11</v>
      </c>
      <c r="F14">
        <v>4095</v>
      </c>
      <c r="G14">
        <v>14538.666666666666</v>
      </c>
      <c r="H14">
        <f t="shared" si="0"/>
        <v>32.007814407814408</v>
      </c>
      <c r="I14">
        <v>1160579633.3333333</v>
      </c>
      <c r="J14">
        <v>4664066133.333333</v>
      </c>
      <c r="K14">
        <f>avg!I35/avg!H35</f>
        <v>4.0187385676737559</v>
      </c>
      <c r="L14">
        <f>avg!U35/avg!N35</f>
        <v>2.3184144047814925</v>
      </c>
      <c r="M14">
        <f>avg!V35/avg!Q35</f>
        <v>6.7563061015938874</v>
      </c>
      <c r="N14">
        <f>avg!W35/avg!R35</f>
        <v>0.28757214875429238</v>
      </c>
      <c r="O14">
        <f>avg!T35/avg!K35</f>
        <v>14.514471692066264</v>
      </c>
      <c r="P14">
        <f>avg!X14/avg!S14</f>
        <v>2.1293397506051006</v>
      </c>
      <c r="Q14">
        <f>avg!K35/avg!H35</f>
        <v>2.5989025196576348E-3</v>
      </c>
      <c r="R14">
        <f>1-Q14-T14-U14</f>
        <v>0.883854874930455</v>
      </c>
      <c r="S14">
        <f>avg!N35/avg!H35</f>
        <v>0.78412737956887002</v>
      </c>
      <c r="T14">
        <f>avg!Q35/avg!H35</f>
        <v>0.11236689804626074</v>
      </c>
      <c r="U14">
        <f>avg!R35/avg!H35</f>
        <v>1.1793245036266218E-3</v>
      </c>
      <c r="V14">
        <f>avg!T35/avg!I35</f>
        <v>9.3864520960480393E-3</v>
      </c>
      <c r="W14">
        <f>1-V14-Y14-Z14</f>
        <v>0.80161785012996956</v>
      </c>
      <c r="X14">
        <f>avg!U35/avg!I35</f>
        <v>0.45236389015181494</v>
      </c>
      <c r="Y14">
        <f>avg!V35/avg!I35</f>
        <v>0.1889113078899739</v>
      </c>
      <c r="Z14">
        <f>avg!W35/avg!I35</f>
        <v>8.4389884008505769E-5</v>
      </c>
      <c r="AA14">
        <f t="shared" si="1"/>
        <v>0.34925395997815462</v>
      </c>
      <c r="AB14">
        <f t="shared" si="2"/>
        <v>0.23566255150049983</v>
      </c>
    </row>
    <row r="15" spans="1:28" x14ac:dyDescent="0.3">
      <c r="A15">
        <v>65536</v>
      </c>
      <c r="B15">
        <v>4</v>
      </c>
      <c r="C15">
        <v>125</v>
      </c>
      <c r="D15">
        <v>0.65</v>
      </c>
      <c r="E15">
        <v>10</v>
      </c>
      <c r="F15">
        <v>2047</v>
      </c>
      <c r="G15">
        <v>11972</v>
      </c>
      <c r="H15">
        <f t="shared" si="0"/>
        <v>32.015632633121641</v>
      </c>
      <c r="I15">
        <v>836841933.33333337</v>
      </c>
      <c r="J15">
        <v>3728202800</v>
      </c>
      <c r="K15">
        <f>avg!I6/avg!H6</f>
        <v>4.4550860222189312</v>
      </c>
      <c r="L15">
        <f>avg!U6/avg!N6</f>
        <v>3.0146366029461573</v>
      </c>
      <c r="M15">
        <f>avg!V6/avg!Q6</f>
        <v>6.7265992322369392</v>
      </c>
      <c r="N15">
        <f>avg!W6/avg!R6</f>
        <v>0.19880542154835748</v>
      </c>
      <c r="O15">
        <f>avg!T6/avg!K6</f>
        <v>9.1630927248143852</v>
      </c>
      <c r="P15">
        <f>avg!X15/avg!S15</f>
        <v>11.379104353218892</v>
      </c>
      <c r="Q15">
        <f>avg!K6/avg!H6</f>
        <v>3.3584199772015884E-3</v>
      </c>
      <c r="R15">
        <f>1-Q15-T15-U15</f>
        <v>0.86984913678242226</v>
      </c>
      <c r="S15">
        <f>avg!N6/avg!H6</f>
        <v>0.80439085708659119</v>
      </c>
      <c r="T15">
        <f>avg!Q6/avg!H6</f>
        <v>0.12592549337672609</v>
      </c>
      <c r="U15">
        <f>avg!R6/avg!H6</f>
        <v>8.669498636500768E-4</v>
      </c>
      <c r="V15">
        <f>avg!T6/avg!I6</f>
        <v>6.9075015625938239E-3</v>
      </c>
      <c r="W15">
        <f>1-V15-Y15-Z15</f>
        <v>0.80292272906041129</v>
      </c>
      <c r="X15">
        <f>avg!U6/avg!I6</f>
        <v>0.54430960676280804</v>
      </c>
      <c r="Y15">
        <f>avg!V6/avg!I6</f>
        <v>0.19013108228268413</v>
      </c>
      <c r="Z15">
        <f>avg!W6/avg!I6</f>
        <v>3.8687094310785172E-5</v>
      </c>
      <c r="AA15">
        <f t="shared" si="1"/>
        <v>0.25861312229760325</v>
      </c>
      <c r="AB15">
        <f t="shared" si="2"/>
        <v>0.23679872969242949</v>
      </c>
    </row>
    <row r="16" spans="1:28" x14ac:dyDescent="0.3">
      <c r="A16">
        <v>524288</v>
      </c>
      <c r="B16">
        <v>4</v>
      </c>
      <c r="C16">
        <v>125</v>
      </c>
      <c r="D16">
        <v>0.65</v>
      </c>
      <c r="E16">
        <v>13</v>
      </c>
      <c r="F16">
        <v>16383</v>
      </c>
      <c r="G16">
        <v>101365.33333333333</v>
      </c>
      <c r="H16">
        <f t="shared" si="0"/>
        <v>32.001953244216566</v>
      </c>
      <c r="I16">
        <v>6357506933.333333</v>
      </c>
      <c r="J16">
        <v>30943821500</v>
      </c>
      <c r="K16">
        <f>avg!I98/avg!H98</f>
        <v>4.8672886753386058</v>
      </c>
      <c r="L16">
        <f>avg!U98/avg!N98</f>
        <v>3.8964595464414322</v>
      </c>
      <c r="M16">
        <f>avg!V98/avg!Q98</f>
        <v>6.9835099227083557</v>
      </c>
      <c r="N16">
        <f>avg!W98/avg!R98</f>
        <v>0.43629822997580542</v>
      </c>
      <c r="O16">
        <f>avg!T98/avg!K98</f>
        <v>8.9389830899751832</v>
      </c>
      <c r="P16">
        <f>avg!X16/avg!S16</f>
        <v>2.1384794540726029</v>
      </c>
      <c r="Q16">
        <f>avg!K98/avg!H98</f>
        <v>4.5423990309660586E-3</v>
      </c>
      <c r="R16">
        <f>1-Q16-T16-U16</f>
        <v>0.85564371228789005</v>
      </c>
      <c r="S16">
        <f>avg!N98/avg!H98</f>
        <v>0.73370211765609927</v>
      </c>
      <c r="T16">
        <f>avg!Q98/avg!H98</f>
        <v>0.13915509794594116</v>
      </c>
      <c r="U16">
        <f>avg!R98/avg!H98</f>
        <v>6.5879073520265865E-4</v>
      </c>
      <c r="V16">
        <f>avg!T98/avg!I98</f>
        <v>8.342309411697368E-3</v>
      </c>
      <c r="W16">
        <f>1-V16-Y16-Z16</f>
        <v>0.79194107187655116</v>
      </c>
      <c r="X16">
        <f>avg!U98/avg!I98</f>
        <v>0.587357934011695</v>
      </c>
      <c r="Y16">
        <f>avg!V98/avg!I98</f>
        <v>0.19965756545831506</v>
      </c>
      <c r="Z16">
        <f>avg!W98/avg!I98</f>
        <v>5.9053253436500503E-5</v>
      </c>
      <c r="AA16">
        <f t="shared" si="1"/>
        <v>0.20458313786485616</v>
      </c>
      <c r="AB16">
        <f t="shared" si="2"/>
        <v>0.25211164384392221</v>
      </c>
    </row>
    <row r="17" spans="1:28" x14ac:dyDescent="0.3">
      <c r="A17">
        <v>262144</v>
      </c>
      <c r="B17">
        <v>4</v>
      </c>
      <c r="C17">
        <v>125</v>
      </c>
      <c r="D17">
        <v>0.8</v>
      </c>
      <c r="E17">
        <v>12</v>
      </c>
      <c r="F17">
        <v>8191</v>
      </c>
      <c r="G17">
        <v>32648</v>
      </c>
      <c r="H17">
        <f t="shared" si="0"/>
        <v>32.003906726895373</v>
      </c>
      <c r="I17">
        <v>2659528400</v>
      </c>
      <c r="J17">
        <v>9585861366.666666</v>
      </c>
      <c r="K17">
        <f>avg!I67/avg!H67</f>
        <v>3.6043463069116561</v>
      </c>
      <c r="L17">
        <f>avg!U67/avg!N67</f>
        <v>2.6809579131995762</v>
      </c>
      <c r="M17">
        <f>avg!V67/avg!Q67</f>
        <v>6.7141290865077776</v>
      </c>
      <c r="N17">
        <f>avg!W67/avg!R67</f>
        <v>0.39551839567124714</v>
      </c>
      <c r="O17">
        <f>avg!T67/avg!K67</f>
        <v>15.064172712560413</v>
      </c>
      <c r="P17">
        <f>avg!X17/avg!S17</f>
        <v>2.488328069814159</v>
      </c>
      <c r="Q17">
        <f>avg!K67/avg!H67</f>
        <v>2.2769199732303414E-3</v>
      </c>
      <c r="R17">
        <f>1-Q17-T17-U17</f>
        <v>0.88742259717925931</v>
      </c>
      <c r="S17">
        <f>avg!N67/avg!H67</f>
        <v>0.58609627932531194</v>
      </c>
      <c r="T17">
        <f>avg!Q67/avg!H67</f>
        <v>0.10948050037743534</v>
      </c>
      <c r="U17">
        <f>avg!R67/avg!H67</f>
        <v>8.1998247007502027E-4</v>
      </c>
      <c r="V17">
        <f>avg!T67/avg!I67</f>
        <v>9.516265311034942E-3</v>
      </c>
      <c r="W17">
        <f>1-V17-Y17-Z17</f>
        <v>0.78645491294938097</v>
      </c>
      <c r="X17">
        <f>avg!U67/avg!I67</f>
        <v>0.43594575108970995</v>
      </c>
      <c r="Y17">
        <f>avg!V67/avg!I67</f>
        <v>0.20393884199750981</v>
      </c>
      <c r="Z17">
        <f>avg!W67/avg!I67</f>
        <v>8.9979742074369876E-5</v>
      </c>
      <c r="AA17">
        <f t="shared" si="1"/>
        <v>0.35050916185967101</v>
      </c>
      <c r="AB17">
        <f t="shared" si="2"/>
        <v>0.25931409244135023</v>
      </c>
    </row>
    <row r="18" spans="1:28" x14ac:dyDescent="0.3">
      <c r="A18">
        <v>262144</v>
      </c>
      <c r="B18">
        <v>5</v>
      </c>
      <c r="C18">
        <v>216</v>
      </c>
      <c r="D18">
        <v>0.95</v>
      </c>
      <c r="E18">
        <v>11</v>
      </c>
      <c r="F18">
        <v>4095</v>
      </c>
      <c r="G18">
        <v>8192</v>
      </c>
      <c r="H18">
        <f t="shared" si="0"/>
        <v>64.015628815628816</v>
      </c>
      <c r="I18">
        <v>3202193366.6666665</v>
      </c>
      <c r="J18">
        <v>8728428933.333334</v>
      </c>
      <c r="K18">
        <f>avg!I65/avg!H65</f>
        <v>2.7257657280138643</v>
      </c>
      <c r="L18">
        <f>avg!U65/avg!N65</f>
        <v>1.0626006890497057</v>
      </c>
      <c r="M18">
        <f>avg!V65/avg!Q65</f>
        <v>7.1375484558526949</v>
      </c>
      <c r="N18">
        <f>avg!W65/avg!R65</f>
        <v>0.39744518236590287</v>
      </c>
      <c r="O18">
        <f>avg!T65/avg!K65</f>
        <v>61.320660318074161</v>
      </c>
      <c r="P18">
        <f>avg!X18/avg!S18</f>
        <v>3.093244152833992</v>
      </c>
      <c r="Q18">
        <f>avg!K65/avg!H65</f>
        <v>4.3068396421323753E-4</v>
      </c>
      <c r="R18">
        <f>1-Q18-T18-U18</f>
        <v>0.91047714264101132</v>
      </c>
      <c r="S18">
        <f>avg!N65/avg!H65</f>
        <v>0.63357599027358347</v>
      </c>
      <c r="T18">
        <f>avg!Q65/avg!H65</f>
        <v>8.8416626016577946E-2</v>
      </c>
      <c r="U18">
        <f>avg!R65/avg!H65</f>
        <v>6.7554737819757534E-4</v>
      </c>
      <c r="V18">
        <f>avg!T65/avg!I65</f>
        <v>9.688956318782806E-3</v>
      </c>
      <c r="W18">
        <f>1-V18-Y18-Z18</f>
        <v>0.7586893606221643</v>
      </c>
      <c r="X18">
        <f>avg!U65/avg!I65</f>
        <v>0.24699051606339478</v>
      </c>
      <c r="Y18">
        <f>avg!V65/avg!I65</f>
        <v>0.23152318117821796</v>
      </c>
      <c r="Z18">
        <f>avg!W65/avg!I65</f>
        <v>9.8501880834851114E-5</v>
      </c>
      <c r="AA18">
        <f t="shared" si="1"/>
        <v>0.51169884455876957</v>
      </c>
      <c r="AB18">
        <f t="shared" si="2"/>
        <v>0.30516202440002194</v>
      </c>
    </row>
    <row r="19" spans="1:28" x14ac:dyDescent="0.3">
      <c r="A19">
        <v>262144</v>
      </c>
      <c r="B19">
        <v>4</v>
      </c>
      <c r="C19">
        <v>125</v>
      </c>
      <c r="D19">
        <v>0.95</v>
      </c>
      <c r="E19">
        <v>12</v>
      </c>
      <c r="F19">
        <v>8191</v>
      </c>
      <c r="G19">
        <v>24481.333333333332</v>
      </c>
      <c r="H19">
        <f t="shared" si="0"/>
        <v>32.003906726895373</v>
      </c>
      <c r="I19">
        <v>1528670700</v>
      </c>
      <c r="J19">
        <v>6202387133.333333</v>
      </c>
      <c r="K19">
        <f>avg!I62/avg!H62</f>
        <v>4.0573729406426988</v>
      </c>
      <c r="L19">
        <f>avg!U62/avg!N62</f>
        <v>1.1608981449330658</v>
      </c>
      <c r="M19">
        <f>avg!V62/avg!Q62</f>
        <v>6.8040649649880924</v>
      </c>
      <c r="N19">
        <f>avg!W62/avg!R62</f>
        <v>0.39037834361746104</v>
      </c>
      <c r="O19">
        <f>avg!T62/avg!K62</f>
        <v>26.862074811276539</v>
      </c>
      <c r="P19">
        <f>avg!X19/avg!S19</f>
        <v>0.78387712015568345</v>
      </c>
      <c r="Q19">
        <f>avg!K62/avg!H62</f>
        <v>2.1866274622345631E-3</v>
      </c>
      <c r="R19">
        <f>1-Q19-T19-U19</f>
        <v>0.85510380576623424</v>
      </c>
      <c r="S19">
        <f>avg!N62/avg!H62</f>
        <v>0.7082409137123733</v>
      </c>
      <c r="T19">
        <f>avg!Q62/avg!H62</f>
        <v>0.14128543184611309</v>
      </c>
      <c r="U19">
        <f>avg!R62/avg!H62</f>
        <v>1.4241349254180992E-3</v>
      </c>
      <c r="V19">
        <f>avg!T62/avg!I62</f>
        <v>1.4476694978310879E-2</v>
      </c>
      <c r="W19">
        <f>1-V19-Y19-Z19</f>
        <v>0.74845581766168812</v>
      </c>
      <c r="X19">
        <f>avg!U62/avg!I62</f>
        <v>0.20264234393108455</v>
      </c>
      <c r="Y19">
        <f>avg!V62/avg!I62</f>
        <v>0.23693046484779781</v>
      </c>
      <c r="Z19">
        <f>avg!W62/avg!I62</f>
        <v>1.3702251220328534E-4</v>
      </c>
      <c r="AA19">
        <f t="shared" si="1"/>
        <v>0.54581347373060352</v>
      </c>
      <c r="AB19">
        <f t="shared" si="2"/>
        <v>0.3165590529952878</v>
      </c>
    </row>
    <row r="20" spans="1:28" x14ac:dyDescent="0.3">
      <c r="A20">
        <v>1048576</v>
      </c>
      <c r="B20">
        <v>5</v>
      </c>
      <c r="C20">
        <v>216</v>
      </c>
      <c r="D20">
        <v>0.8</v>
      </c>
      <c r="E20">
        <v>13</v>
      </c>
      <c r="F20">
        <v>16383</v>
      </c>
      <c r="G20">
        <v>59337.333333333336</v>
      </c>
      <c r="H20">
        <f t="shared" si="0"/>
        <v>64.003906488433131</v>
      </c>
      <c r="I20">
        <v>15283255166.666666</v>
      </c>
      <c r="J20">
        <v>60313237600</v>
      </c>
      <c r="K20">
        <f>avg!I127/avg!H127</f>
        <v>3.9463607027608463</v>
      </c>
      <c r="L20">
        <f>avg!U127/avg!N127</f>
        <v>2.4018421671465822</v>
      </c>
      <c r="M20">
        <f>avg!V127/avg!Q127</f>
        <v>7.2902441986525996</v>
      </c>
      <c r="N20">
        <f>avg!W127/avg!R127</f>
        <v>0.46575943450379675</v>
      </c>
      <c r="O20">
        <f>avg!T127/avg!K127</f>
        <v>68.570967575311897</v>
      </c>
      <c r="P20">
        <f>avg!X20/avg!S20</f>
        <v>1.6916060296800948</v>
      </c>
      <c r="Q20">
        <f>avg!K127/avg!H127</f>
        <v>8.0226582620144486E-4</v>
      </c>
      <c r="R20">
        <f>1-Q20-T20-U20</f>
        <v>0.86640022400986982</v>
      </c>
      <c r="S20">
        <f>avg!N127/avg!H127</f>
        <v>0.75796516560155591</v>
      </c>
      <c r="T20">
        <f>avg!Q127/avg!H127</f>
        <v>0.13226557287408591</v>
      </c>
      <c r="U20">
        <f>avg!R127/avg!H127</f>
        <v>5.3193728984284559E-4</v>
      </c>
      <c r="V20">
        <f>avg!T127/avg!I127</f>
        <v>1.3939968517513862E-2</v>
      </c>
      <c r="W20">
        <f>1-V20-Y20-Z20</f>
        <v>0.74165863161467327</v>
      </c>
      <c r="X20">
        <f>avg!U127/avg!I127</f>
        <v>0.46131431794778444</v>
      </c>
      <c r="Y20">
        <f>avg!V127/avg!I127</f>
        <v>0.24433861928844622</v>
      </c>
      <c r="Z20">
        <f>avg!W127/avg!I127</f>
        <v>6.278057936654357E-5</v>
      </c>
      <c r="AA20">
        <f t="shared" si="1"/>
        <v>0.28034431366688883</v>
      </c>
      <c r="AB20">
        <f t="shared" si="2"/>
        <v>0.32944889855389925</v>
      </c>
    </row>
    <row r="21" spans="1:28" x14ac:dyDescent="0.3">
      <c r="A21">
        <v>131072</v>
      </c>
      <c r="B21">
        <v>5</v>
      </c>
      <c r="C21">
        <v>216</v>
      </c>
      <c r="D21">
        <v>0.8</v>
      </c>
      <c r="E21">
        <v>10</v>
      </c>
      <c r="F21">
        <v>2047</v>
      </c>
      <c r="G21">
        <v>7340</v>
      </c>
      <c r="H21">
        <f t="shared" si="0"/>
        <v>64.031265266243281</v>
      </c>
      <c r="I21">
        <v>2538790400</v>
      </c>
      <c r="J21">
        <v>7347832033.333333</v>
      </c>
      <c r="K21">
        <f>avg!I37/avg!H37</f>
        <v>2.894225546675036</v>
      </c>
      <c r="L21">
        <f>avg!U37/avg!N37</f>
        <v>2.1708074981035685</v>
      </c>
      <c r="M21">
        <f>avg!V37/avg!Q37</f>
        <v>7.2037511670347705</v>
      </c>
      <c r="N21">
        <f>avg!W37/avg!R37</f>
        <v>0.26341017468435751</v>
      </c>
      <c r="O21">
        <f>avg!T37/avg!K37</f>
        <v>23.695867199059531</v>
      </c>
      <c r="P21">
        <f>avg!X21/avg!S21</f>
        <v>3.6982596758236874</v>
      </c>
      <c r="Q21">
        <f>avg!K37/avg!H37</f>
        <v>6.477756756393386E-4</v>
      </c>
      <c r="R21">
        <f>1-Q21-T21-U21</f>
        <v>0.9001266639945279</v>
      </c>
      <c r="S21">
        <f>avg!N37/avg!H37</f>
        <v>0.62046839313714119</v>
      </c>
      <c r="T21">
        <f>avg!Q37/avg!H37</f>
        <v>9.8694165536469647E-2</v>
      </c>
      <c r="U21">
        <f>avg!R37/avg!H37</f>
        <v>5.3139479336301258E-4</v>
      </c>
      <c r="V21">
        <f>avg!T37/avg!I37</f>
        <v>5.3035280551527401E-3</v>
      </c>
      <c r="W21">
        <f>1-V21-Y21-Z21</f>
        <v>0.74899751949964055</v>
      </c>
      <c r="X21">
        <f>avg!U37/avg!I37</f>
        <v>0.46538095198066154</v>
      </c>
      <c r="Y21">
        <f>avg!V37/avg!I37</f>
        <v>0.24565058897349773</v>
      </c>
      <c r="Z21">
        <f>avg!W37/avg!I37</f>
        <v>4.8363471709008996E-5</v>
      </c>
      <c r="AA21">
        <f t="shared" si="1"/>
        <v>0.28361656751897901</v>
      </c>
      <c r="AB21">
        <f t="shared" si="2"/>
        <v>0.32797250001255263</v>
      </c>
    </row>
    <row r="22" spans="1:28" x14ac:dyDescent="0.3">
      <c r="A22">
        <v>131072</v>
      </c>
      <c r="B22">
        <v>4</v>
      </c>
      <c r="C22">
        <v>125</v>
      </c>
      <c r="D22">
        <v>0.65</v>
      </c>
      <c r="E22">
        <v>11</v>
      </c>
      <c r="F22">
        <v>4095</v>
      </c>
      <c r="G22">
        <v>30177.333333333332</v>
      </c>
      <c r="H22">
        <f t="shared" si="0"/>
        <v>32.007814407814408</v>
      </c>
      <c r="I22">
        <v>2055697300</v>
      </c>
      <c r="J22">
        <v>7105879666.666667</v>
      </c>
      <c r="K22">
        <f>avg!I38/avg!H38</f>
        <v>3.4566760712613998</v>
      </c>
      <c r="L22">
        <f>avg!U38/avg!N38</f>
        <v>3.2196938580308037</v>
      </c>
      <c r="M22">
        <f>avg!V38/avg!Q38</f>
        <v>6.7908881640795062</v>
      </c>
      <c r="N22">
        <f>avg!W38/avg!R38</f>
        <v>0.32527155010969022</v>
      </c>
      <c r="O22">
        <f>avg!T38/avg!K38</f>
        <v>7.4241122135615427</v>
      </c>
      <c r="P22">
        <f>avg!X22/avg!S22</f>
        <v>3.3240359456234825</v>
      </c>
      <c r="Q22">
        <f>avg!K38/avg!H38</f>
        <v>2.6981436744926732E-3</v>
      </c>
      <c r="R22">
        <f>1-Q22-T22-U22</f>
        <v>0.86767664350842577</v>
      </c>
      <c r="S22">
        <f>avg!N38/avg!H38</f>
        <v>0.53409479758198508</v>
      </c>
      <c r="T22">
        <f>avg!Q38/avg!H38</f>
        <v>0.1290191248812102</v>
      </c>
      <c r="U22">
        <f>avg!R38/avg!H38</f>
        <v>6.0608793587136256E-4</v>
      </c>
      <c r="V22">
        <f>avg!T38/avg!I38</f>
        <v>5.794966318737267E-3</v>
      </c>
      <c r="W22">
        <f>1-V22-Y22-Z22</f>
        <v>0.74068067293943762</v>
      </c>
      <c r="X22">
        <f>avg!U38/avg!I38</f>
        <v>0.49747841681717186</v>
      </c>
      <c r="Y22">
        <f>avg!V38/avg!I38</f>
        <v>0.25346732815955836</v>
      </c>
      <c r="Z22">
        <f>avg!W38/avg!I38</f>
        <v>5.7032582266732258E-5</v>
      </c>
      <c r="AA22">
        <f t="shared" si="1"/>
        <v>0.24320225612226576</v>
      </c>
      <c r="AB22">
        <f t="shared" si="2"/>
        <v>0.34220864323846523</v>
      </c>
    </row>
    <row r="23" spans="1:28" x14ac:dyDescent="0.3">
      <c r="A23">
        <v>1048576</v>
      </c>
      <c r="B23">
        <v>4</v>
      </c>
      <c r="C23">
        <v>125</v>
      </c>
      <c r="D23">
        <v>0.65</v>
      </c>
      <c r="E23">
        <v>14</v>
      </c>
      <c r="F23">
        <v>32767</v>
      </c>
      <c r="G23">
        <v>250256</v>
      </c>
      <c r="H23">
        <f t="shared" si="0"/>
        <v>32.000976592303232</v>
      </c>
      <c r="I23">
        <v>11804671366.666666</v>
      </c>
      <c r="J23">
        <v>59211001966.666664</v>
      </c>
      <c r="K23">
        <f>avg!I129/avg!H129</f>
        <v>5.0158958371228524</v>
      </c>
      <c r="L23">
        <f>avg!U129/avg!N129</f>
        <v>3.7583108759834554</v>
      </c>
      <c r="M23">
        <f>avg!V129/avg!Q129</f>
        <v>6.9412555219690759</v>
      </c>
      <c r="N23">
        <f>avg!W129/avg!R129</f>
        <v>0.48283224676667302</v>
      </c>
      <c r="O23">
        <f>avg!T129/avg!K129</f>
        <v>17.418375665415773</v>
      </c>
      <c r="P23">
        <f>avg!X23/avg!S23</f>
        <v>2.4479284474593173</v>
      </c>
      <c r="Q23">
        <f>avg!K129/avg!H129</f>
        <v>4.156580487722797E-3</v>
      </c>
      <c r="R23">
        <f>1-Q23-T23-U23</f>
        <v>0.81039510288103711</v>
      </c>
      <c r="S23">
        <f>avg!N129/avg!H129</f>
        <v>0.69434585784501623</v>
      </c>
      <c r="T23">
        <f>avg!Q129/avg!H129</f>
        <v>0.18477913239437041</v>
      </c>
      <c r="U23">
        <f>avg!R129/avg!H129</f>
        <v>6.691842368696635E-4</v>
      </c>
      <c r="V23">
        <f>avg!T129/avg!I129</f>
        <v>1.4434287068493503E-2</v>
      </c>
      <c r="W23">
        <f>1-V23-Y23-Z23</f>
        <v>0.72979439740483498</v>
      </c>
      <c r="X23">
        <f>avg!U129/avg!I129</f>
        <v>0.52025952571013723</v>
      </c>
      <c r="Y23">
        <f>avg!V129/avg!I129</f>
        <v>0.25570689957006465</v>
      </c>
      <c r="Z23">
        <f>avg!W129/avg!I129</f>
        <v>6.4415956606857149E-5</v>
      </c>
      <c r="AA23">
        <f t="shared" si="1"/>
        <v>0.20953487169469776</v>
      </c>
      <c r="AB23">
        <f t="shared" si="2"/>
        <v>0.3503821082751033</v>
      </c>
    </row>
    <row r="24" spans="1:28" x14ac:dyDescent="0.3">
      <c r="A24">
        <v>262144</v>
      </c>
      <c r="B24">
        <v>5</v>
      </c>
      <c r="C24">
        <v>216</v>
      </c>
      <c r="D24">
        <v>0.8</v>
      </c>
      <c r="E24">
        <v>11</v>
      </c>
      <c r="F24">
        <v>4095</v>
      </c>
      <c r="G24">
        <v>15148</v>
      </c>
      <c r="H24">
        <f t="shared" si="0"/>
        <v>64.015628815628816</v>
      </c>
      <c r="I24">
        <v>4099699100</v>
      </c>
      <c r="J24">
        <v>14573172300</v>
      </c>
      <c r="K24">
        <f>avg!I68/avg!H68</f>
        <v>3.5546931480898194</v>
      </c>
      <c r="L24">
        <f>avg!U68/avg!N68</f>
        <v>2.1622353304630555</v>
      </c>
      <c r="M24">
        <f>avg!V68/avg!Q68</f>
        <v>7.26273284671041</v>
      </c>
      <c r="N24">
        <f>avg!W68/avg!R68</f>
        <v>0.40470549175256176</v>
      </c>
      <c r="O24">
        <f>avg!T68/avg!K68</f>
        <v>27.564015411527645</v>
      </c>
      <c r="P24">
        <f>avg!X24/avg!S24</f>
        <v>4.0030772265067318</v>
      </c>
      <c r="Q24">
        <f>avg!K68/avg!H68</f>
        <v>7.3437909951326271E-4</v>
      </c>
      <c r="R24">
        <f>1-Q24-T24-U24</f>
        <v>0.87321243486706945</v>
      </c>
      <c r="S24">
        <f>avg!N68/avg!H68</f>
        <v>0.6988042285022007</v>
      </c>
      <c r="T24">
        <f>avg!Q68/avg!H68</f>
        <v>0.12551442291622492</v>
      </c>
      <c r="U24">
        <f>avg!R68/avg!H68</f>
        <v>5.3876311719234875E-4</v>
      </c>
      <c r="V24">
        <f>avg!T68/avg!I68</f>
        <v>5.6945665838315793E-3</v>
      </c>
      <c r="W24">
        <f>1-V24-Y24-Z24</f>
        <v>0.73780065945788154</v>
      </c>
      <c r="X24">
        <f>avg!U68/avg!I68</f>
        <v>0.4250659983848083</v>
      </c>
      <c r="Y24">
        <f>avg!V68/avg!I68</f>
        <v>0.25644343522011792</v>
      </c>
      <c r="Z24">
        <f>avg!W68/avg!I68</f>
        <v>6.133873816890232E-5</v>
      </c>
      <c r="AA24">
        <f t="shared" si="1"/>
        <v>0.31273466107307324</v>
      </c>
      <c r="AB24">
        <f t="shared" si="2"/>
        <v>0.34757821361741054</v>
      </c>
    </row>
    <row r="25" spans="1:28" x14ac:dyDescent="0.3">
      <c r="A25">
        <v>524288</v>
      </c>
      <c r="B25">
        <v>4</v>
      </c>
      <c r="C25">
        <v>125</v>
      </c>
      <c r="D25">
        <v>0.5</v>
      </c>
      <c r="E25">
        <v>13</v>
      </c>
      <c r="F25">
        <v>16383</v>
      </c>
      <c r="G25">
        <v>301846</v>
      </c>
      <c r="H25">
        <f t="shared" si="0"/>
        <v>32.001953244216566</v>
      </c>
      <c r="I25">
        <v>12646095300</v>
      </c>
      <c r="J25">
        <v>70052737700</v>
      </c>
      <c r="K25">
        <f>avg!I105/avg!H105</f>
        <v>5.5394757067819977</v>
      </c>
      <c r="L25">
        <f>avg!U105/avg!N105</f>
        <v>4.9001937883097462</v>
      </c>
      <c r="M25">
        <f>avg!V105/avg!Q105</f>
        <v>6.9204747019857846</v>
      </c>
      <c r="N25">
        <f>avg!W105/avg!R105</f>
        <v>0.42684532478881443</v>
      </c>
      <c r="O25">
        <f>avg!T105/avg!K105</f>
        <v>4.8690942494510878</v>
      </c>
      <c r="P25">
        <f>avg!X25/avg!S25</f>
        <v>3.0862322288121149</v>
      </c>
      <c r="Q25">
        <f>avg!K105/avg!H105</f>
        <v>5.3220834892806794E-3</v>
      </c>
      <c r="R25">
        <f>1-Q25-T25-U25</f>
        <v>0.7870625923560769</v>
      </c>
      <c r="S25">
        <f>avg!N105/avg!H105</f>
        <v>0.73092086574739001</v>
      </c>
      <c r="T25">
        <f>avg!Q105/avg!H105</f>
        <v>0.20727599016275008</v>
      </c>
      <c r="U25">
        <f>avg!R105/avg!H105</f>
        <v>3.3933399189234326E-4</v>
      </c>
      <c r="V25">
        <f>avg!T105/avg!I105</f>
        <v>4.6780106068574105E-3</v>
      </c>
      <c r="W25">
        <f>1-V25-Y25-Z25</f>
        <v>0.73634565926464846</v>
      </c>
      <c r="X25">
        <f>avg!U105/avg!I105</f>
        <v>0.64656911153095453</v>
      </c>
      <c r="Y25">
        <f>avg!V105/avg!I105</f>
        <v>0.25895018268500875</v>
      </c>
      <c r="Z25">
        <f>avg!W105/avg!I105</f>
        <v>2.6147443485281517E-5</v>
      </c>
      <c r="AA25">
        <f t="shared" si="1"/>
        <v>8.9776547733693923E-2</v>
      </c>
      <c r="AB25">
        <f t="shared" si="2"/>
        <v>0.3516693273422829</v>
      </c>
    </row>
    <row r="26" spans="1:28" x14ac:dyDescent="0.3">
      <c r="A26">
        <v>65536</v>
      </c>
      <c r="B26">
        <v>7</v>
      </c>
      <c r="C26">
        <v>512</v>
      </c>
      <c r="D26">
        <v>0.95</v>
      </c>
      <c r="E26">
        <v>7</v>
      </c>
      <c r="F26">
        <v>255</v>
      </c>
      <c r="G26">
        <v>256</v>
      </c>
      <c r="H26">
        <f t="shared" si="0"/>
        <v>257.00392156862745</v>
      </c>
      <c r="I26">
        <v>1808769300</v>
      </c>
      <c r="J26">
        <v>4207049400</v>
      </c>
      <c r="K26">
        <f>avg!I9/avg!H9</f>
        <v>2.3259181809421468</v>
      </c>
      <c r="L26">
        <f>avg!U9/avg!N9</f>
        <v>0.96833481146443456</v>
      </c>
      <c r="M26">
        <f>avg!V9/avg!Q9</f>
        <v>7.8123542766633944</v>
      </c>
      <c r="N26">
        <f>avg!W9/avg!R9</f>
        <v>0.26478912448383057</v>
      </c>
      <c r="O26">
        <f>avg!T9/avg!K9</f>
        <v>113.43401856763926</v>
      </c>
      <c r="P26">
        <f>avg!X26/avg!S26</f>
        <v>1.104891058597343</v>
      </c>
      <c r="Q26">
        <f>avg!K9/avg!H9</f>
        <v>5.5581070141633504E-5</v>
      </c>
      <c r="R26">
        <f>1-Q26-T26-U26</f>
        <v>0.9213135141115012</v>
      </c>
      <c r="S26">
        <f>avg!N9/avg!H9</f>
        <v>0.86840940227516394</v>
      </c>
      <c r="T26">
        <f>avg!Q9/avg!H9</f>
        <v>7.8233710254443922E-2</v>
      </c>
      <c r="U26">
        <f>avg!R9/avg!H9</f>
        <v>3.9719456391333787E-4</v>
      </c>
      <c r="V26">
        <f>avg!T9/avg!I9</f>
        <v>2.7106646287538244E-3</v>
      </c>
      <c r="W26">
        <f>1-V26-Y26-Z26</f>
        <v>0.7344707037034871</v>
      </c>
      <c r="X26">
        <f>avg!U9/avg!I9</f>
        <v>0.36153939623337916</v>
      </c>
      <c r="Y26">
        <f>avg!V9/avg!I9</f>
        <v>0.26277341391173903</v>
      </c>
      <c r="Z26">
        <f>avg!W9/avg!I9</f>
        <v>4.5217756020010922E-5</v>
      </c>
      <c r="AA26">
        <f t="shared" si="1"/>
        <v>0.37293130747010794</v>
      </c>
      <c r="AB26">
        <f t="shared" si="2"/>
        <v>0.35777249192749722</v>
      </c>
    </row>
    <row r="27" spans="1:28" x14ac:dyDescent="0.3">
      <c r="A27">
        <v>1048576</v>
      </c>
      <c r="B27">
        <v>5</v>
      </c>
      <c r="C27">
        <v>216</v>
      </c>
      <c r="D27">
        <v>0.65</v>
      </c>
      <c r="E27">
        <v>13</v>
      </c>
      <c r="F27">
        <v>16383</v>
      </c>
      <c r="G27">
        <v>103234.66666666667</v>
      </c>
      <c r="H27">
        <f t="shared" si="0"/>
        <v>64.003906488433131</v>
      </c>
      <c r="I27">
        <v>22132629100</v>
      </c>
      <c r="J27">
        <v>96430737266.666672</v>
      </c>
      <c r="K27">
        <f>avg!I131/avg!H131</f>
        <v>4.3569490470821055</v>
      </c>
      <c r="L27">
        <f>avg!U131/avg!N131</f>
        <v>3.1328539368350143</v>
      </c>
      <c r="M27">
        <f>avg!V131/avg!Q131</f>
        <v>7.2976827970756322</v>
      </c>
      <c r="N27">
        <f>avg!W131/avg!R131</f>
        <v>0.47884213365702338</v>
      </c>
      <c r="O27">
        <f>avg!T131/avg!K131</f>
        <v>35.446425626503803</v>
      </c>
      <c r="P27">
        <f>avg!X27/avg!S27</f>
        <v>14.402306152996148</v>
      </c>
      <c r="Q27">
        <f>avg!K131/avg!H131</f>
        <v>1.0684873101376524E-3</v>
      </c>
      <c r="R27">
        <f>1-Q27-T27-U27</f>
        <v>0.84064310883578364</v>
      </c>
      <c r="S27">
        <f>avg!N131/avg!H131</f>
        <v>0.76581441620658319</v>
      </c>
      <c r="T27">
        <f>avg!Q131/avg!H131</f>
        <v>0.15793106718321745</v>
      </c>
      <c r="U27">
        <f>avg!R131/avg!H131</f>
        <v>3.5733667086121275E-4</v>
      </c>
      <c r="V27">
        <f>avg!T131/avg!I131</f>
        <v>8.6927929526791365E-3</v>
      </c>
      <c r="W27">
        <f>1-V27-Y27-Z27</f>
        <v>0.72674089527632424</v>
      </c>
      <c r="X27">
        <f>avg!U131/avg!I131</f>
        <v>0.55065704986946351</v>
      </c>
      <c r="Y27">
        <f>avg!V131/avg!I131</f>
        <v>0.26452703936912547</v>
      </c>
      <c r="Z27">
        <f>avg!W131/avg!I131</f>
        <v>3.9272401871138099E-5</v>
      </c>
      <c r="AA27">
        <f t="shared" si="1"/>
        <v>0.17608384540686073</v>
      </c>
      <c r="AB27">
        <f t="shared" si="2"/>
        <v>0.36399085435882339</v>
      </c>
    </row>
    <row r="28" spans="1:28" x14ac:dyDescent="0.3">
      <c r="A28">
        <v>524288</v>
      </c>
      <c r="B28">
        <v>7</v>
      </c>
      <c r="C28">
        <v>512</v>
      </c>
      <c r="D28">
        <v>0.95</v>
      </c>
      <c r="E28">
        <v>10</v>
      </c>
      <c r="F28">
        <v>2047</v>
      </c>
      <c r="G28">
        <v>2048</v>
      </c>
      <c r="H28">
        <f t="shared" si="0"/>
        <v>256.12506106497312</v>
      </c>
      <c r="I28">
        <v>12916384800</v>
      </c>
      <c r="J28">
        <v>33596836800</v>
      </c>
      <c r="K28">
        <f>avg!I100/avg!H100</f>
        <v>2.6011021907616132</v>
      </c>
      <c r="L28">
        <f>avg!U100/avg!N100</f>
        <v>1.1112631039696095</v>
      </c>
      <c r="M28">
        <f>avg!V100/avg!Q100</f>
        <v>7.9507218406247953</v>
      </c>
      <c r="N28">
        <f>avg!W100/avg!R100</f>
        <v>0.44787204560750626</v>
      </c>
      <c r="O28">
        <f>avg!T100/avg!K100</f>
        <v>207.62006412419845</v>
      </c>
      <c r="P28">
        <f>avg!X28/avg!S28</f>
        <v>3.3811343462708154</v>
      </c>
      <c r="Q28">
        <f>avg!K100/avg!H100</f>
        <v>6.1172947815346394E-5</v>
      </c>
      <c r="R28">
        <f>1-Q28-T28-U28</f>
        <v>0.91305504204757559</v>
      </c>
      <c r="S28">
        <f>avg!N100/avg!H100</f>
        <v>0.82854785858243141</v>
      </c>
      <c r="T28">
        <f>avg!Q100/avg!H100</f>
        <v>8.6557855311547138E-2</v>
      </c>
      <c r="U28">
        <f>avg!R100/avg!H100</f>
        <v>3.2592969306189556E-4</v>
      </c>
      <c r="V28">
        <f>avg!T100/avg!I100</f>
        <v>4.8828267467529371E-3</v>
      </c>
      <c r="W28">
        <f>1-V28-Y28-Z28</f>
        <v>0.73048189366049676</v>
      </c>
      <c r="X28">
        <f>avg!U100/avg!I100</f>
        <v>0.35397865888771213</v>
      </c>
      <c r="Y28">
        <f>avg!V100/avg!I100</f>
        <v>0.26457915923005387</v>
      </c>
      <c r="Z28">
        <f>avg!W100/avg!I100</f>
        <v>5.6120362696367499E-5</v>
      </c>
      <c r="AA28">
        <f t="shared" si="1"/>
        <v>0.37650323477278463</v>
      </c>
      <c r="AB28">
        <f t="shared" si="2"/>
        <v>0.36219810720321743</v>
      </c>
    </row>
    <row r="29" spans="1:28" x14ac:dyDescent="0.3">
      <c r="A29">
        <v>131072</v>
      </c>
      <c r="B29">
        <v>5</v>
      </c>
      <c r="C29">
        <v>216</v>
      </c>
      <c r="D29">
        <v>0.65</v>
      </c>
      <c r="E29">
        <v>10</v>
      </c>
      <c r="F29">
        <v>2047</v>
      </c>
      <c r="G29">
        <v>12292</v>
      </c>
      <c r="H29">
        <f t="shared" si="0"/>
        <v>64.031265266243281</v>
      </c>
      <c r="I29">
        <v>3071245433.3333335</v>
      </c>
      <c r="J29">
        <v>11406510066.666666</v>
      </c>
      <c r="K29">
        <f>avg!I40/avg!H40</f>
        <v>3.7139689140007182</v>
      </c>
      <c r="L29">
        <f>avg!U40/avg!N40</f>
        <v>2.8141176699960999</v>
      </c>
      <c r="M29">
        <f>avg!V40/avg!Q40</f>
        <v>7.2793222090981686</v>
      </c>
      <c r="N29">
        <f>avg!W40/avg!R40</f>
        <v>0.2956896551724138</v>
      </c>
      <c r="O29">
        <f>avg!T40/avg!K40</f>
        <v>14.856856716379829</v>
      </c>
      <c r="P29">
        <f>avg!X29/avg!S29</f>
        <v>5.2072956410954747</v>
      </c>
      <c r="Q29">
        <f>avg!K40/avg!H40</f>
        <v>8.5071894232527573E-4</v>
      </c>
      <c r="R29">
        <f>1-Q29-T29-U29</f>
        <v>0.86304779527931574</v>
      </c>
      <c r="S29">
        <f>avg!N40/avg!H40</f>
        <v>0.68582632433272483</v>
      </c>
      <c r="T29">
        <f>avg!Q40/avg!H40</f>
        <v>0.13569860904310882</v>
      </c>
      <c r="U29">
        <f>avg!R40/avg!H40</f>
        <v>4.0287673525017204E-4</v>
      </c>
      <c r="V29">
        <f>avg!T40/avg!I40</f>
        <v>3.4031004902574614E-3</v>
      </c>
      <c r="W29">
        <f>1-V29-Y29-Z29</f>
        <v>0.73059762813459073</v>
      </c>
      <c r="X29">
        <f>avg!U40/avg!I40</f>
        <v>0.51965862465288903</v>
      </c>
      <c r="Y29">
        <f>avg!V40/avg!I40</f>
        <v>0.26596719612474401</v>
      </c>
      <c r="Z29">
        <f>avg!W40/avg!I40</f>
        <v>3.2075250407733537E-5</v>
      </c>
      <c r="AA29">
        <f t="shared" si="1"/>
        <v>0.21093900348170169</v>
      </c>
      <c r="AB29">
        <f t="shared" si="2"/>
        <v>0.36404059619496537</v>
      </c>
    </row>
    <row r="30" spans="1:28" x14ac:dyDescent="0.3">
      <c r="A30">
        <v>262144</v>
      </c>
      <c r="B30">
        <v>4</v>
      </c>
      <c r="C30">
        <v>125</v>
      </c>
      <c r="D30">
        <v>0.65</v>
      </c>
      <c r="E30">
        <v>12</v>
      </c>
      <c r="F30">
        <v>8191</v>
      </c>
      <c r="G30">
        <v>68812</v>
      </c>
      <c r="H30">
        <f t="shared" si="0"/>
        <v>32.003906726895373</v>
      </c>
      <c r="I30">
        <v>3326574600</v>
      </c>
      <c r="J30">
        <v>14779837433.333334</v>
      </c>
      <c r="K30">
        <f>avg!I70/avg!H70</f>
        <v>4.4429598642800112</v>
      </c>
      <c r="L30">
        <f>avg!U70/avg!N70</f>
        <v>3.4865765878312831</v>
      </c>
      <c r="M30">
        <f>avg!V70/avg!Q70</f>
        <v>6.8610167101396771</v>
      </c>
      <c r="N30">
        <f>avg!W70/avg!R70</f>
        <v>0.40552555372935745</v>
      </c>
      <c r="O30">
        <f>avg!T70/avg!K70</f>
        <v>6.7656356533078243</v>
      </c>
      <c r="P30">
        <f>avg!X30/avg!S30</f>
        <v>5.6086716041119375</v>
      </c>
      <c r="Q30">
        <f>avg!K70/avg!H70</f>
        <v>3.8652071713648028E-3</v>
      </c>
      <c r="R30">
        <f>1-Q30-T30-U30</f>
        <v>0.81529354549872413</v>
      </c>
      <c r="S30">
        <f>avg!N70/avg!H70</f>
        <v>0.62362672802628061</v>
      </c>
      <c r="T30">
        <f>avg!Q70/avg!H70</f>
        <v>0.18020109935307027</v>
      </c>
      <c r="U30">
        <f>avg!R70/avg!H70</f>
        <v>6.4014797684080191E-4</v>
      </c>
      <c r="V30">
        <f>avg!T70/avg!I70</f>
        <v>5.8858473280952173E-3</v>
      </c>
      <c r="W30">
        <f>1-V30-Y30-Z30</f>
        <v>0.71578115215308769</v>
      </c>
      <c r="X30">
        <f>avg!U70/avg!I70</f>
        <v>0.48938599850138631</v>
      </c>
      <c r="Y30">
        <f>avg!V70/avg!I70</f>
        <v>0.27827457182022275</v>
      </c>
      <c r="Z30">
        <f>avg!W70/avg!I70</f>
        <v>5.8428698594413719E-5</v>
      </c>
      <c r="AA30">
        <f t="shared" si="1"/>
        <v>0.22639515365170138</v>
      </c>
      <c r="AB30">
        <f t="shared" si="2"/>
        <v>0.38877046564185974</v>
      </c>
    </row>
    <row r="31" spans="1:28" x14ac:dyDescent="0.3">
      <c r="A31">
        <v>65536</v>
      </c>
      <c r="B31">
        <v>5</v>
      </c>
      <c r="C31">
        <v>216</v>
      </c>
      <c r="D31">
        <v>0.8</v>
      </c>
      <c r="E31">
        <v>9</v>
      </c>
      <c r="F31">
        <v>1023</v>
      </c>
      <c r="G31">
        <v>4174.666666666667</v>
      </c>
      <c r="H31">
        <f t="shared" si="0"/>
        <v>64.062561094819159</v>
      </c>
      <c r="I31">
        <v>1114748233.3333333</v>
      </c>
      <c r="J31">
        <v>3687240466.6666665</v>
      </c>
      <c r="K31">
        <f>avg!I11/avg!H11</f>
        <v>3.3076889977578494</v>
      </c>
      <c r="L31">
        <f>avg!U11/avg!N11</f>
        <v>1.6590208674368669</v>
      </c>
      <c r="M31">
        <f>avg!V11/avg!Q11</f>
        <v>7.221957050062108</v>
      </c>
      <c r="N31">
        <f>avg!W11/avg!R11</f>
        <v>0.20823000294228911</v>
      </c>
      <c r="O31">
        <f>avg!T11/avg!K11</f>
        <v>22.857608581343989</v>
      </c>
      <c r="P31">
        <f>avg!X31/avg!S31</f>
        <v>9.0342659140694206</v>
      </c>
      <c r="Q31">
        <f>avg!K11/avg!H11</f>
        <v>8.5301772325452145E-4</v>
      </c>
      <c r="R31">
        <f>1-Q31-T31-U31</f>
        <v>0.87058521764271612</v>
      </c>
      <c r="S31">
        <f>avg!N11/avg!H11</f>
        <v>0.80550896888615842</v>
      </c>
      <c r="T31">
        <f>avg!Q11/avg!H11</f>
        <v>0.12785036334213223</v>
      </c>
      <c r="U31">
        <f>avg!R11/avg!H11</f>
        <v>7.114012918970912E-4</v>
      </c>
      <c r="V31">
        <f>avg!T11/avg!I11</f>
        <v>5.8947335267366258E-3</v>
      </c>
      <c r="W31">
        <f>1-V31-Y31-Z31</f>
        <v>0.71491397351591224</v>
      </c>
      <c r="X31">
        <f>avg!U11/avg!I11</f>
        <v>0.40401506586488428</v>
      </c>
      <c r="Y31">
        <f>avg!V11/avg!I11</f>
        <v>0.27914650788438772</v>
      </c>
      <c r="Z31">
        <f>avg!W11/avg!I11</f>
        <v>4.4785072963417798E-5</v>
      </c>
      <c r="AA31">
        <f t="shared" si="1"/>
        <v>0.31089890765102796</v>
      </c>
      <c r="AB31">
        <f t="shared" si="2"/>
        <v>0.39046167542586802</v>
      </c>
    </row>
    <row r="32" spans="1:28" x14ac:dyDescent="0.3">
      <c r="A32">
        <v>65536</v>
      </c>
      <c r="B32">
        <v>4</v>
      </c>
      <c r="C32">
        <v>125</v>
      </c>
      <c r="D32">
        <v>0.5</v>
      </c>
      <c r="E32">
        <v>10</v>
      </c>
      <c r="F32">
        <v>2047</v>
      </c>
      <c r="G32">
        <v>33692</v>
      </c>
      <c r="H32">
        <f t="shared" si="0"/>
        <v>32.015632633121641</v>
      </c>
      <c r="I32">
        <v>1754591125</v>
      </c>
      <c r="J32">
        <v>7107518850</v>
      </c>
      <c r="K32">
        <f>avg!I14/avg!H14</f>
        <v>4.0508120374768222</v>
      </c>
      <c r="L32">
        <f>avg!U14/avg!N14</f>
        <v>3.9511137759617077</v>
      </c>
      <c r="M32">
        <f>avg!V14/avg!Q14</f>
        <v>6.7319451176648988</v>
      </c>
      <c r="N32">
        <f>avg!W14/avg!R14</f>
        <v>0.21244950422328315</v>
      </c>
      <c r="O32">
        <f>avg!T14/avg!K14</f>
        <v>3.715431413655609</v>
      </c>
      <c r="P32">
        <f>avg!X32/avg!S32</f>
        <v>16.468526013456998</v>
      </c>
      <c r="Q32">
        <f>avg!K14/avg!H14</f>
        <v>3.4661921591561682E-3</v>
      </c>
      <c r="R32">
        <f>1-Q32-T32-U32</f>
        <v>0.82809429461806938</v>
      </c>
      <c r="S32">
        <f>avg!N14/avg!H14</f>
        <v>0.62754403821574101</v>
      </c>
      <c r="T32">
        <f>avg!Q14/avg!H14</f>
        <v>0.16805153109388946</v>
      </c>
      <c r="U32">
        <f>avg!R14/avg!H14</f>
        <v>3.8798212888487054E-4</v>
      </c>
      <c r="V32">
        <f>avg!T14/avg!I14</f>
        <v>3.1792142204448742E-3</v>
      </c>
      <c r="W32">
        <f>1-V32-Y32-Z32</f>
        <v>0.71751972208979797</v>
      </c>
      <c r="X32">
        <f>avg!U14/avg!I14</f>
        <v>0.61209897459505158</v>
      </c>
      <c r="Y32">
        <f>avg!V14/avg!I14</f>
        <v>0.27928071552001582</v>
      </c>
      <c r="Z32">
        <f>avg!W14/avg!I14</f>
        <v>2.0348169741399981E-5</v>
      </c>
      <c r="AA32">
        <f t="shared" si="1"/>
        <v>0.10542074749474639</v>
      </c>
      <c r="AB32">
        <f t="shared" si="2"/>
        <v>0.38923071648344698</v>
      </c>
    </row>
    <row r="33" spans="1:28" x14ac:dyDescent="0.3">
      <c r="A33">
        <v>524288</v>
      </c>
      <c r="B33">
        <v>4</v>
      </c>
      <c r="C33">
        <v>125</v>
      </c>
      <c r="D33">
        <v>0.35</v>
      </c>
      <c r="E33">
        <v>13</v>
      </c>
      <c r="F33">
        <v>16383</v>
      </c>
      <c r="G33">
        <v>829028</v>
      </c>
      <c r="H33">
        <f t="shared" si="0"/>
        <v>32.001953244216566</v>
      </c>
      <c r="I33">
        <v>30287637166.666668</v>
      </c>
      <c r="J33">
        <v>176399100700</v>
      </c>
      <c r="K33">
        <f>avg!I111/avg!H111</f>
        <v>5.8241288262042978</v>
      </c>
      <c r="L33">
        <f>avg!U111/avg!N111</f>
        <v>5.4332976089897587</v>
      </c>
      <c r="M33">
        <f>avg!V111/avg!Q111</f>
        <v>6.8970776194484849</v>
      </c>
      <c r="N33">
        <f>avg!W111/avg!R111</f>
        <v>0.43438414398498315</v>
      </c>
      <c r="O33">
        <f>avg!T111/avg!K111</f>
        <v>0.98115148513782247</v>
      </c>
      <c r="P33">
        <f>avg!X33/avg!S33</f>
        <v>15.825785823097394</v>
      </c>
      <c r="Q33">
        <f>avg!K111/avg!H111</f>
        <v>7.1337027319447049E-3</v>
      </c>
      <c r="R33">
        <f>1-Q33-T33-U33</f>
        <v>0.75601471454059666</v>
      </c>
      <c r="S33">
        <f>avg!N111/avg!H111</f>
        <v>0.73039441840909969</v>
      </c>
      <c r="T33">
        <f>avg!Q111/avg!H111</f>
        <v>0.23671204174433699</v>
      </c>
      <c r="U33">
        <f>avg!R111/avg!H111</f>
        <v>1.3954098312158971E-4</v>
      </c>
      <c r="V33">
        <f>avg!T111/avg!I111</f>
        <v>1.201766519739028E-3</v>
      </c>
      <c r="W33">
        <f>1-V33-Y33-Z33</f>
        <v>0.71846756283756186</v>
      </c>
      <c r="X33">
        <f>avg!U111/avg!I111</f>
        <v>0.68138091817380786</v>
      </c>
      <c r="Y33">
        <f>avg!V111/avg!I111</f>
        <v>0.28032026318223363</v>
      </c>
      <c r="Z33">
        <f>avg!W111/avg!I111</f>
        <v>1.040746046539605E-5</v>
      </c>
      <c r="AA33">
        <f t="shared" si="1"/>
        <v>3.7086644663753998E-2</v>
      </c>
      <c r="AB33">
        <f t="shared" si="2"/>
        <v>0.39016411830078845</v>
      </c>
    </row>
    <row r="34" spans="1:28" x14ac:dyDescent="0.3">
      <c r="A34">
        <v>524288</v>
      </c>
      <c r="B34">
        <v>5</v>
      </c>
      <c r="C34">
        <v>216</v>
      </c>
      <c r="D34">
        <v>0.8</v>
      </c>
      <c r="E34">
        <v>12</v>
      </c>
      <c r="F34">
        <v>8191</v>
      </c>
      <c r="G34">
        <v>34145.333333333336</v>
      </c>
      <c r="H34">
        <f t="shared" si="0"/>
        <v>64.007813453790746</v>
      </c>
      <c r="I34">
        <v>7626782100</v>
      </c>
      <c r="J34">
        <v>29434992533.333332</v>
      </c>
      <c r="K34">
        <f>avg!I101/avg!H101</f>
        <v>3.8594248724286135</v>
      </c>
      <c r="L34">
        <f>avg!U101/avg!N101</f>
        <v>2.1946929151203993</v>
      </c>
      <c r="M34">
        <f>avg!V101/avg!Q101</f>
        <v>7.3007352146536588</v>
      </c>
      <c r="N34">
        <f>avg!W101/avg!R101</f>
        <v>0.41755258820149105</v>
      </c>
      <c r="O34">
        <f>avg!T101/avg!K101</f>
        <v>30.706489581337934</v>
      </c>
      <c r="P34">
        <f>avg!X34/avg!S34</f>
        <v>9.4034838463531578</v>
      </c>
      <c r="Q34">
        <f>avg!K101/avg!H101</f>
        <v>8.2136868706397153E-4</v>
      </c>
      <c r="R34">
        <f>1-Q34-T34-U34</f>
        <v>0.84706599917152481</v>
      </c>
      <c r="S34">
        <f>avg!N101/avg!H101</f>
        <v>0.7251510655675697</v>
      </c>
      <c r="T34">
        <f>avg!Q101/avg!H101</f>
        <v>0.15153460767331131</v>
      </c>
      <c r="U34">
        <f>avg!R101/avg!H101</f>
        <v>5.7802446809994304E-4</v>
      </c>
      <c r="V34">
        <f>avg!T101/avg!I101</f>
        <v>6.5350019408192458E-3</v>
      </c>
      <c r="W34">
        <f>1-V34-Y34-Z34</f>
        <v>0.70674989447027492</v>
      </c>
      <c r="X34">
        <f>avg!U101/avg!I101</f>
        <v>0.41236297080494361</v>
      </c>
      <c r="Y34">
        <f>avg!V101/avg!I101</f>
        <v>0.28665256691033919</v>
      </c>
      <c r="Z34">
        <f>avg!W101/avg!I101</f>
        <v>6.2536678566577208E-5</v>
      </c>
      <c r="AA34">
        <f t="shared" si="1"/>
        <v>0.29438692366533131</v>
      </c>
      <c r="AB34">
        <f t="shared" si="2"/>
        <v>0.40559265611944917</v>
      </c>
    </row>
    <row r="35" spans="1:28" x14ac:dyDescent="0.3">
      <c r="A35">
        <v>1048576</v>
      </c>
      <c r="B35">
        <v>4</v>
      </c>
      <c r="C35">
        <v>125</v>
      </c>
      <c r="D35">
        <v>0.5</v>
      </c>
      <c r="E35">
        <v>14</v>
      </c>
      <c r="F35">
        <v>32767</v>
      </c>
      <c r="G35">
        <v>721759</v>
      </c>
      <c r="H35">
        <f t="shared" si="0"/>
        <v>32.000976592303232</v>
      </c>
      <c r="I35">
        <v>25123108300</v>
      </c>
      <c r="J35">
        <v>140069335825</v>
      </c>
      <c r="K35">
        <f>avg!I135/avg!H135</f>
        <v>5.5753187126530834</v>
      </c>
      <c r="L35">
        <f>avg!U135/avg!N135</f>
        <v>4.8334828268161178</v>
      </c>
      <c r="M35">
        <f>avg!V135/avg!Q135</f>
        <v>6.9207461740329306</v>
      </c>
      <c r="N35">
        <f>avg!W135/avg!R135</f>
        <v>0.45009779452350668</v>
      </c>
      <c r="O35">
        <f>avg!T135/avg!K135</f>
        <v>4.1077423225965113</v>
      </c>
      <c r="P35">
        <f>avg!X35/avg!S35</f>
        <v>14.073955771054562</v>
      </c>
      <c r="Q35">
        <f>avg!K135/avg!H135</f>
        <v>5.6569104946301565E-3</v>
      </c>
      <c r="R35">
        <f>1-Q35-T35-U35</f>
        <v>0.74514513397213678</v>
      </c>
      <c r="S35">
        <f>avg!N135/avg!H135</f>
        <v>0.68938904347277763</v>
      </c>
      <c r="T35">
        <f>avg!Q135/avg!H135</f>
        <v>0.24886623702529675</v>
      </c>
      <c r="U35">
        <f>avg!R135/avg!H135</f>
        <v>3.3171850793637666E-4</v>
      </c>
      <c r="V35">
        <f>avg!T135/avg!I135</f>
        <v>4.1678569157304708E-3</v>
      </c>
      <c r="W35">
        <f>1-V35-Y35-Z35</f>
        <v>0.68688310316688117</v>
      </c>
      <c r="X35">
        <f>avg!U135/avg!I135</f>
        <v>0.59766091847962111</v>
      </c>
      <c r="Y35">
        <f>avg!V135/avg!I135</f>
        <v>0.3089222601445144</v>
      </c>
      <c r="Z35">
        <f>avg!W135/avg!I135</f>
        <v>2.6779772873960508E-5</v>
      </c>
      <c r="AA35">
        <f t="shared" si="1"/>
        <v>8.9222184687260064E-2</v>
      </c>
      <c r="AB35">
        <f t="shared" si="2"/>
        <v>0.44974502753121359</v>
      </c>
    </row>
    <row r="36" spans="1:28" x14ac:dyDescent="0.3">
      <c r="A36">
        <v>262144</v>
      </c>
      <c r="B36">
        <v>4</v>
      </c>
      <c r="C36">
        <v>125</v>
      </c>
      <c r="D36">
        <v>0.5</v>
      </c>
      <c r="E36">
        <v>12</v>
      </c>
      <c r="F36">
        <v>8191</v>
      </c>
      <c r="G36">
        <v>173785</v>
      </c>
      <c r="H36">
        <f t="shared" si="0"/>
        <v>32.003906726895373</v>
      </c>
      <c r="I36">
        <v>6272611275</v>
      </c>
      <c r="J36">
        <v>33491168475</v>
      </c>
      <c r="K36">
        <f>avg!I74/avg!H74</f>
        <v>5.3392705217493335</v>
      </c>
      <c r="L36">
        <f>avg!U74/avg!N74</f>
        <v>4.6826590979233584</v>
      </c>
      <c r="M36">
        <f>avg!V74/avg!Q74</f>
        <v>6.8892380080901532</v>
      </c>
      <c r="N36">
        <f>avg!W74/avg!R74</f>
        <v>0.37223716140880175</v>
      </c>
      <c r="O36">
        <f>avg!T74/avg!K74</f>
        <v>2.3615475668506907</v>
      </c>
      <c r="P36">
        <f>avg!X36/avg!S36</f>
        <v>15.010540963117766</v>
      </c>
      <c r="Q36">
        <f>avg!K74/avg!H74</f>
        <v>5.8721875762977197E-3</v>
      </c>
      <c r="R36">
        <f>1-Q36-T36-U36</f>
        <v>0.75363180783110151</v>
      </c>
      <c r="S36">
        <f>avg!N74/avg!H74</f>
        <v>0.66802195948289489</v>
      </c>
      <c r="T36">
        <f>avg!Q74/avg!H74</f>
        <v>0.24013139567619707</v>
      </c>
      <c r="U36">
        <f>avg!R74/avg!H74</f>
        <v>3.6460891640379865E-4</v>
      </c>
      <c r="V36">
        <f>avg!T74/avg!I74</f>
        <v>2.5972556038148203E-3</v>
      </c>
      <c r="W36">
        <f>1-V36-Y36-Z36</f>
        <v>0.68753680816446938</v>
      </c>
      <c r="X36">
        <f>avg!U74/avg!I74</f>
        <v>0.58587012840853114</v>
      </c>
      <c r="Y36">
        <f>avg!V74/avg!I74</f>
        <v>0.30984051684389613</v>
      </c>
      <c r="Z36">
        <f>avg!W74/avg!I74</f>
        <v>2.5419387819672062E-5</v>
      </c>
      <c r="AA36">
        <f t="shared" si="1"/>
        <v>0.10166667975593824</v>
      </c>
      <c r="AB36">
        <f t="shared" si="2"/>
        <v>0.45065298783214747</v>
      </c>
    </row>
    <row r="37" spans="1:28" x14ac:dyDescent="0.3">
      <c r="A37">
        <v>524288</v>
      </c>
      <c r="B37">
        <v>4</v>
      </c>
      <c r="C37">
        <v>125</v>
      </c>
      <c r="D37">
        <v>0.2</v>
      </c>
      <c r="E37">
        <v>13</v>
      </c>
      <c r="F37">
        <v>16383</v>
      </c>
      <c r="G37">
        <v>3670533.3333333335</v>
      </c>
      <c r="H37">
        <f t="shared" si="0"/>
        <v>32.001953244216566</v>
      </c>
      <c r="I37">
        <v>117384732933.33333</v>
      </c>
      <c r="J37">
        <v>703136337633.33337</v>
      </c>
      <c r="K37">
        <f>avg!I117/avg!H117</f>
        <v>5.9900152265343376</v>
      </c>
      <c r="L37">
        <f>avg!U117/avg!N117</f>
        <v>5.6802478628331228</v>
      </c>
      <c r="M37">
        <f>avg!V117/avg!Q117</f>
        <v>6.8320805588194409</v>
      </c>
      <c r="N37">
        <f>avg!W117/avg!R117</f>
        <v>0.28186663373203241</v>
      </c>
      <c r="O37">
        <f>avg!T117/avg!K117</f>
        <v>0.64636033606665266</v>
      </c>
      <c r="P37">
        <f>avg!X37/avg!S37</f>
        <v>2.9351905547335342</v>
      </c>
      <c r="Q37">
        <f>avg!K117/avg!H117</f>
        <v>6.7180587596617353E-3</v>
      </c>
      <c r="R37">
        <f>1-Q37-T37-U37</f>
        <v>0.71998904645745199</v>
      </c>
      <c r="S37">
        <f>avg!N117/avg!H117</f>
        <v>0.71500323937071852</v>
      </c>
      <c r="T37">
        <f>avg!Q117/avg!H117</f>
        <v>0.27323311472042572</v>
      </c>
      <c r="U37">
        <f>avg!R117/avg!H117</f>
        <v>5.9780062460524613E-5</v>
      </c>
      <c r="V37">
        <f>avg!T117/avg!I117</f>
        <v>7.249208146208353E-4</v>
      </c>
      <c r="W37">
        <f>1-V37-Y37-Z37</f>
        <v>0.68762854232137627</v>
      </c>
      <c r="X37">
        <f>avg!U117/avg!I117</f>
        <v>0.67802759571683069</v>
      </c>
      <c r="Y37">
        <f>avg!V117/avg!I117</f>
        <v>0.3116437238486211</v>
      </c>
      <c r="Z37">
        <f>avg!W117/avg!I117</f>
        <v>2.8130153818970627E-6</v>
      </c>
      <c r="AA37">
        <f t="shared" si="1"/>
        <v>9.6009466045455794E-3</v>
      </c>
      <c r="AB37">
        <f t="shared" si="2"/>
        <v>0.45321522401693515</v>
      </c>
    </row>
    <row r="38" spans="1:28" x14ac:dyDescent="0.3">
      <c r="A38">
        <v>65536</v>
      </c>
      <c r="B38">
        <v>4</v>
      </c>
      <c r="C38">
        <v>125</v>
      </c>
      <c r="D38">
        <v>0.35</v>
      </c>
      <c r="E38">
        <v>10</v>
      </c>
      <c r="F38">
        <v>2047</v>
      </c>
      <c r="G38">
        <v>86525.333333333328</v>
      </c>
      <c r="H38">
        <f t="shared" si="0"/>
        <v>32.015632633121641</v>
      </c>
      <c r="I38">
        <v>3301471000</v>
      </c>
      <c r="J38">
        <v>16211401533.333334</v>
      </c>
      <c r="K38">
        <f>avg!I20/avg!H20</f>
        <v>4.9103570903192351</v>
      </c>
      <c r="L38">
        <f>avg!U20/avg!N20</f>
        <v>4.9721555925927605</v>
      </c>
      <c r="M38">
        <f>avg!V20/avg!Q20</f>
        <v>6.754700722777625</v>
      </c>
      <c r="N38">
        <f>avg!W20/avg!R20</f>
        <v>0.21829048477374061</v>
      </c>
      <c r="O38">
        <f>avg!T20/avg!K20</f>
        <v>1.2841495158857588</v>
      </c>
      <c r="P38">
        <f>avg!X38/avg!S38</f>
        <v>2.5201354014930475</v>
      </c>
      <c r="Q38">
        <f>avg!K20/avg!H20</f>
        <v>4.9803254367522844E-3</v>
      </c>
      <c r="R38">
        <f>1-Q38-T38-U38</f>
        <v>0.76625376991044292</v>
      </c>
      <c r="S38">
        <f>avg!N20/avg!H20</f>
        <v>0.62913489168918946</v>
      </c>
      <c r="T38">
        <f>avg!Q20/avg!H20</f>
        <v>0.2285530500394117</v>
      </c>
      <c r="U38">
        <f>avg!R20/avg!H20</f>
        <v>2.1285461339304006E-4</v>
      </c>
      <c r="V38">
        <f>avg!T20/avg!I20</f>
        <v>1.302447537098201E-3</v>
      </c>
      <c r="W38">
        <f>1-V38-Y38-Z38</f>
        <v>0.68428988555926762</v>
      </c>
      <c r="X38">
        <f>avg!U20/avg!I20</f>
        <v>0.63705276676818523</v>
      </c>
      <c r="Y38">
        <f>avg!V20/avg!I20</f>
        <v>0.31439820442750693</v>
      </c>
      <c r="Z38">
        <f>avg!W20/avg!I20</f>
        <v>9.4624761273468015E-6</v>
      </c>
      <c r="AA38">
        <f t="shared" si="1"/>
        <v>4.7237118791082389E-2</v>
      </c>
      <c r="AB38">
        <f t="shared" si="2"/>
        <v>0.45945177776601276</v>
      </c>
    </row>
    <row r="39" spans="1:28" x14ac:dyDescent="0.3">
      <c r="A39">
        <v>65536</v>
      </c>
      <c r="B39">
        <v>5</v>
      </c>
      <c r="C39">
        <v>216</v>
      </c>
      <c r="D39">
        <v>0.95</v>
      </c>
      <c r="E39">
        <v>9</v>
      </c>
      <c r="F39">
        <v>1023</v>
      </c>
      <c r="G39">
        <v>3072</v>
      </c>
      <c r="H39">
        <f t="shared" si="0"/>
        <v>64.062561094819159</v>
      </c>
      <c r="I39">
        <v>848923800</v>
      </c>
      <c r="J39">
        <v>2372989266.6666665</v>
      </c>
      <c r="K39">
        <f>avg!I7/avg!H7</f>
        <v>2.7952912460066104</v>
      </c>
      <c r="L39">
        <f>avg!U7/avg!N7</f>
        <v>0.82445582748788315</v>
      </c>
      <c r="M39">
        <f>avg!V7/avg!Q7</f>
        <v>7.0038363594891937</v>
      </c>
      <c r="N39">
        <f>avg!W7/avg!R7</f>
        <v>0.20480225988700565</v>
      </c>
      <c r="O39">
        <f>avg!T7/avg!K7</f>
        <v>47.980901930717231</v>
      </c>
      <c r="P39">
        <f>avg!X39/avg!S39</f>
        <v>10.897619125059254</v>
      </c>
      <c r="Q39">
        <f>avg!K7/avg!H7</f>
        <v>5.6334070659031269E-4</v>
      </c>
      <c r="R39">
        <f>1-Q39-T39-U39</f>
        <v>0.87293649520329941</v>
      </c>
      <c r="S39">
        <f>avg!N7/avg!H7</f>
        <v>0.78652383170315165</v>
      </c>
      <c r="T39">
        <f>avg!Q7/avg!H7</f>
        <v>0.12566616697517491</v>
      </c>
      <c r="U39">
        <f>avg!R7/avg!H7</f>
        <v>8.3399711493540413E-4</v>
      </c>
      <c r="V39">
        <f>avg!T7/avg!I7</f>
        <v>9.6696883500442306E-3</v>
      </c>
      <c r="W39">
        <f>1-V39-Y39-Z39</f>
        <v>0.67540209972574949</v>
      </c>
      <c r="X39">
        <f>avg!U7/avg!I7</f>
        <v>0.23198089194897045</v>
      </c>
      <c r="Y39">
        <f>avg!V7/avg!I7</f>
        <v>0.31486710756017183</v>
      </c>
      <c r="Z39">
        <f>avg!W7/avg!I7</f>
        <v>6.1104364034347795E-5</v>
      </c>
      <c r="AA39">
        <f t="shared" si="1"/>
        <v>0.44342120777677907</v>
      </c>
      <c r="AB39">
        <f t="shared" si="2"/>
        <v>0.46619207682064545</v>
      </c>
    </row>
    <row r="40" spans="1:28" x14ac:dyDescent="0.3">
      <c r="A40">
        <v>131072</v>
      </c>
      <c r="B40">
        <v>4</v>
      </c>
      <c r="C40">
        <v>125</v>
      </c>
      <c r="D40">
        <v>0.5</v>
      </c>
      <c r="E40">
        <v>11</v>
      </c>
      <c r="F40">
        <v>4095</v>
      </c>
      <c r="G40">
        <v>81979</v>
      </c>
      <c r="H40">
        <f t="shared" si="0"/>
        <v>32.007814407814408</v>
      </c>
      <c r="I40">
        <v>3138537375</v>
      </c>
      <c r="J40">
        <v>15131765075</v>
      </c>
      <c r="K40">
        <f>avg!I45/avg!H45</f>
        <v>4.8212792352042646</v>
      </c>
      <c r="L40">
        <f>avg!U45/avg!N45</f>
        <v>4.2841897691493873</v>
      </c>
      <c r="M40">
        <f>avg!V45/avg!Q45</f>
        <v>6.7953277117021065</v>
      </c>
      <c r="N40">
        <f>avg!W45/avg!R45</f>
        <v>0.27770132764802791</v>
      </c>
      <c r="O40">
        <f>avg!T45/avg!K45</f>
        <v>2.344693264958901</v>
      </c>
      <c r="P40">
        <f>avg!X40/avg!S40</f>
        <v>4.420575551578783</v>
      </c>
      <c r="Q40">
        <f>avg!K45/avg!H45</f>
        <v>5.6602559974293755E-3</v>
      </c>
      <c r="R40">
        <f>1-Q40-T40-U40</f>
        <v>0.76560835921222703</v>
      </c>
      <c r="S40">
        <f>avg!N45/avg!H45</f>
        <v>0.63477760878982681</v>
      </c>
      <c r="T40">
        <f>avg!Q45/avg!H45</f>
        <v>0.22832040513775942</v>
      </c>
      <c r="U40">
        <f>avg!R45/avg!H45</f>
        <v>4.1097965258419139E-4</v>
      </c>
      <c r="V40">
        <f>avg!T45/avg!I45</f>
        <v>2.7527059661280129E-3</v>
      </c>
      <c r="W40">
        <f>1-V40-Y40-Z40</f>
        <v>0.67541857802732252</v>
      </c>
      <c r="X40">
        <f>avg!U45/avg!I45</f>
        <v>0.56406352019709771</v>
      </c>
      <c r="Y40">
        <f>avg!V45/avg!I45</f>
        <v>0.32180504394990417</v>
      </c>
      <c r="Z40">
        <f>avg!W45/avg!I45</f>
        <v>2.3672056645381141E-5</v>
      </c>
      <c r="AA40">
        <f t="shared" si="1"/>
        <v>0.11135505783022481</v>
      </c>
      <c r="AB40">
        <f t="shared" si="2"/>
        <v>0.47645275747343491</v>
      </c>
    </row>
    <row r="41" spans="1:28" x14ac:dyDescent="0.3">
      <c r="A41">
        <v>524288</v>
      </c>
      <c r="B41">
        <v>5</v>
      </c>
      <c r="C41">
        <v>216</v>
      </c>
      <c r="D41">
        <v>0.95</v>
      </c>
      <c r="E41">
        <v>12</v>
      </c>
      <c r="F41">
        <v>8191</v>
      </c>
      <c r="G41">
        <v>24568</v>
      </c>
      <c r="H41">
        <f t="shared" si="0"/>
        <v>64.007813453790746</v>
      </c>
      <c r="I41">
        <v>5548501433.333333</v>
      </c>
      <c r="J41">
        <v>18558100133.333332</v>
      </c>
      <c r="K41">
        <f>avg!I96/avg!H96</f>
        <v>3.3447049363352721</v>
      </c>
      <c r="L41">
        <f>avg!U96/avg!N96</f>
        <v>0.96442367903808057</v>
      </c>
      <c r="M41">
        <f>avg!V96/avg!Q96</f>
        <v>7.2322782409519881</v>
      </c>
      <c r="N41">
        <f>avg!W96/avg!R96</f>
        <v>0.45665027849010986</v>
      </c>
      <c r="O41">
        <f>avg!T96/avg!K96</f>
        <v>58.895513084635461</v>
      </c>
      <c r="P41">
        <f>avg!X41/avg!S41</f>
        <v>3.7592309681246316</v>
      </c>
      <c r="Q41">
        <f>avg!K96/avg!H96</f>
        <v>5.6864002612405087E-4</v>
      </c>
      <c r="R41">
        <f>1-Q41-T41-U41</f>
        <v>0.84795696457210978</v>
      </c>
      <c r="S41">
        <f>avg!N96/avg!H96</f>
        <v>0.68140860112000334</v>
      </c>
      <c r="T41">
        <f>avg!Q96/avg!H96</f>
        <v>0.15073878536680924</v>
      </c>
      <c r="U41">
        <f>avg!R96/avg!H96</f>
        <v>7.356100349570064E-4</v>
      </c>
      <c r="V41">
        <f>avg!T96/avg!I96</f>
        <v>1.0012944859563966E-2</v>
      </c>
      <c r="W41">
        <f>1-V41-Y41-Z41</f>
        <v>0.6639431215915198</v>
      </c>
      <c r="X41">
        <f>avg!U96/avg!I96</f>
        <v>0.19647969029530904</v>
      </c>
      <c r="Y41">
        <f>avg!V96/avg!I96</f>
        <v>0.32594350121371263</v>
      </c>
      <c r="Z41">
        <f>avg!W96/avg!I96</f>
        <v>1.0043233520362296E-4</v>
      </c>
      <c r="AA41">
        <f t="shared" si="1"/>
        <v>0.46746343129621076</v>
      </c>
      <c r="AB41">
        <f t="shared" si="2"/>
        <v>0.4909208192900657</v>
      </c>
    </row>
    <row r="42" spans="1:28" x14ac:dyDescent="0.3">
      <c r="A42">
        <v>1048576</v>
      </c>
      <c r="B42">
        <v>3</v>
      </c>
      <c r="C42">
        <v>64</v>
      </c>
      <c r="D42">
        <v>0.95</v>
      </c>
      <c r="E42">
        <v>14</v>
      </c>
      <c r="F42">
        <v>32767</v>
      </c>
      <c r="G42">
        <v>65536</v>
      </c>
      <c r="H42">
        <f t="shared" si="0"/>
        <v>32.000976592303232</v>
      </c>
      <c r="I42">
        <v>2949633000</v>
      </c>
      <c r="J42">
        <v>12294701600</v>
      </c>
      <c r="K42">
        <f>avg!I123/avg!H123</f>
        <v>4.168214011709253</v>
      </c>
      <c r="L42">
        <f>avg!U123/avg!N123</f>
        <v>1.1602183172249443</v>
      </c>
      <c r="M42">
        <f>avg!V123/avg!Q123</f>
        <v>6.929270692367993</v>
      </c>
      <c r="N42">
        <f>avg!W123/avg!R123</f>
        <v>0.48145777427640596</v>
      </c>
      <c r="O42">
        <f>avg!T123/avg!K123</f>
        <v>74.838504834752484</v>
      </c>
      <c r="P42">
        <f>avg!X42/avg!S42</f>
        <v>5.2226047166174459</v>
      </c>
      <c r="Q42">
        <f>avg!K123/avg!H123</f>
        <v>3.5236587060152908E-3</v>
      </c>
      <c r="R42">
        <f>1-Q42-T42-U42</f>
        <v>0.79682741321829975</v>
      </c>
      <c r="S42">
        <f>avg!N123/avg!H123</f>
        <v>0.46541297397563247</v>
      </c>
      <c r="T42">
        <f>avg!Q123/avg!H123</f>
        <v>0.19689475492939854</v>
      </c>
      <c r="U42">
        <f>avg!R123/avg!H123</f>
        <v>2.7541731462863346E-3</v>
      </c>
      <c r="V42">
        <f>avg!T123/avg!I123</f>
        <v>6.3265789224197191E-2</v>
      </c>
      <c r="W42">
        <f>1-V42-Y42-Z42</f>
        <v>0.6090967456528863</v>
      </c>
      <c r="X42">
        <f>avg!U123/avg!I123</f>
        <v>0.1295472487650019</v>
      </c>
      <c r="Y42">
        <f>avg!V123/avg!I123</f>
        <v>0.3273193389256393</v>
      </c>
      <c r="Z42">
        <f>avg!W123/avg!I123</f>
        <v>3.1812619727726181E-4</v>
      </c>
      <c r="AA42">
        <f t="shared" si="1"/>
        <v>0.4795494968878844</v>
      </c>
      <c r="AB42">
        <f t="shared" si="2"/>
        <v>0.53738480998578986</v>
      </c>
    </row>
    <row r="43" spans="1:28" x14ac:dyDescent="0.3">
      <c r="A43">
        <v>1048576</v>
      </c>
      <c r="B43">
        <v>4</v>
      </c>
      <c r="C43">
        <v>125</v>
      </c>
      <c r="D43">
        <v>0.35</v>
      </c>
      <c r="E43">
        <v>14</v>
      </c>
      <c r="F43">
        <v>32767</v>
      </c>
      <c r="G43">
        <v>1928665.3333333333</v>
      </c>
      <c r="H43">
        <f t="shared" si="0"/>
        <v>32.000976592303232</v>
      </c>
      <c r="I43">
        <v>59459055100</v>
      </c>
      <c r="J43">
        <v>350954259200</v>
      </c>
      <c r="K43">
        <f>avg!I140/avg!H140</f>
        <v>5.9024526812569542</v>
      </c>
      <c r="L43">
        <f>avg!U140/avg!N140</f>
        <v>5.4075990134112821</v>
      </c>
      <c r="M43">
        <f>avg!V140/avg!Q140</f>
        <v>6.9175408105489966</v>
      </c>
      <c r="N43">
        <f>avg!W140/avg!R140</f>
        <v>0.47067948600960618</v>
      </c>
      <c r="O43">
        <f>avg!T140/avg!K140</f>
        <v>2.3072254352314268</v>
      </c>
      <c r="P43">
        <f>avg!X43/avg!S43</f>
        <v>4.6019633415177754</v>
      </c>
      <c r="Q43">
        <f>avg!K140/avg!H140</f>
        <v>6.4604592076674293E-3</v>
      </c>
      <c r="R43">
        <f>1-Q43-T43-U43</f>
        <v>0.71267383460320066</v>
      </c>
      <c r="S43">
        <f>avg!N140/avg!H140</f>
        <v>0.69009398424384538</v>
      </c>
      <c r="T43">
        <f>avg!Q140/avg!H140</f>
        <v>0.28073054651239043</v>
      </c>
      <c r="U43">
        <f>avg!R140/avg!H140</f>
        <v>1.351596767414265E-4</v>
      </c>
      <c r="V43">
        <f>avg!T140/avg!I140</f>
        <v>2.5253460912169679E-3</v>
      </c>
      <c r="W43">
        <f>1-V43-Y43-Z43</f>
        <v>0.66845403586618346</v>
      </c>
      <c r="X43">
        <f>avg!U140/avg!I140</f>
        <v>0.63223743583885628</v>
      </c>
      <c r="Y43">
        <f>avg!V140/avg!I140</f>
        <v>0.32900983999987504</v>
      </c>
      <c r="Z43">
        <f>avg!W140/avg!I140</f>
        <v>1.0778042724491887E-5</v>
      </c>
      <c r="AA43">
        <f t="shared" si="1"/>
        <v>3.6216600027327184E-2</v>
      </c>
      <c r="AB43">
        <f t="shared" si="2"/>
        <v>0.49219515830066574</v>
      </c>
    </row>
    <row r="44" spans="1:28" x14ac:dyDescent="0.3">
      <c r="A44">
        <v>262144</v>
      </c>
      <c r="B44">
        <v>5</v>
      </c>
      <c r="C44">
        <v>216</v>
      </c>
      <c r="D44">
        <v>0.65</v>
      </c>
      <c r="E44">
        <v>11</v>
      </c>
      <c r="F44">
        <v>4095</v>
      </c>
      <c r="G44">
        <v>30738.666666666668</v>
      </c>
      <c r="H44">
        <f t="shared" si="0"/>
        <v>64.015628815628816</v>
      </c>
      <c r="I44">
        <v>5467417733.333333</v>
      </c>
      <c r="J44">
        <v>22518939500</v>
      </c>
      <c r="K44">
        <f>avg!I72/avg!H72</f>
        <v>4.1187523248330296</v>
      </c>
      <c r="L44">
        <f>avg!U72/avg!N72</f>
        <v>2.7760260126153584</v>
      </c>
      <c r="M44">
        <f>avg!V72/avg!Q72</f>
        <v>7.3642522785884843</v>
      </c>
      <c r="N44">
        <f>avg!W72/avg!R72</f>
        <v>0.39600765902272078</v>
      </c>
      <c r="O44">
        <f>avg!T72/avg!K72</f>
        <v>13.829390387190207</v>
      </c>
      <c r="P44">
        <f>avg!X44/avg!S44</f>
        <v>2.9053504772346055</v>
      </c>
      <c r="Q44">
        <f>avg!K72/avg!H72</f>
        <v>1.1156089213401486E-3</v>
      </c>
      <c r="R44">
        <f>1-Q44-T44-U44</f>
        <v>0.8094293959564044</v>
      </c>
      <c r="S44">
        <f>avg!N72/avg!H72</f>
        <v>0.67839934942596791</v>
      </c>
      <c r="T44">
        <f>avg!Q72/avg!H72</f>
        <v>0.18905061775293167</v>
      </c>
      <c r="U44">
        <f>avg!R72/avg!H72</f>
        <v>4.0437736932386829E-4</v>
      </c>
      <c r="V44">
        <f>avg!T72/avg!I72</f>
        <v>3.7458409916091596E-3</v>
      </c>
      <c r="W44">
        <f>1-V44-Y44-Z44</f>
        <v>0.65819630330874745</v>
      </c>
      <c r="X44">
        <f>avg!U72/avg!I72</f>
        <v>0.45723901133680533</v>
      </c>
      <c r="Y44">
        <f>avg!V72/avg!I72</f>
        <v>0.33801897583439339</v>
      </c>
      <c r="Z44">
        <f>avg!W72/avg!I72</f>
        <v>3.887986525001914E-5</v>
      </c>
      <c r="AA44">
        <f t="shared" si="1"/>
        <v>0.20095729197194212</v>
      </c>
      <c r="AB44">
        <f t="shared" si="2"/>
        <v>0.5135534401138</v>
      </c>
    </row>
    <row r="45" spans="1:28" x14ac:dyDescent="0.3">
      <c r="A45">
        <v>1048576</v>
      </c>
      <c r="B45">
        <v>5</v>
      </c>
      <c r="C45">
        <v>216</v>
      </c>
      <c r="D45">
        <v>0.5</v>
      </c>
      <c r="E45">
        <v>13</v>
      </c>
      <c r="F45">
        <v>16383</v>
      </c>
      <c r="G45">
        <v>310499</v>
      </c>
      <c r="H45">
        <f t="shared" si="0"/>
        <v>64.003906488433131</v>
      </c>
      <c r="I45">
        <v>45603542750</v>
      </c>
      <c r="J45">
        <v>225831018650</v>
      </c>
      <c r="K45">
        <f>avg!I138/avg!H138</f>
        <v>4.9520498854225528</v>
      </c>
      <c r="L45">
        <f>avg!U138/avg!N138</f>
        <v>3.9310719374042757</v>
      </c>
      <c r="M45">
        <f>avg!V138/avg!Q138</f>
        <v>7.3390022182812924</v>
      </c>
      <c r="N45">
        <f>avg!W138/avg!R138</f>
        <v>0.46895626936406276</v>
      </c>
      <c r="O45">
        <f>avg!T138/avg!K138</f>
        <v>12.849658787726959</v>
      </c>
      <c r="P45">
        <f>avg!X45/avg!S45</f>
        <v>4.103575239907145</v>
      </c>
      <c r="Q45">
        <f>avg!K138/avg!H138</f>
        <v>1.437695868486007E-3</v>
      </c>
      <c r="R45">
        <f>1-Q45-T45-U45</f>
        <v>0.76942258669146935</v>
      </c>
      <c r="S45">
        <f>avg!N138/avg!H138</f>
        <v>0.73336736870075736</v>
      </c>
      <c r="T45">
        <f>avg!Q138/avg!H138</f>
        <v>0.22896065459738871</v>
      </c>
      <c r="U45">
        <f>avg!R138/avg!H138</f>
        <v>1.7906284265601272E-4</v>
      </c>
      <c r="V45">
        <f>avg!T138/avg!I138</f>
        <v>3.7305563913949957E-3</v>
      </c>
      <c r="W45">
        <f>1-V45-Y45-Z45</f>
        <v>0.65692982395357058</v>
      </c>
      <c r="X45">
        <f>avg!U138/avg!I138</f>
        <v>0.58216697117572869</v>
      </c>
      <c r="Y45">
        <f>avg!V138/avg!I138</f>
        <v>0.33932266250706211</v>
      </c>
      <c r="Z45">
        <f>avg!W138/avg!I138</f>
        <v>1.6957147972373989E-5</v>
      </c>
      <c r="AA45">
        <f t="shared" si="1"/>
        <v>7.4762852777841893E-2</v>
      </c>
      <c r="AB45">
        <f t="shared" si="2"/>
        <v>0.51652802192010727</v>
      </c>
    </row>
    <row r="46" spans="1:28" x14ac:dyDescent="0.3">
      <c r="A46">
        <v>524288</v>
      </c>
      <c r="B46">
        <v>6</v>
      </c>
      <c r="C46">
        <v>343</v>
      </c>
      <c r="D46">
        <v>0.95</v>
      </c>
      <c r="E46">
        <v>11</v>
      </c>
      <c r="F46">
        <v>4095</v>
      </c>
      <c r="G46">
        <v>8192</v>
      </c>
      <c r="H46">
        <f t="shared" si="0"/>
        <v>128.03125763125763</v>
      </c>
      <c r="I46">
        <v>10408880766.666666</v>
      </c>
      <c r="J46">
        <v>24886387233.333332</v>
      </c>
      <c r="K46">
        <f>avg!I99/avg!H99</f>
        <v>2.3908802292201616</v>
      </c>
      <c r="L46">
        <f>avg!U99/avg!N99</f>
        <v>0.65438309504452374</v>
      </c>
      <c r="M46">
        <f>avg!V99/avg!Q99</f>
        <v>7.6007946034441893</v>
      </c>
      <c r="N46">
        <f>avg!W99/avg!R99</f>
        <v>0.43283991645959424</v>
      </c>
      <c r="O46">
        <f>avg!T99/avg!K99</f>
        <v>127.35157820073296</v>
      </c>
      <c r="P46">
        <f>avg!X46/avg!S46</f>
        <v>5.0906988785421792</v>
      </c>
      <c r="Q46">
        <f>avg!K99/avg!H99</f>
        <v>1.354452380555818E-4</v>
      </c>
      <c r="R46">
        <f>1-Q46-T46-U46</f>
        <v>0.89241336075380739</v>
      </c>
      <c r="S46">
        <f>avg!N99/avg!H99</f>
        <v>0.78720964181281838</v>
      </c>
      <c r="T46">
        <f>avg!Q99/avg!H99</f>
        <v>0.10703105917987218</v>
      </c>
      <c r="U46">
        <f>avg!R99/avg!H99</f>
        <v>4.2013482826490123E-4</v>
      </c>
      <c r="V46">
        <f>avg!T99/avg!I99</f>
        <v>7.2145666752108737E-3</v>
      </c>
      <c r="W46">
        <f>1-V46-Y46-Z46</f>
        <v>0.65244929344016456</v>
      </c>
      <c r="X46">
        <f>avg!U99/avg!I99</f>
        <v>0.21545900775899016</v>
      </c>
      <c r="Y46">
        <f>avg!V99/avg!I99</f>
        <v>0.34026007956100585</v>
      </c>
      <c r="Z46">
        <f>avg!W99/avg!I99</f>
        <v>7.6060323618661803E-5</v>
      </c>
      <c r="AA46">
        <f t="shared" si="1"/>
        <v>0.43699028568117437</v>
      </c>
      <c r="AB46">
        <f t="shared" si="2"/>
        <v>0.5215119136184807</v>
      </c>
    </row>
    <row r="47" spans="1:28" x14ac:dyDescent="0.3">
      <c r="A47">
        <v>65536</v>
      </c>
      <c r="B47">
        <v>6</v>
      </c>
      <c r="C47">
        <v>343</v>
      </c>
      <c r="D47">
        <v>0.95</v>
      </c>
      <c r="E47">
        <v>8</v>
      </c>
      <c r="F47">
        <v>511</v>
      </c>
      <c r="G47">
        <v>1024</v>
      </c>
      <c r="H47">
        <f t="shared" si="0"/>
        <v>128.2504892367906</v>
      </c>
      <c r="I47">
        <v>1462607333.3333333</v>
      </c>
      <c r="J47">
        <v>3063577366.6666665</v>
      </c>
      <c r="K47">
        <f>avg!I10/avg!H10</f>
        <v>2.0946000316330062</v>
      </c>
      <c r="L47">
        <f>avg!U10/avg!N10</f>
        <v>0.54601064748678996</v>
      </c>
      <c r="M47">
        <f>avg!V10/avg!Q10</f>
        <v>7.4453124761020701</v>
      </c>
      <c r="N47">
        <f>avg!W10/avg!R10</f>
        <v>0.27816987101484547</v>
      </c>
      <c r="O47">
        <f>avg!T10/avg!K10</f>
        <v>98.618220547271818</v>
      </c>
      <c r="P47">
        <f>avg!X47/avg!S47</f>
        <v>4.7869063420799201</v>
      </c>
      <c r="Q47">
        <f>avg!K10/avg!H10</f>
        <v>1.3908950727718674E-4</v>
      </c>
      <c r="R47">
        <f>1-Q47-T47-U47</f>
        <v>0.9025372268975359</v>
      </c>
      <c r="S47">
        <f>avg!N10/avg!H10</f>
        <v>0.83772700898076546</v>
      </c>
      <c r="T47">
        <f>avg!Q10/avg!H10</f>
        <v>9.6855455850305694E-2</v>
      </c>
      <c r="U47">
        <f>avg!R10/avg!H10</f>
        <v>4.6822774488117344E-4</v>
      </c>
      <c r="V47">
        <f>avg!T10/avg!I10</f>
        <v>6.5486295699991081E-3</v>
      </c>
      <c r="W47">
        <f>1-V47-Y47-Z47</f>
        <v>0.6491138502448569</v>
      </c>
      <c r="X47">
        <f>avg!U10/avg!I10</f>
        <v>0.21837480172009366</v>
      </c>
      <c r="Y47">
        <f>avg!V10/avg!I10</f>
        <v>0.34427533797878845</v>
      </c>
      <c r="Z47">
        <f>avg!W10/avg!I10</f>
        <v>6.2182206355465412E-5</v>
      </c>
      <c r="AA47">
        <f t="shared" si="1"/>
        <v>0.43073904852476325</v>
      </c>
      <c r="AB47">
        <f t="shared" si="2"/>
        <v>0.53037743355641209</v>
      </c>
    </row>
    <row r="48" spans="1:28" x14ac:dyDescent="0.3">
      <c r="A48">
        <v>131072</v>
      </c>
      <c r="B48">
        <v>3</v>
      </c>
      <c r="C48">
        <v>64</v>
      </c>
      <c r="D48">
        <v>0.95</v>
      </c>
      <c r="E48">
        <v>11</v>
      </c>
      <c r="F48">
        <v>4095</v>
      </c>
      <c r="G48">
        <v>8192</v>
      </c>
      <c r="H48">
        <f t="shared" si="0"/>
        <v>32.007814407814408</v>
      </c>
      <c r="I48">
        <v>451314833.33333331</v>
      </c>
      <c r="J48">
        <v>1395534633.3333333</v>
      </c>
      <c r="K48">
        <f>avg!I34/avg!H34</f>
        <v>3.0921532603441277</v>
      </c>
      <c r="L48">
        <f>avg!U34/avg!N34</f>
        <v>0.68300330977220414</v>
      </c>
      <c r="M48">
        <f>avg!V34/avg!Q34</f>
        <v>5.6221500680955092</v>
      </c>
      <c r="N48">
        <f>avg!W34/avg!R34</f>
        <v>0.30569555085893896</v>
      </c>
      <c r="O48">
        <f>avg!T34/avg!K34</f>
        <v>29.340235224352639</v>
      </c>
      <c r="P48">
        <f>avg!X48/avg!S48</f>
        <v>4.8022899330330073</v>
      </c>
      <c r="Q48">
        <f>avg!K34/avg!H34</f>
        <v>2.9891919498915946E-3</v>
      </c>
      <c r="R48">
        <f>1-Q48-T48-U48</f>
        <v>0.79845547583375842</v>
      </c>
      <c r="S48">
        <f>avg!N34/avg!H34</f>
        <v>0.64281202072906241</v>
      </c>
      <c r="T48">
        <f>avg!Q34/avg!H34</f>
        <v>0.19582951886137137</v>
      </c>
      <c r="U48">
        <f>avg!R34/avg!H34</f>
        <v>2.725813354978731E-3</v>
      </c>
      <c r="V48">
        <f>avg!T34/avg!I34</f>
        <v>2.836327554178221E-2</v>
      </c>
      <c r="W48">
        <f>1-V48-Y48-Z48</f>
        <v>0.61531020405345715</v>
      </c>
      <c r="X48">
        <f>avg!U34/avg!I34</f>
        <v>0.14198608566719198</v>
      </c>
      <c r="Y48">
        <f>avg!V34/avg!I34</f>
        <v>0.35605704184243464</v>
      </c>
      <c r="Z48">
        <f>avg!W34/avg!I34</f>
        <v>2.694785623258986E-4</v>
      </c>
      <c r="AA48">
        <f t="shared" si="1"/>
        <v>0.4733241183862652</v>
      </c>
      <c r="AB48">
        <f t="shared" si="2"/>
        <v>0.57866266396502175</v>
      </c>
    </row>
    <row r="49" spans="1:28" x14ac:dyDescent="0.3">
      <c r="A49">
        <v>131072</v>
      </c>
      <c r="B49">
        <v>3</v>
      </c>
      <c r="C49">
        <v>64</v>
      </c>
      <c r="D49">
        <v>0.8</v>
      </c>
      <c r="E49">
        <v>11</v>
      </c>
      <c r="F49">
        <v>4095</v>
      </c>
      <c r="G49">
        <v>14613.333333333334</v>
      </c>
      <c r="H49">
        <f t="shared" si="0"/>
        <v>32.007814407814408</v>
      </c>
      <c r="I49">
        <v>582082066.66666663</v>
      </c>
      <c r="J49">
        <v>2481475433.3333335</v>
      </c>
      <c r="K49">
        <f>avg!I36/avg!H36</f>
        <v>4.263102362083881</v>
      </c>
      <c r="L49">
        <f>avg!U36/avg!N36</f>
        <v>1.5696565839036278</v>
      </c>
      <c r="M49">
        <f>avg!V36/avg!Q36</f>
        <v>6.1671504285339678</v>
      </c>
      <c r="N49">
        <f>avg!W36/avg!R36</f>
        <v>0.30306469920544837</v>
      </c>
      <c r="O49">
        <f>avg!T36/avg!K36</f>
        <v>4.6172710857605717</v>
      </c>
      <c r="P49">
        <f>avg!X49/avg!S49</f>
        <v>1.5163404608062949</v>
      </c>
      <c r="Q49">
        <f>avg!K36/avg!H36</f>
        <v>1.3573801907199571E-2</v>
      </c>
      <c r="R49">
        <f>1-Q49-T49-U49</f>
        <v>0.73780066063994876</v>
      </c>
      <c r="S49">
        <f>avg!N36/avg!H36</f>
        <v>0.62462704285340753</v>
      </c>
      <c r="T49">
        <f>avg!Q36/avg!H36</f>
        <v>0.24655704333100342</v>
      </c>
      <c r="U49">
        <f>avg!R36/avg!H36</f>
        <v>2.0684941218483397E-3</v>
      </c>
      <c r="V49">
        <f>avg!T36/avg!I36</f>
        <v>1.4701482100776521E-2</v>
      </c>
      <c r="W49">
        <f>1-V49-Y49-Z49</f>
        <v>0.62847357357812794</v>
      </c>
      <c r="X49">
        <f>avg!U36/avg!I36</f>
        <v>0.22998508293379169</v>
      </c>
      <c r="Y49">
        <f>avg!V36/avg!I36</f>
        <v>0.35667789470895828</v>
      </c>
      <c r="Z49">
        <f>avg!W36/avg!I36</f>
        <v>1.4704961213733822E-4</v>
      </c>
      <c r="AA49">
        <f t="shared" si="1"/>
        <v>0.39848849064433622</v>
      </c>
      <c r="AB49">
        <f t="shared" si="2"/>
        <v>0.56753045745147512</v>
      </c>
    </row>
    <row r="50" spans="1:28" x14ac:dyDescent="0.3">
      <c r="A50">
        <v>262144</v>
      </c>
      <c r="B50">
        <v>6</v>
      </c>
      <c r="C50">
        <v>343</v>
      </c>
      <c r="D50">
        <v>0.8</v>
      </c>
      <c r="E50">
        <v>10</v>
      </c>
      <c r="F50">
        <v>2047</v>
      </c>
      <c r="G50">
        <v>7661.333333333333</v>
      </c>
      <c r="H50">
        <f t="shared" si="0"/>
        <v>128.06253053248656</v>
      </c>
      <c r="I50">
        <v>7254045133.333333</v>
      </c>
      <c r="J50">
        <v>22012803366.666668</v>
      </c>
      <c r="K50">
        <f>avg!I71/avg!H71</f>
        <v>3.0345556116703514</v>
      </c>
      <c r="L50">
        <f>avg!U71/avg!N71</f>
        <v>1.5721977037482886</v>
      </c>
      <c r="M50">
        <f>avg!V71/avg!Q71</f>
        <v>7.6578655295097242</v>
      </c>
      <c r="N50">
        <f>avg!W71/avg!R71</f>
        <v>0.40549440635149764</v>
      </c>
      <c r="O50">
        <f>avg!T71/avg!K71</f>
        <v>45.637695777113819</v>
      </c>
      <c r="P50">
        <f>avg!X50/avg!S50</f>
        <v>3.501160230848408</v>
      </c>
      <c r="Q50">
        <f>avg!K71/avg!H71</f>
        <v>2.4146067945152112E-4</v>
      </c>
      <c r="R50">
        <f>1-Q50-T50-U50</f>
        <v>0.85719926179670758</v>
      </c>
      <c r="S50">
        <f>avg!N71/avg!H71</f>
        <v>0.74686769479432624</v>
      </c>
      <c r="T50">
        <f>avg!Q71/avg!H71</f>
        <v>0.14225368251316001</v>
      </c>
      <c r="U50">
        <f>avg!R71/avg!H71</f>
        <v>3.0559501068079927E-4</v>
      </c>
      <c r="V50">
        <f>avg!T71/avg!I71</f>
        <v>3.6314078373004318E-3</v>
      </c>
      <c r="W50">
        <f>1-V50-Y50-Z50</f>
        <v>0.63734288024599195</v>
      </c>
      <c r="X50">
        <f>avg!U71/avg!I71</f>
        <v>0.38695078457075088</v>
      </c>
      <c r="Y50">
        <f>avg!V71/avg!I71</f>
        <v>0.35898487659078271</v>
      </c>
      <c r="Z50">
        <f>avg!W71/avg!I71</f>
        <v>4.0835325924964993E-5</v>
      </c>
      <c r="AA50">
        <f t="shared" si="1"/>
        <v>0.25039209567524107</v>
      </c>
      <c r="AB50">
        <f t="shared" si="2"/>
        <v>0.56325235241072613</v>
      </c>
    </row>
    <row r="51" spans="1:28" x14ac:dyDescent="0.3">
      <c r="A51">
        <v>131072</v>
      </c>
      <c r="B51">
        <v>4</v>
      </c>
      <c r="C51">
        <v>125</v>
      </c>
      <c r="D51">
        <v>0.35</v>
      </c>
      <c r="E51">
        <v>11</v>
      </c>
      <c r="F51">
        <v>4095</v>
      </c>
      <c r="G51">
        <v>208597.33333333334</v>
      </c>
      <c r="H51">
        <f t="shared" si="0"/>
        <v>32.007814407814408</v>
      </c>
      <c r="I51">
        <v>6386454933.333333</v>
      </c>
      <c r="J51">
        <v>34450600466.666664</v>
      </c>
      <c r="K51">
        <f>avg!I50/avg!H50</f>
        <v>5.3943229579302123</v>
      </c>
      <c r="L51">
        <f>avg!U50/avg!N50</f>
        <v>5.0388452392769691</v>
      </c>
      <c r="M51">
        <f>avg!V50/avg!Q50</f>
        <v>6.812073829564838</v>
      </c>
      <c r="N51">
        <f>avg!W50/avg!R50</f>
        <v>0.28211988680216099</v>
      </c>
      <c r="O51">
        <f>avg!T50/avg!K50</f>
        <v>0.94770203650911145</v>
      </c>
      <c r="P51">
        <f>avg!X51/avg!S51</f>
        <v>5.7024555943945821</v>
      </c>
      <c r="Q51">
        <f>avg!K50/avg!H50</f>
        <v>6.6276727504035009E-3</v>
      </c>
      <c r="R51">
        <f>1-Q51-T51-U51</f>
        <v>0.70763750998676112</v>
      </c>
      <c r="S51">
        <f>avg!N50/avg!H50</f>
        <v>0.6278058863412842</v>
      </c>
      <c r="T51">
        <f>avg!Q50/avg!H50</f>
        <v>0.28553193997329185</v>
      </c>
      <c r="U51">
        <f>avg!R50/avg!H50</f>
        <v>2.0287728954354481E-4</v>
      </c>
      <c r="V51">
        <f>avg!T50/avg!I50</f>
        <v>1.164383188003146E-3</v>
      </c>
      <c r="W51">
        <f>1-V51-Y51-Z51</f>
        <v>0.63824877270112101</v>
      </c>
      <c r="X51">
        <f>avg!U50/avg!I50</f>
        <v>0.58643442861171069</v>
      </c>
      <c r="Y51">
        <f>avg!V50/avg!I50</f>
        <v>0.36057623374912939</v>
      </c>
      <c r="Z51">
        <f>avg!W50/avg!I50</f>
        <v>1.0610361746437833E-5</v>
      </c>
      <c r="AA51">
        <f t="shared" si="1"/>
        <v>5.1814344089410325E-2</v>
      </c>
      <c r="AB51">
        <f t="shared" si="2"/>
        <v>0.56494622343438483</v>
      </c>
    </row>
    <row r="52" spans="1:28" x14ac:dyDescent="0.3">
      <c r="A52">
        <v>131072</v>
      </c>
      <c r="B52">
        <v>5</v>
      </c>
      <c r="C52">
        <v>216</v>
      </c>
      <c r="D52">
        <v>0.5</v>
      </c>
      <c r="E52">
        <v>10</v>
      </c>
      <c r="F52">
        <v>2047</v>
      </c>
      <c r="G52">
        <v>34586</v>
      </c>
      <c r="H52">
        <f t="shared" si="0"/>
        <v>64.031265266243281</v>
      </c>
      <c r="I52">
        <v>5130455750</v>
      </c>
      <c r="J52">
        <v>23321258050</v>
      </c>
      <c r="K52">
        <f>avg!I48/avg!H48</f>
        <v>4.545650364492472</v>
      </c>
      <c r="L52">
        <f>avg!U48/avg!N48</f>
        <v>3.6110177167472797</v>
      </c>
      <c r="M52">
        <f>avg!V48/avg!Q48</f>
        <v>7.2760335373867981</v>
      </c>
      <c r="N52">
        <f>avg!W48/avg!R48</f>
        <v>0.29475665200864576</v>
      </c>
      <c r="O52">
        <f>avg!T48/avg!K48</f>
        <v>6.3088915105696541</v>
      </c>
      <c r="P52">
        <f>avg!X52/avg!S52</f>
        <v>5.4847112059991758</v>
      </c>
      <c r="Q52">
        <f>avg!K48/avg!H48</f>
        <v>1.2143365625948532E-3</v>
      </c>
      <c r="R52">
        <f>1-Q52-T52-U52</f>
        <v>0.77266729178981808</v>
      </c>
      <c r="S52">
        <f>avg!N48/avg!H48</f>
        <v>0.68498386327569438</v>
      </c>
      <c r="T52">
        <f>avg!Q48/avg!H48</f>
        <v>0.22585685491976029</v>
      </c>
      <c r="U52">
        <f>avg!R48/avg!H48</f>
        <v>2.6151672782676277E-4</v>
      </c>
      <c r="V52">
        <f>avg!T48/avg!I48</f>
        <v>1.6853732725623694E-3</v>
      </c>
      <c r="W52">
        <f>1-V52-Y52-Z52</f>
        <v>0.63677799212894515</v>
      </c>
      <c r="X52">
        <f>avg!U48/avg!I48</f>
        <v>0.54414410868370799</v>
      </c>
      <c r="Y52">
        <f>avg!V48/avg!I48</f>
        <v>0.36151967689410308</v>
      </c>
      <c r="Z52">
        <f>avg!W48/avg!I48</f>
        <v>1.695770438936505E-5</v>
      </c>
      <c r="AA52">
        <f t="shared" si="1"/>
        <v>9.2633883445237153E-2</v>
      </c>
      <c r="AB52">
        <f t="shared" si="2"/>
        <v>0.56773268134696575</v>
      </c>
    </row>
    <row r="53" spans="1:28" x14ac:dyDescent="0.3">
      <c r="A53">
        <v>524288</v>
      </c>
      <c r="B53">
        <v>3</v>
      </c>
      <c r="C53">
        <v>64</v>
      </c>
      <c r="D53">
        <v>0.8</v>
      </c>
      <c r="E53">
        <v>13</v>
      </c>
      <c r="F53">
        <v>16383</v>
      </c>
      <c r="G53">
        <v>54798.666666666664</v>
      </c>
      <c r="H53">
        <f t="shared" si="0"/>
        <v>32.001953244216566</v>
      </c>
      <c r="I53">
        <v>2516766966.6666665</v>
      </c>
      <c r="J53">
        <v>9091529466.666666</v>
      </c>
      <c r="K53">
        <f>avg!I94/avg!H94</f>
        <v>3.6123842958364745</v>
      </c>
      <c r="L53">
        <f>avg!U94/avg!N94</f>
        <v>2.3736771084020893</v>
      </c>
      <c r="M53">
        <f>avg!V94/avg!Q94</f>
        <v>6.964357122613559</v>
      </c>
      <c r="N53">
        <f>avg!W94/avg!R94</f>
        <v>0.41898724624556638</v>
      </c>
      <c r="O53">
        <f>avg!T94/avg!K94</f>
        <v>13.296768492522455</v>
      </c>
      <c r="P53">
        <f>avg!X53/avg!S53</f>
        <v>4.4648953256427291</v>
      </c>
      <c r="Q53">
        <f>avg!K94/avg!H94</f>
        <v>5.9203600746560977E-3</v>
      </c>
      <c r="R53">
        <f>1-Q53-T53-U53</f>
        <v>0.80338455120378038</v>
      </c>
      <c r="S53">
        <f>avg!N94/avg!H94</f>
        <v>0.44373979850260015</v>
      </c>
      <c r="T53">
        <f>avg!Q94/avg!H94</f>
        <v>0.18894005932929112</v>
      </c>
      <c r="U53">
        <f>avg!R94/avg!H94</f>
        <v>1.7550293922723001E-3</v>
      </c>
      <c r="V53">
        <f>avg!T94/avg!I94</f>
        <v>2.1792160207264575E-2</v>
      </c>
      <c r="W53">
        <f>1-V53-Y53-Z53</f>
        <v>0.61374457258537396</v>
      </c>
      <c r="X53">
        <f>avg!U94/avg!I94</f>
        <v>0.29157888960113509</v>
      </c>
      <c r="Y53">
        <f>avg!V94/avg!I94</f>
        <v>0.36425970776519584</v>
      </c>
      <c r="Z53">
        <f>avg!W94/avg!I94</f>
        <v>2.035594421655874E-4</v>
      </c>
      <c r="AA53">
        <f t="shared" si="1"/>
        <v>0.32216568298423887</v>
      </c>
      <c r="AB53">
        <f t="shared" si="2"/>
        <v>0.59350375390004129</v>
      </c>
    </row>
    <row r="54" spans="1:28" x14ac:dyDescent="0.3">
      <c r="A54">
        <v>65536</v>
      </c>
      <c r="B54">
        <v>6</v>
      </c>
      <c r="C54">
        <v>343</v>
      </c>
      <c r="D54">
        <v>0.8</v>
      </c>
      <c r="E54">
        <v>8</v>
      </c>
      <c r="F54">
        <v>511</v>
      </c>
      <c r="G54">
        <v>1869.3333333333333</v>
      </c>
      <c r="H54">
        <f t="shared" si="0"/>
        <v>128.2504892367906</v>
      </c>
      <c r="I54">
        <v>1812309766.6666667</v>
      </c>
      <c r="J54">
        <v>5201829733.333333</v>
      </c>
      <c r="K54">
        <f>avg!I12/avg!H12</f>
        <v>2.8702762789282543</v>
      </c>
      <c r="L54">
        <f>avg!U12/avg!N12</f>
        <v>1.2116752952948722</v>
      </c>
      <c r="M54">
        <f>avg!V12/avg!Q12</f>
        <v>7.4908815615286644</v>
      </c>
      <c r="N54">
        <f>avg!W12/avg!R12</f>
        <v>0.21065778517901748</v>
      </c>
      <c r="O54">
        <f>avg!T12/avg!K12</f>
        <v>45.648432231962232</v>
      </c>
      <c r="P54">
        <f>avg!X54/avg!S54</f>
        <v>6.3757526361423817</v>
      </c>
      <c r="Q54">
        <f>avg!K12/avg!H12</f>
        <v>2.1821140841393689E-4</v>
      </c>
      <c r="R54">
        <f>1-Q54-T54-U54</f>
        <v>0.85875247632887197</v>
      </c>
      <c r="S54">
        <f>avg!N12/avg!H12</f>
        <v>0.80677648318877349</v>
      </c>
      <c r="T54">
        <f>avg!Q12/avg!H12</f>
        <v>0.14063169811680279</v>
      </c>
      <c r="U54">
        <f>avg!R12/avg!H12</f>
        <v>3.9761414591136949E-4</v>
      </c>
      <c r="V54">
        <f>avg!T12/avg!I12</f>
        <v>3.4704006587630717E-3</v>
      </c>
      <c r="W54">
        <f>1-V54-Y54-Z54</f>
        <v>0.62947811978877277</v>
      </c>
      <c r="X54">
        <f>avg!U12/avg!I12</f>
        <v>0.34057736555929313</v>
      </c>
      <c r="Y54">
        <f>avg!V12/avg!I12</f>
        <v>0.36702229751310844</v>
      </c>
      <c r="Z54">
        <f>avg!W12/avg!I12</f>
        <v>2.9182039355741569E-5</v>
      </c>
      <c r="AA54">
        <f t="shared" si="1"/>
        <v>0.28890075422947964</v>
      </c>
      <c r="AB54">
        <f t="shared" si="2"/>
        <v>0.58305806981228547</v>
      </c>
    </row>
    <row r="55" spans="1:28" x14ac:dyDescent="0.3">
      <c r="A55">
        <v>1048576</v>
      </c>
      <c r="B55">
        <v>5</v>
      </c>
      <c r="C55">
        <v>216</v>
      </c>
      <c r="D55">
        <v>0.35</v>
      </c>
      <c r="E55">
        <v>13</v>
      </c>
      <c r="F55">
        <v>16383</v>
      </c>
      <c r="G55">
        <v>864037.33333333337</v>
      </c>
      <c r="H55">
        <f t="shared" si="0"/>
        <v>64.003906488433131</v>
      </c>
      <c r="I55">
        <v>110172573266.66667</v>
      </c>
      <c r="J55">
        <v>580662635700</v>
      </c>
      <c r="K55">
        <f>avg!I143/avg!H143</f>
        <v>5.2704826481136822</v>
      </c>
      <c r="L55">
        <f>avg!U143/avg!N143</f>
        <v>4.406086976431749</v>
      </c>
      <c r="M55">
        <f>avg!V143/avg!Q143</f>
        <v>7.3614083567297239</v>
      </c>
      <c r="N55">
        <f>avg!W143/avg!R143</f>
        <v>0.22401458302371999</v>
      </c>
      <c r="O55">
        <f>avg!T143/avg!K143</f>
        <v>4.6290803579823043</v>
      </c>
      <c r="P55">
        <f>avg!X55/avg!S55</f>
        <v>4.7683468376621088</v>
      </c>
      <c r="Q55">
        <f>avg!K143/avg!H143</f>
        <v>1.6283369022564579E-3</v>
      </c>
      <c r="R55">
        <f>1-Q55-T55-U55</f>
        <v>0.73521256484234043</v>
      </c>
      <c r="S55">
        <f>avg!N143/avg!H143</f>
        <v>0.72033749429249205</v>
      </c>
      <c r="T55">
        <f>avg!Q143/avg!H143</f>
        <v>0.26299826663635356</v>
      </c>
      <c r="U55">
        <f>avg!R143/avg!H143</f>
        <v>1.6083161904955145E-4</v>
      </c>
      <c r="V55">
        <f>avg!T143/avg!I143</f>
        <v>1.4301730740183506E-3</v>
      </c>
      <c r="W55">
        <f>1-V55-Y55-Z55</f>
        <v>0.63122706237987514</v>
      </c>
      <c r="X55">
        <f>avg!U143/avg!I143</f>
        <v>0.60219715425371223</v>
      </c>
      <c r="Y55">
        <f>avg!V143/avg!I143</f>
        <v>0.36733592862035086</v>
      </c>
      <c r="Z55">
        <f>avg!W143/avg!I143</f>
        <v>6.8359257555491209E-6</v>
      </c>
      <c r="AA55">
        <f t="shared" si="1"/>
        <v>2.9029908126162907E-2</v>
      </c>
      <c r="AB55">
        <f t="shared" si="2"/>
        <v>0.58193944859621138</v>
      </c>
    </row>
    <row r="56" spans="1:28" x14ac:dyDescent="0.3">
      <c r="A56">
        <v>524288</v>
      </c>
      <c r="B56">
        <v>5</v>
      </c>
      <c r="C56">
        <v>216</v>
      </c>
      <c r="D56">
        <v>0.65</v>
      </c>
      <c r="E56">
        <v>12</v>
      </c>
      <c r="F56">
        <v>8191</v>
      </c>
      <c r="G56">
        <v>71026.666666666672</v>
      </c>
      <c r="H56">
        <f t="shared" si="0"/>
        <v>64.007813453790746</v>
      </c>
      <c r="I56">
        <v>10617944966.666666</v>
      </c>
      <c r="J56">
        <v>47444442966.666664</v>
      </c>
      <c r="K56">
        <f>avg!I103/avg!H103</f>
        <v>4.4683263207344623</v>
      </c>
      <c r="L56">
        <f>avg!U103/avg!N103</f>
        <v>2.8525101432716444</v>
      </c>
      <c r="M56">
        <f>avg!V103/avg!Q103</f>
        <v>7.326598942207716</v>
      </c>
      <c r="N56">
        <f>avg!W103/avg!R103</f>
        <v>0.4585040565467931</v>
      </c>
      <c r="O56">
        <f>avg!T103/avg!K103</f>
        <v>28.033934860931478</v>
      </c>
      <c r="P56">
        <f>avg!X56/avg!S56</f>
        <v>15.319349482629473</v>
      </c>
      <c r="Q56">
        <f>avg!K103/avg!H103</f>
        <v>1.7888803711982571E-3</v>
      </c>
      <c r="R56">
        <f>1-Q56-T56-U56</f>
        <v>0.7729718188499809</v>
      </c>
      <c r="S56">
        <f>avg!N103/avg!H103</f>
        <v>0.68523540944201988</v>
      </c>
      <c r="T56">
        <f>avg!Q103/avg!H103</f>
        <v>0.22485467519014485</v>
      </c>
      <c r="U56">
        <f>avg!R103/avg!H103</f>
        <v>3.8462558867598078E-4</v>
      </c>
      <c r="V56">
        <f>avg!T103/avg!I103</f>
        <v>1.1223297539273671E-2</v>
      </c>
      <c r="W56">
        <f>1-V56-Y56-Z56</f>
        <v>0.62004884788442538</v>
      </c>
      <c r="X56">
        <f>avg!U103/avg!I103</f>
        <v>0.43744364570960304</v>
      </c>
      <c r="Y56">
        <f>avg!V103/avg!I103</f>
        <v>0.36868838736195686</v>
      </c>
      <c r="Z56">
        <f>avg!W103/avg!I103</f>
        <v>3.9467214344060777E-5</v>
      </c>
      <c r="AA56">
        <f t="shared" si="1"/>
        <v>0.18260520217482235</v>
      </c>
      <c r="AB56">
        <f t="shared" si="2"/>
        <v>0.59461184166360859</v>
      </c>
    </row>
    <row r="57" spans="1:28" x14ac:dyDescent="0.3">
      <c r="A57">
        <v>65536</v>
      </c>
      <c r="B57">
        <v>5</v>
      </c>
      <c r="C57">
        <v>216</v>
      </c>
      <c r="D57">
        <v>0.65</v>
      </c>
      <c r="E57">
        <v>9</v>
      </c>
      <c r="F57">
        <v>1023</v>
      </c>
      <c r="G57">
        <v>8340</v>
      </c>
      <c r="H57">
        <f t="shared" si="0"/>
        <v>64.062561094819159</v>
      </c>
      <c r="I57">
        <v>1903746466.6666667</v>
      </c>
      <c r="J57">
        <v>5470429233.333333</v>
      </c>
      <c r="K57">
        <f>avg!I13/avg!H13</f>
        <v>2.873507228571087</v>
      </c>
      <c r="L57">
        <f>avg!U13/avg!N13</f>
        <v>2.2789366332914103</v>
      </c>
      <c r="M57">
        <f>avg!V13/avg!Q13</f>
        <v>7.3546520824712571</v>
      </c>
      <c r="N57">
        <f>avg!W13/avg!R13</f>
        <v>0.2345858116930219</v>
      </c>
      <c r="O57">
        <f>avg!T13/avg!K13</f>
        <v>12.961400548407509</v>
      </c>
      <c r="P57">
        <f>avg!X57/avg!S57</f>
        <v>7.0676789489237208</v>
      </c>
      <c r="Q57">
        <f>avg!K13/avg!H13</f>
        <v>7.471057858299549E-4</v>
      </c>
      <c r="R57">
        <f>1-Q57-T57-U57</f>
        <v>0.8513424774314311</v>
      </c>
      <c r="S57">
        <f>avg!N13/avg!H13</f>
        <v>0.51454750784917191</v>
      </c>
      <c r="T57">
        <f>avg!Q13/avg!H13</f>
        <v>0.14754834125846658</v>
      </c>
      <c r="U57">
        <f>avg!R13/avg!H13</f>
        <v>3.6207552427236722E-4</v>
      </c>
      <c r="V57">
        <f>avg!T13/avg!I13</f>
        <v>3.3699366564635879E-3</v>
      </c>
      <c r="W57">
        <f>1-V57-Y57-Z57</f>
        <v>0.61895512927970908</v>
      </c>
      <c r="X57">
        <f>avg!U13/avg!I13</f>
        <v>0.40808011671137789</v>
      </c>
      <c r="Y57">
        <f>avg!V13/avg!I13</f>
        <v>0.37764537514018481</v>
      </c>
      <c r="Z57">
        <f>avg!W13/avg!I13</f>
        <v>2.9558923642536597E-5</v>
      </c>
      <c r="AA57">
        <f t="shared" si="1"/>
        <v>0.21087501256833119</v>
      </c>
      <c r="AB57">
        <f t="shared" si="2"/>
        <v>0.61013368704070448</v>
      </c>
    </row>
    <row r="58" spans="1:28" x14ac:dyDescent="0.3">
      <c r="A58">
        <v>65536</v>
      </c>
      <c r="B58">
        <v>3</v>
      </c>
      <c r="C58">
        <v>64</v>
      </c>
      <c r="D58">
        <v>0.8</v>
      </c>
      <c r="E58">
        <v>10</v>
      </c>
      <c r="F58">
        <v>2047</v>
      </c>
      <c r="G58">
        <v>6825.333333333333</v>
      </c>
      <c r="H58">
        <f t="shared" si="0"/>
        <v>32.015632633121641</v>
      </c>
      <c r="I58">
        <v>345786300</v>
      </c>
      <c r="J58">
        <v>1085317366.6666667</v>
      </c>
      <c r="K58">
        <f>avg!I5/avg!H5</f>
        <v>3.1386939467141026</v>
      </c>
      <c r="L58">
        <f>avg!U5/avg!N5</f>
        <v>1.4080600214967804</v>
      </c>
      <c r="M58">
        <f>avg!V5/avg!Q5</f>
        <v>5.4992621633717995</v>
      </c>
      <c r="N58">
        <f>avg!W5/avg!R5</f>
        <v>0.21324693312227941</v>
      </c>
      <c r="O58">
        <f>avg!T5/avg!K5</f>
        <v>10.305992742145678</v>
      </c>
      <c r="P58">
        <f>avg!X58/avg!S58</f>
        <v>5.6997793584358325</v>
      </c>
      <c r="Q58">
        <f>avg!K5/avg!H5</f>
        <v>4.8080755850265517E-3</v>
      </c>
      <c r="R58">
        <f>1-Q58-T58-U58</f>
        <v>0.7772126888774944</v>
      </c>
      <c r="S58">
        <f>avg!N5/avg!H5</f>
        <v>0.6825149907134358</v>
      </c>
      <c r="T58">
        <f>avg!Q5/avg!H5</f>
        <v>0.21603044038085567</v>
      </c>
      <c r="U58">
        <f>avg!R5/avg!H5</f>
        <v>1.9487951566232284E-3</v>
      </c>
      <c r="V58">
        <f>avg!T5/avg!I5</f>
        <v>1.5787455841257615E-2</v>
      </c>
      <c r="W58">
        <f>1-V58-Y58-Z58</f>
        <v>0.60557619996928091</v>
      </c>
      <c r="X58">
        <f>avg!U5/avg!I5</f>
        <v>0.30618533976590134</v>
      </c>
      <c r="Y58">
        <f>avg!V5/avg!I5</f>
        <v>0.37850394052172937</v>
      </c>
      <c r="Z58">
        <f>avg!W5/avg!I5</f>
        <v>1.3240366773208979E-4</v>
      </c>
      <c r="AA58">
        <f t="shared" si="1"/>
        <v>0.29939086020337957</v>
      </c>
      <c r="AB58">
        <f t="shared" si="2"/>
        <v>0.62503107047623363</v>
      </c>
    </row>
    <row r="59" spans="1:28" x14ac:dyDescent="0.3">
      <c r="A59">
        <v>524288</v>
      </c>
      <c r="B59">
        <v>6</v>
      </c>
      <c r="C59">
        <v>343</v>
      </c>
      <c r="D59">
        <v>0.8</v>
      </c>
      <c r="E59">
        <v>11</v>
      </c>
      <c r="F59">
        <v>4095</v>
      </c>
      <c r="G59">
        <v>15528</v>
      </c>
      <c r="H59">
        <f t="shared" si="0"/>
        <v>128.03125763125763</v>
      </c>
      <c r="I59">
        <v>13504904266.666666</v>
      </c>
      <c r="J59">
        <v>42546243566.666664</v>
      </c>
      <c r="K59">
        <f>avg!I102/avg!H102</f>
        <v>3.1504291127543178</v>
      </c>
      <c r="L59">
        <f>avg!U102/avg!N102</f>
        <v>1.5001187061383099</v>
      </c>
      <c r="M59">
        <f>avg!V102/avg!Q102</f>
        <v>7.689222431896936</v>
      </c>
      <c r="N59">
        <f>avg!W102/avg!R102</f>
        <v>0.45258301259831224</v>
      </c>
      <c r="O59">
        <f>avg!T102/avg!K102</f>
        <v>58.845159016638547</v>
      </c>
      <c r="P59">
        <f>avg!X59/avg!S59</f>
        <v>8.5526896105445456</v>
      </c>
      <c r="Q59">
        <f>avg!K102/avg!H102</f>
        <v>2.3112097687139473E-4</v>
      </c>
      <c r="R59">
        <f>1-Q59-T59-U59</f>
        <v>0.84413214697649297</v>
      </c>
      <c r="S59">
        <f>avg!N102/avg!H102</f>
        <v>0.76323281501825191</v>
      </c>
      <c r="T59">
        <f>avg!Q102/avg!H102</f>
        <v>0.15532698531186431</v>
      </c>
      <c r="U59">
        <f>avg!R102/avg!H102</f>
        <v>3.0974673477137424E-4</v>
      </c>
      <c r="V59">
        <f>avg!T102/avg!I102</f>
        <v>4.3169835439298993E-3</v>
      </c>
      <c r="W59">
        <f>1-V59-Y59-Z59</f>
        <v>0.61653342029042912</v>
      </c>
      <c r="X59">
        <f>avg!U102/avg!I102</f>
        <v>0.36342345184415098</v>
      </c>
      <c r="Y59">
        <f>avg!V102/avg!I102</f>
        <v>0.37910509870026465</v>
      </c>
      <c r="Z59">
        <f>avg!W102/avg!I102</f>
        <v>4.4497465376314658E-5</v>
      </c>
      <c r="AA59">
        <f t="shared" si="1"/>
        <v>0.25310996844627814</v>
      </c>
      <c r="AB59">
        <f t="shared" si="2"/>
        <v>0.61489788910661225</v>
      </c>
    </row>
    <row r="60" spans="1:28" x14ac:dyDescent="0.3">
      <c r="A60">
        <v>262144</v>
      </c>
      <c r="B60">
        <v>4</v>
      </c>
      <c r="C60">
        <v>125</v>
      </c>
      <c r="D60">
        <v>0.35</v>
      </c>
      <c r="E60">
        <v>12</v>
      </c>
      <c r="F60">
        <v>8191</v>
      </c>
      <c r="G60">
        <v>489020</v>
      </c>
      <c r="H60">
        <f t="shared" si="0"/>
        <v>32.003906726895373</v>
      </c>
      <c r="I60">
        <v>13344893733.333334</v>
      </c>
      <c r="J60">
        <v>76659003966.666672</v>
      </c>
      <c r="K60">
        <f>avg!I80/avg!H80</f>
        <v>5.7444446916190257</v>
      </c>
      <c r="L60">
        <f>avg!U80/avg!N80</f>
        <v>5.2768618882365903</v>
      </c>
      <c r="M60">
        <f>avg!V80/avg!Q80</f>
        <v>6.832978345891231</v>
      </c>
      <c r="N60">
        <f>avg!W80/avg!R80</f>
        <v>0.40497199536906664</v>
      </c>
      <c r="O60">
        <f>avg!T80/avg!K80</f>
        <v>0.97630414412191491</v>
      </c>
      <c r="P60">
        <f>avg!X60/avg!S60</f>
        <v>9.5198486639438524</v>
      </c>
      <c r="Q60">
        <f>avg!K80/avg!H80</f>
        <v>6.8027817841097233E-3</v>
      </c>
      <c r="R60">
        <f>1-Q60-T60-U60</f>
        <v>0.67382415424354614</v>
      </c>
      <c r="S60">
        <f>avg!N80/avg!H80</f>
        <v>0.62559583714132339</v>
      </c>
      <c r="T60">
        <f>avg!Q80/avg!H80</f>
        <v>0.31921340739938248</v>
      </c>
      <c r="U60">
        <f>avg!R80/avg!H80</f>
        <v>1.5965657296154514E-4</v>
      </c>
      <c r="V60">
        <f>avg!T80/avg!I80</f>
        <v>1.1561751229101868E-3</v>
      </c>
      <c r="W60">
        <f>1-V60-Y60-Z60</f>
        <v>0.61913036709039881</v>
      </c>
      <c r="X60">
        <f>avg!U80/avg!I80</f>
        <v>0.57467396896811318</v>
      </c>
      <c r="Y60">
        <f>avg!V80/avg!I80</f>
        <v>0.37970220231390001</v>
      </c>
      <c r="Z60">
        <f>avg!W80/avg!I80</f>
        <v>1.1255472791017684E-5</v>
      </c>
      <c r="AA60">
        <f t="shared" si="1"/>
        <v>4.4456398122285634E-2</v>
      </c>
      <c r="AB60">
        <f t="shared" si="2"/>
        <v>0.61328311854304496</v>
      </c>
    </row>
    <row r="61" spans="1:28" x14ac:dyDescent="0.3">
      <c r="A61">
        <v>262144</v>
      </c>
      <c r="B61">
        <v>6</v>
      </c>
      <c r="C61">
        <v>343</v>
      </c>
      <c r="D61">
        <v>0.65</v>
      </c>
      <c r="E61">
        <v>10</v>
      </c>
      <c r="F61">
        <v>2047</v>
      </c>
      <c r="G61">
        <v>12394.666666666666</v>
      </c>
      <c r="H61">
        <f t="shared" si="0"/>
        <v>128.06253053248656</v>
      </c>
      <c r="I61">
        <v>9224016333.333334</v>
      </c>
      <c r="J61">
        <v>33344478733.333332</v>
      </c>
      <c r="K61">
        <f>avg!I76/avg!H76</f>
        <v>3.6149631059123952</v>
      </c>
      <c r="L61">
        <f>avg!U76/avg!N76</f>
        <v>2.194072786297677</v>
      </c>
      <c r="M61">
        <f>avg!V76/avg!Q76</f>
        <v>7.7201998336194029</v>
      </c>
      <c r="N61">
        <f>avg!W76/avg!R76</f>
        <v>0.42143280601578836</v>
      </c>
      <c r="O61">
        <f>avg!T76/avg!K76</f>
        <v>27.778802597141134</v>
      </c>
      <c r="P61">
        <f>avg!X61/avg!S61</f>
        <v>10.510602400327963</v>
      </c>
      <c r="Q61">
        <f>avg!K76/avg!H76</f>
        <v>2.8719232175398356E-4</v>
      </c>
      <c r="R61">
        <f>1-Q61-T61-U61</f>
        <v>0.81889833672960033</v>
      </c>
      <c r="S61">
        <f>avg!N76/avg!H76</f>
        <v>0.73235932402403592</v>
      </c>
      <c r="T61">
        <f>avg!Q76/avg!H76</f>
        <v>0.18058283649324267</v>
      </c>
      <c r="U61">
        <f>avg!R76/avg!H76</f>
        <v>2.3163445540299525E-4</v>
      </c>
      <c r="V61">
        <f>avg!T76/avg!I76</f>
        <v>2.2068990968041944E-3</v>
      </c>
      <c r="W61">
        <f>1-V61-Y61-Z61</f>
        <v>0.61210916395572146</v>
      </c>
      <c r="X61">
        <f>avg!U76/avg!I76</f>
        <v>0.4444996022240012</v>
      </c>
      <c r="Y61">
        <f>avg!V76/avg!I76</f>
        <v>0.38565693297657611</v>
      </c>
      <c r="Z61">
        <f>avg!W76/avg!I76</f>
        <v>2.7003970898282512E-5</v>
      </c>
      <c r="AA61">
        <f t="shared" si="1"/>
        <v>0.16760956173172026</v>
      </c>
      <c r="AB61">
        <f t="shared" si="2"/>
        <v>0.63004600435041624</v>
      </c>
    </row>
    <row r="62" spans="1:28" x14ac:dyDescent="0.3">
      <c r="A62">
        <v>1048576</v>
      </c>
      <c r="B62">
        <v>3</v>
      </c>
      <c r="C62">
        <v>64</v>
      </c>
      <c r="D62">
        <v>0.8</v>
      </c>
      <c r="E62">
        <v>14</v>
      </c>
      <c r="F62">
        <v>32767</v>
      </c>
      <c r="G62">
        <v>115966.66666666667</v>
      </c>
      <c r="H62">
        <f t="shared" si="0"/>
        <v>32.000976592303232</v>
      </c>
      <c r="I62">
        <v>3960084933.3333335</v>
      </c>
      <c r="J62">
        <v>17969679566.666668</v>
      </c>
      <c r="K62">
        <f>avg!I125/avg!H125</f>
        <v>4.5377005466246398</v>
      </c>
      <c r="L62">
        <f>avg!U125/avg!N125</f>
        <v>2.386017386425439</v>
      </c>
      <c r="M62">
        <f>avg!V125/avg!Q125</f>
        <v>6.995456625167952</v>
      </c>
      <c r="N62">
        <f>avg!W125/avg!R125</f>
        <v>0.47215340442986053</v>
      </c>
      <c r="O62">
        <f>avg!T125/avg!K125</f>
        <v>14.707145060263832</v>
      </c>
      <c r="P62">
        <f>avg!X62/avg!S62</f>
        <v>15.079158444875006</v>
      </c>
      <c r="Q62">
        <f>avg!K125/avg!H125</f>
        <v>9.933658998626865E-3</v>
      </c>
      <c r="R62">
        <f>1-Q62-T62-U62</f>
        <v>0.7349260472090211</v>
      </c>
      <c r="S62">
        <f>avg!N125/avg!H125</f>
        <v>0.48907031859283018</v>
      </c>
      <c r="T62">
        <f>avg!Q125/avg!H125</f>
        <v>0.25308814925417256</v>
      </c>
      <c r="U62">
        <f>avg!R125/avg!H125</f>
        <v>2.0521445381794338E-3</v>
      </c>
      <c r="V62">
        <f>avg!T125/avg!I125</f>
        <v>3.219599053989438E-2</v>
      </c>
      <c r="W62">
        <f>1-V62-Y62-Z62</f>
        <v>0.57742212346294353</v>
      </c>
      <c r="X62">
        <f>avg!U125/avg!I125</f>
        <v>0.25716335208922947</v>
      </c>
      <c r="Y62">
        <f>avg!V125/avg!I125</f>
        <v>0.39016835779711279</v>
      </c>
      <c r="Z62">
        <f>avg!W125/avg!I125</f>
        <v>2.1352820004931752E-4</v>
      </c>
      <c r="AA62">
        <f t="shared" si="1"/>
        <v>0.32025877137371406</v>
      </c>
      <c r="AB62">
        <f t="shared" si="2"/>
        <v>0.67570732388495347</v>
      </c>
    </row>
    <row r="63" spans="1:28" x14ac:dyDescent="0.3">
      <c r="A63">
        <v>1048576</v>
      </c>
      <c r="B63">
        <v>5</v>
      </c>
      <c r="C63">
        <v>216</v>
      </c>
      <c r="D63">
        <v>0.2</v>
      </c>
      <c r="E63">
        <v>13</v>
      </c>
      <c r="F63">
        <v>16383</v>
      </c>
      <c r="G63">
        <v>3776118.6666666665</v>
      </c>
      <c r="H63">
        <f t="shared" si="0"/>
        <v>64.003906488433131</v>
      </c>
      <c r="I63">
        <v>431751896000</v>
      </c>
      <c r="J63">
        <v>2346588257700</v>
      </c>
      <c r="K63">
        <f>avg!I149/avg!H149</f>
        <v>5.4350386864311533</v>
      </c>
      <c r="L63">
        <f>avg!U149/avg!N149</f>
        <v>4.6162383556759741</v>
      </c>
      <c r="M63">
        <f>avg!V149/avg!Q149</f>
        <v>7.3363665315476849</v>
      </c>
      <c r="N63">
        <f>avg!W149/avg!R149</f>
        <v>0.21040085628794725</v>
      </c>
      <c r="O63">
        <f>avg!T149/avg!K149</f>
        <v>0.63128763160536971</v>
      </c>
      <c r="P63">
        <f>avg!X63/avg!S63</f>
        <v>12.57095703116568</v>
      </c>
      <c r="Q63">
        <f>avg!K149/avg!H149</f>
        <v>1.9484772183451706E-3</v>
      </c>
      <c r="R63">
        <f>1-Q63-T63-U63</f>
        <v>0.70242473368702174</v>
      </c>
      <c r="S63">
        <f>avg!N149/avg!H149</f>
        <v>0.69857617934660632</v>
      </c>
      <c r="T63">
        <f>avg!Q149/avg!H149</f>
        <v>0.29558517020772196</v>
      </c>
      <c r="U63">
        <f>avg!R149/avg!H149</f>
        <v>4.1618886911230452E-5</v>
      </c>
      <c r="V63">
        <f>avg!T149/avg!I149</f>
        <v>2.2631845684503073E-4</v>
      </c>
      <c r="W63">
        <f>1-V63-Y63-Z63</f>
        <v>0.60078297849681883</v>
      </c>
      <c r="X63">
        <f>avg!U149/avg!I149</f>
        <v>0.59333416733762034</v>
      </c>
      <c r="Y63">
        <f>avg!V149/avg!I149</f>
        <v>0.39898909189875298</v>
      </c>
      <c r="Z63">
        <f>avg!W149/avg!I149</f>
        <v>1.6111475831323043E-6</v>
      </c>
      <c r="AA63">
        <f t="shared" si="1"/>
        <v>7.4488111591984874E-3</v>
      </c>
      <c r="AB63">
        <f t="shared" si="2"/>
        <v>0.66411517333103942</v>
      </c>
    </row>
    <row r="64" spans="1:28" x14ac:dyDescent="0.3">
      <c r="A64">
        <v>524288</v>
      </c>
      <c r="B64">
        <v>5</v>
      </c>
      <c r="C64">
        <v>216</v>
      </c>
      <c r="D64">
        <v>0.5</v>
      </c>
      <c r="E64">
        <v>12</v>
      </c>
      <c r="F64">
        <v>8191</v>
      </c>
      <c r="G64">
        <v>178802</v>
      </c>
      <c r="H64">
        <f t="shared" si="0"/>
        <v>64.007813453790746</v>
      </c>
      <c r="I64">
        <v>21990497300</v>
      </c>
      <c r="J64">
        <v>110296505450</v>
      </c>
      <c r="K64">
        <f>avg!I108/avg!H108</f>
        <v>5.0156439822759262</v>
      </c>
      <c r="L64">
        <f>avg!U108/avg!N108</f>
        <v>3.8213825474228496</v>
      </c>
      <c r="M64">
        <f>avg!V108/avg!Q108</f>
        <v>7.3424380734190624</v>
      </c>
      <c r="N64">
        <f>avg!W108/avg!R108</f>
        <v>0.43348970719932628</v>
      </c>
      <c r="O64">
        <f>avg!T108/avg!K108</f>
        <v>9.1436356458013339</v>
      </c>
      <c r="P64">
        <f>avg!X64/avg!S64</f>
        <v>12.385709610759331</v>
      </c>
      <c r="Q64">
        <f>avg!K108/avg!H108</f>
        <v>1.5779679525483037E-3</v>
      </c>
      <c r="R64">
        <f>1-Q64-T64-U64</f>
        <v>0.72535129071410309</v>
      </c>
      <c r="S64">
        <f>avg!N108/avg!H108</f>
        <v>0.68130799502201345</v>
      </c>
      <c r="T64">
        <f>avg!Q108/avg!H108</f>
        <v>0.27287905285343411</v>
      </c>
      <c r="U64">
        <f>avg!R108/avg!H108</f>
        <v>1.9168847991445832E-4</v>
      </c>
      <c r="V64">
        <f>avg!T108/avg!I108</f>
        <v>2.8766722817327481E-3</v>
      </c>
      <c r="W64">
        <f>1-V64-Y64-Z64</f>
        <v>0.59763711036050782</v>
      </c>
      <c r="X64">
        <f>avg!U108/avg!I108</f>
        <v>0.51908358942481803</v>
      </c>
      <c r="Y64">
        <f>avg!V108/avg!I108</f>
        <v>0.39946965019642877</v>
      </c>
      <c r="Z64">
        <f>avg!W108/avg!I108</f>
        <v>1.6567161330676593E-5</v>
      </c>
      <c r="AA64">
        <f t="shared" si="1"/>
        <v>7.8553520935689791E-2</v>
      </c>
      <c r="AB64">
        <f t="shared" si="2"/>
        <v>0.66841506872868039</v>
      </c>
    </row>
    <row r="65" spans="1:28" x14ac:dyDescent="0.3">
      <c r="A65">
        <v>131072</v>
      </c>
      <c r="B65">
        <v>5</v>
      </c>
      <c r="C65">
        <v>216</v>
      </c>
      <c r="D65">
        <v>0.35</v>
      </c>
      <c r="E65">
        <v>10</v>
      </c>
      <c r="F65">
        <v>2047</v>
      </c>
      <c r="G65">
        <v>89933.333333333328</v>
      </c>
      <c r="H65">
        <f t="shared" si="0"/>
        <v>64.031265266243281</v>
      </c>
      <c r="I65">
        <v>10579840766.666666</v>
      </c>
      <c r="J65">
        <v>53815308933.333336</v>
      </c>
      <c r="K65">
        <f>avg!I53/avg!H53</f>
        <v>5.0865896869531655</v>
      </c>
      <c r="L65">
        <f>avg!U53/avg!N53</f>
        <v>4.1996500513509796</v>
      </c>
      <c r="M65">
        <f>avg!V53/avg!Q53</f>
        <v>7.2750593521198779</v>
      </c>
      <c r="N65">
        <f>avg!W53/avg!R53</f>
        <v>0.29981334577694818</v>
      </c>
      <c r="O65">
        <f>avg!T53/avg!K53</f>
        <v>3.0224365343420994</v>
      </c>
      <c r="P65">
        <f>avg!X65/avg!S65</f>
        <v>5.0370724774443261</v>
      </c>
      <c r="Q65">
        <f>avg!K53/avg!H53</f>
        <v>1.7282081148398383E-3</v>
      </c>
      <c r="R65">
        <f>1-Q65-T65-U65</f>
        <v>0.71340121902212739</v>
      </c>
      <c r="S65">
        <f>avg!N53/avg!H53</f>
        <v>0.66164452323846101</v>
      </c>
      <c r="T65">
        <f>avg!Q53/avg!H53</f>
        <v>0.28474903984298466</v>
      </c>
      <c r="U65">
        <f>avg!R53/avg!H53</f>
        <v>1.2153302004800495E-4</v>
      </c>
      <c r="V65">
        <f>avg!T53/avg!I53</f>
        <v>1.0268961458865372E-3</v>
      </c>
      <c r="W65">
        <f>1-V65-Y65-Z65</f>
        <v>0.59170561619892159</v>
      </c>
      <c r="X65">
        <f>avg!U53/avg!I53</f>
        <v>0.54627473946279825</v>
      </c>
      <c r="Y65">
        <f>avg!V53/avg!I53</f>
        <v>0.40726032426604397</v>
      </c>
      <c r="Z65">
        <f>avg!W53/avg!I53</f>
        <v>7.1633891478270476E-6</v>
      </c>
      <c r="AA65">
        <f t="shared" si="1"/>
        <v>4.5430876736123338E-2</v>
      </c>
      <c r="AB65">
        <f t="shared" si="2"/>
        <v>0.68828199888021646</v>
      </c>
    </row>
    <row r="66" spans="1:28" x14ac:dyDescent="0.3">
      <c r="A66">
        <v>262144</v>
      </c>
      <c r="B66">
        <v>3</v>
      </c>
      <c r="C66">
        <v>64</v>
      </c>
      <c r="D66">
        <v>0.8</v>
      </c>
      <c r="E66">
        <v>12</v>
      </c>
      <c r="F66">
        <v>8191</v>
      </c>
      <c r="G66">
        <v>32366.666666666668</v>
      </c>
      <c r="H66">
        <f t="shared" si="0"/>
        <v>32.003906726895373</v>
      </c>
      <c r="I66">
        <v>1033676000</v>
      </c>
      <c r="J66">
        <v>4758407466.666667</v>
      </c>
      <c r="K66">
        <f>avg!I64/avg!H64</f>
        <v>4.6033839101098089</v>
      </c>
      <c r="L66">
        <f>avg!U64/avg!N64</f>
        <v>1.8321168439521875</v>
      </c>
      <c r="M66">
        <f>avg!V64/avg!Q64</f>
        <v>6.8837964156858114</v>
      </c>
      <c r="N66">
        <f>avg!W64/avg!R64</f>
        <v>0.39777468706536862</v>
      </c>
      <c r="O66">
        <f>avg!T64/avg!K64</f>
        <v>7.4685571914210547</v>
      </c>
      <c r="P66">
        <f>avg!X66/avg!S66</f>
        <v>7.0593698455986917</v>
      </c>
      <c r="Q66">
        <f>avg!K64/avg!H64</f>
        <v>1.0406129838234288E-2</v>
      </c>
      <c r="R66">
        <f>1-Q66-T66-U66</f>
        <v>0.71495036484675412</v>
      </c>
      <c r="S66">
        <f>avg!N64/avg!H64</f>
        <v>0.5881275499608517</v>
      </c>
      <c r="T66">
        <f>avg!Q64/avg!H64</f>
        <v>0.27260314966520777</v>
      </c>
      <c r="U66">
        <f>avg!R64/avg!H64</f>
        <v>2.0403556498038715E-3</v>
      </c>
      <c r="V66">
        <f>avg!T64/avg!I64</f>
        <v>1.6882966390772306E-2</v>
      </c>
      <c r="W66">
        <f>1-V66-Y66-Z66</f>
        <v>0.57529612988726542</v>
      </c>
      <c r="X66">
        <f>avg!U64/avg!I64</f>
        <v>0.23407093818727473</v>
      </c>
      <c r="Y66">
        <f>avg!V64/avg!I64</f>
        <v>0.40764459823757276</v>
      </c>
      <c r="Z66">
        <f>avg!W64/avg!I64</f>
        <v>1.7630548438951114E-4</v>
      </c>
      <c r="AA66">
        <f t="shared" si="1"/>
        <v>0.34122519169999066</v>
      </c>
      <c r="AB66">
        <f t="shared" si="2"/>
        <v>0.7085822015132528</v>
      </c>
    </row>
    <row r="67" spans="1:28" x14ac:dyDescent="0.3">
      <c r="A67">
        <v>1048576</v>
      </c>
      <c r="B67">
        <v>4</v>
      </c>
      <c r="C67">
        <v>125</v>
      </c>
      <c r="D67">
        <v>0.2</v>
      </c>
      <c r="E67">
        <v>14</v>
      </c>
      <c r="F67">
        <v>32767</v>
      </c>
      <c r="G67">
        <v>9805498.666666666</v>
      </c>
      <c r="H67">
        <f t="shared" ref="H67:H130" si="3">A67/F67</f>
        <v>32.000976592303232</v>
      </c>
      <c r="I67">
        <v>234242152366.66666</v>
      </c>
      <c r="J67">
        <v>1427724628833.3333</v>
      </c>
      <c r="K67">
        <f>avg!I147/avg!H147</f>
        <v>6.0950798752842346</v>
      </c>
      <c r="L67">
        <f>avg!U147/avg!N147</f>
        <v>5.7009846579600527</v>
      </c>
      <c r="M67">
        <f>avg!V147/avg!Q147</f>
        <v>6.8510695368713836</v>
      </c>
      <c r="N67">
        <f>avg!W147/avg!R147</f>
        <v>0.29506677694051336</v>
      </c>
      <c r="O67">
        <f>avg!T147/avg!K147</f>
        <v>0.33964106630608215</v>
      </c>
      <c r="P67">
        <f>avg!X67/avg!S67</f>
        <v>4.1926520460783401</v>
      </c>
      <c r="Q67">
        <f>avg!K147/avg!H147</f>
        <v>8.949285509973438E-3</v>
      </c>
      <c r="R67">
        <f>1-Q67-T67-U67</f>
        <v>0.62552043765935506</v>
      </c>
      <c r="S67">
        <f>avg!N147/avg!H147</f>
        <v>0.61907775380384211</v>
      </c>
      <c r="T67">
        <f>avg!Q147/avg!H147</f>
        <v>0.36547452939209968</v>
      </c>
      <c r="U67">
        <f>avg!R147/avg!H147</f>
        <v>5.5747438571855644E-5</v>
      </c>
      <c r="V67">
        <f>avg!T147/avg!I147</f>
        <v>4.9868827570421364E-4</v>
      </c>
      <c r="W67">
        <f>1-V67-Y67-Z67</f>
        <v>0.58869326404126598</v>
      </c>
      <c r="X67">
        <f>avg!U147/avg!I147</f>
        <v>0.57904947084151037</v>
      </c>
      <c r="Y67">
        <f>avg!V147/avg!I147</f>
        <v>0.41080534891330756</v>
      </c>
      <c r="Z67">
        <f>avg!W147/avg!I147</f>
        <v>2.6987697222457839E-6</v>
      </c>
      <c r="AA67">
        <f t="shared" ref="AA67:AA130" si="4">W67-X67</f>
        <v>9.6437931997556126E-3</v>
      </c>
      <c r="AB67">
        <f t="shared" ref="AB67:AB130" si="5">Y67/W67</f>
        <v>0.69782580166317498</v>
      </c>
    </row>
    <row r="68" spans="1:28" x14ac:dyDescent="0.3">
      <c r="A68">
        <v>262144</v>
      </c>
      <c r="B68">
        <v>3</v>
      </c>
      <c r="C68">
        <v>64</v>
      </c>
      <c r="D68">
        <v>0.95</v>
      </c>
      <c r="E68">
        <v>12</v>
      </c>
      <c r="F68">
        <v>8191</v>
      </c>
      <c r="G68">
        <v>24472</v>
      </c>
      <c r="H68">
        <f t="shared" si="3"/>
        <v>32.003906726895373</v>
      </c>
      <c r="I68">
        <v>852484566.66666663</v>
      </c>
      <c r="J68">
        <v>3562095400</v>
      </c>
      <c r="K68">
        <f>avg!I63/avg!H63</f>
        <v>4.1784866721145333</v>
      </c>
      <c r="L68">
        <f>avg!U63/avg!N63</f>
        <v>0.73768892806209463</v>
      </c>
      <c r="M68">
        <f>avg!V63/avg!Q63</f>
        <v>6.4314462173703113</v>
      </c>
      <c r="N68">
        <f>avg!W63/avg!R63</f>
        <v>0.40156788962057072</v>
      </c>
      <c r="O68">
        <f>avg!T63/avg!K63</f>
        <v>25.812020657296276</v>
      </c>
      <c r="P68">
        <f>avg!X68/avg!S68</f>
        <v>6.3739876698288889</v>
      </c>
      <c r="Q68">
        <f>avg!K63/avg!H63</f>
        <v>3.8084364929069883E-3</v>
      </c>
      <c r="R68">
        <f>1-Q68-T68-U68</f>
        <v>0.72596802045722275</v>
      </c>
      <c r="S68">
        <f>avg!N63/avg!H63</f>
        <v>0.57201610336093278</v>
      </c>
      <c r="T68">
        <f>avg!Q63/avg!H63</f>
        <v>0.2677296562592707</v>
      </c>
      <c r="U68">
        <f>avg!R63/avg!H63</f>
        <v>2.4938867905995718E-3</v>
      </c>
      <c r="V68">
        <f>avg!T63/avg!I63</f>
        <v>2.3526087107792415E-2</v>
      </c>
      <c r="W68">
        <f>1-V68-Y68-Z68</f>
        <v>0.56414991019050198</v>
      </c>
      <c r="X68">
        <f>avg!U63/avg!I63</f>
        <v>0.10098630897607815</v>
      </c>
      <c r="Y68">
        <f>avg!V63/avg!I63</f>
        <v>0.41208433103728775</v>
      </c>
      <c r="Z68">
        <f>avg!W63/avg!I63</f>
        <v>2.3967166441789665E-4</v>
      </c>
      <c r="AA68">
        <f t="shared" si="4"/>
        <v>0.46316360121442385</v>
      </c>
      <c r="AB68">
        <f t="shared" si="5"/>
        <v>0.73045182422901611</v>
      </c>
    </row>
    <row r="69" spans="1:28" x14ac:dyDescent="0.3">
      <c r="A69">
        <v>65536</v>
      </c>
      <c r="B69">
        <v>3</v>
      </c>
      <c r="C69">
        <v>64</v>
      </c>
      <c r="D69">
        <v>0.65</v>
      </c>
      <c r="E69">
        <v>10</v>
      </c>
      <c r="F69">
        <v>2047</v>
      </c>
      <c r="G69">
        <v>11989.333333333334</v>
      </c>
      <c r="H69">
        <f t="shared" si="3"/>
        <v>32.015632633121641</v>
      </c>
      <c r="I69">
        <v>481735066.66666669</v>
      </c>
      <c r="J69">
        <v>1722379700</v>
      </c>
      <c r="K69">
        <f>avg!I8/avg!H8</f>
        <v>3.5753670828197959</v>
      </c>
      <c r="L69">
        <f>avg!U8/avg!N8</f>
        <v>1.715012996780241</v>
      </c>
      <c r="M69">
        <f>avg!V8/avg!Q8</f>
        <v>5.87034299770899</v>
      </c>
      <c r="N69">
        <f>avg!W8/avg!R8</f>
        <v>0.20679584646764326</v>
      </c>
      <c r="O69">
        <f>avg!T8/avg!K8</f>
        <v>7.0405074695920042</v>
      </c>
      <c r="P69">
        <f>avg!X69/avg!S69</f>
        <v>3.0316403019171343</v>
      </c>
      <c r="Q69">
        <f>avg!K8/avg!H8</f>
        <v>5.6831375918104908E-3</v>
      </c>
      <c r="R69">
        <f>1-Q69-T69-U69</f>
        <v>0.73882082627435874</v>
      </c>
      <c r="S69">
        <f>avg!N8/avg!H8</f>
        <v>0.67052602633868186</v>
      </c>
      <c r="T69">
        <f>avg!Q8/avg!H8</f>
        <v>0.25400337612956275</v>
      </c>
      <c r="U69">
        <f>avg!R8/avg!H8</f>
        <v>1.4926600042679059E-3</v>
      </c>
      <c r="V69">
        <f>avg!T8/avg!I8</f>
        <v>1.1191067025851889E-2</v>
      </c>
      <c r="W69">
        <f>1-V69-Y69-Z69</f>
        <v>0.5716781651959012</v>
      </c>
      <c r="X69">
        <f>avg!U8/avg!I8</f>
        <v>0.32163434500921406</v>
      </c>
      <c r="Y69">
        <f>avg!V8/avg!I8</f>
        <v>0.41704443373703637</v>
      </c>
      <c r="Z69">
        <f>avg!W8/avg!I8</f>
        <v>8.6334041210541439E-5</v>
      </c>
      <c r="AA69">
        <f t="shared" si="4"/>
        <v>0.25004382018668714</v>
      </c>
      <c r="AB69">
        <f t="shared" si="5"/>
        <v>0.72950911741420921</v>
      </c>
    </row>
    <row r="70" spans="1:28" x14ac:dyDescent="0.3">
      <c r="A70">
        <v>262144</v>
      </c>
      <c r="B70">
        <v>5</v>
      </c>
      <c r="C70">
        <v>216</v>
      </c>
      <c r="D70">
        <v>0.5</v>
      </c>
      <c r="E70">
        <v>11</v>
      </c>
      <c r="F70">
        <v>4095</v>
      </c>
      <c r="G70">
        <v>85347</v>
      </c>
      <c r="H70">
        <f t="shared" si="3"/>
        <v>64.015628815628816</v>
      </c>
      <c r="I70">
        <v>10228422725</v>
      </c>
      <c r="J70">
        <v>50344894800</v>
      </c>
      <c r="K70">
        <f>avg!I78/avg!H78</f>
        <v>4.922058478962601</v>
      </c>
      <c r="L70">
        <f>avg!U78/avg!N78</f>
        <v>3.6652375544608962</v>
      </c>
      <c r="M70">
        <f>avg!V78/avg!Q78</f>
        <v>7.3721385068440854</v>
      </c>
      <c r="N70">
        <f>avg!W78/avg!R78</f>
        <v>0.3829661165730337</v>
      </c>
      <c r="O70">
        <f>avg!T78/avg!K78</f>
        <v>5.8279536711308602</v>
      </c>
      <c r="P70">
        <f>avg!X70/avg!S70</f>
        <v>5.247984989820325</v>
      </c>
      <c r="Q70">
        <f>avg!K78/avg!H78</f>
        <v>1.4257036878576996E-3</v>
      </c>
      <c r="R70">
        <f>1-Q70-T70-U70</f>
        <v>0.71913578200298722</v>
      </c>
      <c r="S70">
        <f>avg!N78/avg!H78</f>
        <v>0.65917106002284431</v>
      </c>
      <c r="T70">
        <f>avg!Q78/avg!H78</f>
        <v>0.27921576246742386</v>
      </c>
      <c r="U70">
        <f>avg!R78/avg!H78</f>
        <v>2.2275184173129684E-4</v>
      </c>
      <c r="V70">
        <f>avg!T78/avg!I78</f>
        <v>1.6881016503782623E-3</v>
      </c>
      <c r="W70">
        <f>1-V70-Y70-Z70</f>
        <v>0.5800920439106767</v>
      </c>
      <c r="X70">
        <f>avg!U78/avg!I78</f>
        <v>0.49085530664372351</v>
      </c>
      <c r="Y70">
        <f>avg!V78/avg!I78</f>
        <v>0.41820252298948096</v>
      </c>
      <c r="Z70">
        <f>avg!W78/avg!I78</f>
        <v>1.7331449464067606E-5</v>
      </c>
      <c r="AA70">
        <f t="shared" si="4"/>
        <v>8.9236737266953192E-2</v>
      </c>
      <c r="AB70">
        <f t="shared" si="5"/>
        <v>0.72092442463126816</v>
      </c>
    </row>
    <row r="71" spans="1:28" x14ac:dyDescent="0.3">
      <c r="A71">
        <v>524288</v>
      </c>
      <c r="B71">
        <v>3</v>
      </c>
      <c r="C71">
        <v>64</v>
      </c>
      <c r="D71">
        <v>0.65</v>
      </c>
      <c r="E71">
        <v>13</v>
      </c>
      <c r="F71">
        <v>16383</v>
      </c>
      <c r="G71">
        <v>101557.33333333333</v>
      </c>
      <c r="H71">
        <f t="shared" si="3"/>
        <v>32.001953244216566</v>
      </c>
      <c r="I71">
        <v>3170636066.6666665</v>
      </c>
      <c r="J71">
        <v>14638244133.333334</v>
      </c>
      <c r="K71">
        <f>avg!I97/avg!H97</f>
        <v>4.6168162556488932</v>
      </c>
      <c r="L71">
        <f>avg!U97/avg!N97</f>
        <v>3.1896994044529614</v>
      </c>
      <c r="M71">
        <f>avg!V97/avg!Q97</f>
        <v>7.1068511329481971</v>
      </c>
      <c r="N71">
        <f>avg!W97/avg!R97</f>
        <v>0.4365706523910351</v>
      </c>
      <c r="O71">
        <f>avg!T97/avg!K97</f>
        <v>17.674655594265314</v>
      </c>
      <c r="P71">
        <f>avg!X71/avg!S71</f>
        <v>6.8867755592812498</v>
      </c>
      <c r="Q71">
        <f>avg!K97/avg!H97</f>
        <v>8.7783542738564292E-3</v>
      </c>
      <c r="R71">
        <f>1-Q71-T71-U71</f>
        <v>0.7166701104201153</v>
      </c>
      <c r="S71">
        <f>avg!N97/avg!H97</f>
        <v>0.48765278243538979</v>
      </c>
      <c r="T71">
        <f>avg!Q97/avg!H97</f>
        <v>0.27323576356634727</v>
      </c>
      <c r="U71">
        <f>avg!R97/avg!H97</f>
        <v>1.3157717396810034E-3</v>
      </c>
      <c r="V71">
        <f>avg!T97/avg!I97</f>
        <v>3.3606359855673396E-2</v>
      </c>
      <c r="W71">
        <f>1-V71-Y71-Z71</f>
        <v>0.54566640829627377</v>
      </c>
      <c r="X71">
        <f>avg!U97/avg!I97</f>
        <v>0.33691308113265422</v>
      </c>
      <c r="Y71">
        <f>avg!V97/avg!I97</f>
        <v>0.4206028111878008</v>
      </c>
      <c r="Z71">
        <f>avg!W97/avg!I97</f>
        <v>1.2442066025204789E-4</v>
      </c>
      <c r="AA71">
        <f t="shared" si="4"/>
        <v>0.20875332716361955</v>
      </c>
      <c r="AB71">
        <f t="shared" si="5"/>
        <v>0.77080576116283717</v>
      </c>
    </row>
    <row r="72" spans="1:28" x14ac:dyDescent="0.3">
      <c r="A72">
        <v>65536</v>
      </c>
      <c r="B72">
        <v>4</v>
      </c>
      <c r="C72">
        <v>125</v>
      </c>
      <c r="D72">
        <v>0.2</v>
      </c>
      <c r="E72">
        <v>10</v>
      </c>
      <c r="F72">
        <v>2047</v>
      </c>
      <c r="G72">
        <v>322156</v>
      </c>
      <c r="H72">
        <f t="shared" si="3"/>
        <v>32.015632633121641</v>
      </c>
      <c r="I72">
        <v>7578434366.666667</v>
      </c>
      <c r="J72">
        <v>45013865433.333336</v>
      </c>
      <c r="K72">
        <f>avg!I27/avg!H27</f>
        <v>5.9397315138499298</v>
      </c>
      <c r="L72">
        <f>avg!U27/avg!N27</f>
        <v>5.4060020189171691</v>
      </c>
      <c r="M72">
        <f>avg!V27/avg!Q27</f>
        <v>6.7340236148740367</v>
      </c>
      <c r="N72">
        <f>avg!W27/avg!R27</f>
        <v>0.20870647957473298</v>
      </c>
      <c r="O72">
        <f>avg!T27/avg!K27</f>
        <v>2.31660849896689</v>
      </c>
      <c r="P72">
        <f>avg!X72/avg!S72</f>
        <v>6.3168207248505031</v>
      </c>
      <c r="Q72">
        <f>avg!K27/avg!H27</f>
        <v>7.4633621224957404E-3</v>
      </c>
      <c r="R72">
        <f>1-Q72-T72-U72</f>
        <v>0.62103815541390339</v>
      </c>
      <c r="S72">
        <f>avg!N27/avg!H27</f>
        <v>0.61392100376264602</v>
      </c>
      <c r="T72">
        <f>avg!Q27/avg!H27</f>
        <v>0.37140663851541089</v>
      </c>
      <c r="U72">
        <f>avg!R27/avg!H27</f>
        <v>9.1843948189984762E-5</v>
      </c>
      <c r="V72">
        <f>avg!T27/avg!I27</f>
        <v>2.9108534760411446E-3</v>
      </c>
      <c r="W72">
        <f>1-V72-Y72-Z72</f>
        <v>0.57601283405445058</v>
      </c>
      <c r="X72">
        <f>avg!U27/avg!I27</f>
        <v>0.5587555898878247</v>
      </c>
      <c r="Y72">
        <f>avg!V27/avg!I27</f>
        <v>0.42107308531571319</v>
      </c>
      <c r="Z72">
        <f>avg!W27/avg!I27</f>
        <v>3.227153795130308E-6</v>
      </c>
      <c r="AA72">
        <f t="shared" si="4"/>
        <v>1.7257244166625885E-2</v>
      </c>
      <c r="AB72">
        <f t="shared" si="5"/>
        <v>0.73101337404560174</v>
      </c>
    </row>
    <row r="73" spans="1:28" x14ac:dyDescent="0.3">
      <c r="A73">
        <v>65536</v>
      </c>
      <c r="B73">
        <v>5</v>
      </c>
      <c r="C73">
        <v>216</v>
      </c>
      <c r="D73">
        <v>0.5</v>
      </c>
      <c r="E73">
        <v>9</v>
      </c>
      <c r="F73">
        <v>1023</v>
      </c>
      <c r="G73">
        <v>19130</v>
      </c>
      <c r="H73">
        <f t="shared" si="3"/>
        <v>64.062561094819159</v>
      </c>
      <c r="I73">
        <v>2589492175</v>
      </c>
      <c r="J73">
        <v>10961730325</v>
      </c>
      <c r="K73">
        <f>avg!I18/avg!H18</f>
        <v>4.2331583122084542</v>
      </c>
      <c r="L73">
        <f>avg!U18/avg!N18</f>
        <v>3.2739499031828578</v>
      </c>
      <c r="M73">
        <f>avg!V18/avg!Q18</f>
        <v>7.2484026853723531</v>
      </c>
      <c r="N73">
        <f>avg!W18/avg!R18</f>
        <v>0.21269291237526872</v>
      </c>
      <c r="O73">
        <f>avg!T18/avg!K18</f>
        <v>6.2356541027032204</v>
      </c>
      <c r="P73">
        <f>avg!X73/avg!S73</f>
        <v>3.7307646138797508</v>
      </c>
      <c r="Q73">
        <f>avg!K18/avg!H18</f>
        <v>1.2100055872924197E-3</v>
      </c>
      <c r="R73">
        <f>1-Q73-T73-U73</f>
        <v>0.75136059254552479</v>
      </c>
      <c r="S73">
        <f>avg!N18/avg!H18</f>
        <v>0.60939107684308802</v>
      </c>
      <c r="T73">
        <f>avg!Q18/avg!H18</f>
        <v>0.24712850310119203</v>
      </c>
      <c r="U73">
        <f>avg!R18/avg!H18</f>
        <v>3.0089876599067152E-4</v>
      </c>
      <c r="V73">
        <f>avg!T18/avg!I18</f>
        <v>1.7823988020796342E-3</v>
      </c>
      <c r="W73">
        <f>1-V73-Y73-Z73</f>
        <v>0.57504634880716254</v>
      </c>
      <c r="X73">
        <f>avg!U18/avg!I18</f>
        <v>0.47130669582495865</v>
      </c>
      <c r="Y73">
        <f>avg!V18/avg!I18</f>
        <v>0.42315613388345236</v>
      </c>
      <c r="Z73">
        <f>avg!W18/avg!I18</f>
        <v>1.5118507305551689E-5</v>
      </c>
      <c r="AA73">
        <f t="shared" si="4"/>
        <v>0.10373965298220389</v>
      </c>
      <c r="AB73">
        <f t="shared" si="5"/>
        <v>0.73586439555910399</v>
      </c>
    </row>
    <row r="74" spans="1:28" x14ac:dyDescent="0.3">
      <c r="A74">
        <v>1048576</v>
      </c>
      <c r="B74">
        <v>6</v>
      </c>
      <c r="C74">
        <v>343</v>
      </c>
      <c r="D74">
        <v>0.8</v>
      </c>
      <c r="E74">
        <v>12</v>
      </c>
      <c r="F74">
        <v>8191</v>
      </c>
      <c r="G74">
        <v>36064</v>
      </c>
      <c r="H74">
        <f t="shared" si="3"/>
        <v>128.01562690758149</v>
      </c>
      <c r="I74">
        <v>26813561366.666668</v>
      </c>
      <c r="J74">
        <v>87696722666.666672</v>
      </c>
      <c r="K74">
        <f>avg!I133/avg!H133</f>
        <v>3.2706107729384666</v>
      </c>
      <c r="L74">
        <f>avg!U133/avg!N133</f>
        <v>1.4306135042938639</v>
      </c>
      <c r="M74">
        <f>avg!V133/avg!Q133</f>
        <v>7.6610092679347224</v>
      </c>
      <c r="N74">
        <f>avg!W133/avg!R133</f>
        <v>0.29614968663270225</v>
      </c>
      <c r="O74">
        <f>avg!T133/avg!K133</f>
        <v>108.36885887246221</v>
      </c>
      <c r="P74">
        <f>avg!X74/avg!S74</f>
        <v>6.3406946366397001</v>
      </c>
      <c r="Q74">
        <f>avg!K133/avg!H133</f>
        <v>2.4149968659950766E-4</v>
      </c>
      <c r="R74">
        <f>1-Q74-T74-U74</f>
        <v>0.81784986833546836</v>
      </c>
      <c r="S74">
        <f>avg!N133/avg!H133</f>
        <v>0.74397463882334125</v>
      </c>
      <c r="T74">
        <f>avg!Q133/avg!H133</f>
        <v>0.18143159103242881</v>
      </c>
      <c r="U74">
        <f>avg!R133/avg!H133</f>
        <v>4.7704094550334633E-4</v>
      </c>
      <c r="V74">
        <f>avg!T133/avg!I133</f>
        <v>8.001883217467861E-3</v>
      </c>
      <c r="W74">
        <f>1-V74-Y74-Z74</f>
        <v>0.56697341270465107</v>
      </c>
      <c r="X74">
        <f>avg!U133/avg!I133</f>
        <v>0.32542550582886087</v>
      </c>
      <c r="Y74">
        <f>avg!V133/avg!I133</f>
        <v>0.42498150862102912</v>
      </c>
      <c r="Z74">
        <f>avg!W133/avg!I133</f>
        <v>4.319545685188813E-5</v>
      </c>
      <c r="AA74">
        <f t="shared" si="4"/>
        <v>0.2415479068757902</v>
      </c>
      <c r="AB74">
        <f t="shared" si="5"/>
        <v>0.74956161805493926</v>
      </c>
    </row>
    <row r="75" spans="1:28" x14ac:dyDescent="0.3">
      <c r="A75">
        <v>131072</v>
      </c>
      <c r="B75">
        <v>6</v>
      </c>
      <c r="C75">
        <v>343</v>
      </c>
      <c r="D75">
        <v>0.8</v>
      </c>
      <c r="E75">
        <v>9</v>
      </c>
      <c r="F75">
        <v>1023</v>
      </c>
      <c r="G75">
        <v>4548</v>
      </c>
      <c r="H75">
        <f t="shared" si="3"/>
        <v>128.12512218963832</v>
      </c>
      <c r="I75">
        <v>3823524333.3333335</v>
      </c>
      <c r="J75">
        <v>10756737466.666666</v>
      </c>
      <c r="K75">
        <f>avg!I43/avg!H43</f>
        <v>2.813304304850333</v>
      </c>
      <c r="L75">
        <f>avg!U43/avg!N43</f>
        <v>1.2774503628942746</v>
      </c>
      <c r="M75">
        <f>avg!V43/avg!Q43</f>
        <v>7.5800874393370163</v>
      </c>
      <c r="N75">
        <f>avg!W43/avg!R43</f>
        <v>0.32834285126305501</v>
      </c>
      <c r="O75">
        <f>avg!T43/avg!K43</f>
        <v>39.030485537958214</v>
      </c>
      <c r="P75">
        <f>avg!X75/avg!S75</f>
        <v>8.0851413032148578</v>
      </c>
      <c r="Q75">
        <f>avg!K43/avg!H43</f>
        <v>2.3449569607377068E-4</v>
      </c>
      <c r="R75">
        <f>1-Q75-T75-U75</f>
        <v>0.83853993170175545</v>
      </c>
      <c r="S75">
        <f>avg!N43/avg!H43</f>
        <v>0.68413765380334524</v>
      </c>
      <c r="T75">
        <f>avg!Q43/avg!H43</f>
        <v>0.16088667061357789</v>
      </c>
      <c r="U75">
        <f>avg!R43/avg!H43</f>
        <v>3.3890198859289766E-4</v>
      </c>
      <c r="V75">
        <f>avg!T43/avg!I43</f>
        <v>3.2532850635962969E-3</v>
      </c>
      <c r="W75">
        <f>1-V75-Y75-Z75</f>
        <v>0.56321867283402194</v>
      </c>
      <c r="X75">
        <f>avg!U43/avg!I43</f>
        <v>0.31064961320180218</v>
      </c>
      <c r="Y75">
        <f>avg!V43/avg!I43</f>
        <v>0.43348848859761463</v>
      </c>
      <c r="Z75">
        <f>avg!W43/avg!I43</f>
        <v>3.9553504767139374E-5</v>
      </c>
      <c r="AA75">
        <f t="shared" si="4"/>
        <v>0.25256905963221976</v>
      </c>
      <c r="AB75">
        <f t="shared" si="5"/>
        <v>0.76966284945130325</v>
      </c>
    </row>
    <row r="76" spans="1:28" x14ac:dyDescent="0.3">
      <c r="A76">
        <v>131072</v>
      </c>
      <c r="B76">
        <v>6</v>
      </c>
      <c r="C76">
        <v>343</v>
      </c>
      <c r="D76">
        <v>0.95</v>
      </c>
      <c r="E76">
        <v>9</v>
      </c>
      <c r="F76">
        <v>1023</v>
      </c>
      <c r="G76">
        <v>3072</v>
      </c>
      <c r="H76">
        <f t="shared" si="3"/>
        <v>128.12512218963832</v>
      </c>
      <c r="I76">
        <v>3317386133.3333335</v>
      </c>
      <c r="J76">
        <v>7170160733.333333</v>
      </c>
      <c r="K76">
        <f>avg!I41/avg!H41</f>
        <v>2.1613886491195715</v>
      </c>
      <c r="L76">
        <f>avg!U41/avg!N41</f>
        <v>0.53701430171799625</v>
      </c>
      <c r="M76">
        <f>avg!V41/avg!Q41</f>
        <v>7.5439225663538991</v>
      </c>
      <c r="N76">
        <f>avg!W41/avg!R41</f>
        <v>0.30059870506325687</v>
      </c>
      <c r="O76">
        <f>avg!T41/avg!K41</f>
        <v>63.366349047141419</v>
      </c>
      <c r="P76">
        <f>avg!X76/avg!S76</f>
        <v>7.0014940419970282</v>
      </c>
      <c r="Q76">
        <f>avg!K41/avg!H41</f>
        <v>1.6028683787830386E-4</v>
      </c>
      <c r="R76">
        <f>1-Q76-T76-U76</f>
        <v>0.87320256076310054</v>
      </c>
      <c r="S76">
        <f>avg!N41/avg!H41</f>
        <v>0.64675742098317079</v>
      </c>
      <c r="T76">
        <f>avg!Q41/avg!H41</f>
        <v>0.12626624793270974</v>
      </c>
      <c r="U76">
        <f>avg!R41/avg!H41</f>
        <v>3.7090446631154902E-4</v>
      </c>
      <c r="V76">
        <f>avg!T41/avg!I41</f>
        <v>4.6991973057675107E-3</v>
      </c>
      <c r="W76">
        <f>1-V76-Y76-Z76</f>
        <v>0.55454051141633631</v>
      </c>
      <c r="X76">
        <f>avg!U41/avg!I41</f>
        <v>0.16069205552258611</v>
      </c>
      <c r="Y76">
        <f>avg!V41/avg!I41</f>
        <v>0.44070870712512433</v>
      </c>
      <c r="Z76">
        <f>avg!W41/avg!I41</f>
        <v>5.1584152771805371E-5</v>
      </c>
      <c r="AA76">
        <f t="shared" si="4"/>
        <v>0.39384845589375017</v>
      </c>
      <c r="AB76">
        <f t="shared" si="5"/>
        <v>0.79472770348107236</v>
      </c>
    </row>
    <row r="77" spans="1:28" x14ac:dyDescent="0.3">
      <c r="A77">
        <v>1048576</v>
      </c>
      <c r="B77">
        <v>6</v>
      </c>
      <c r="C77">
        <v>343</v>
      </c>
      <c r="D77">
        <v>0.95</v>
      </c>
      <c r="E77">
        <v>12</v>
      </c>
      <c r="F77">
        <v>8191</v>
      </c>
      <c r="G77">
        <v>24576</v>
      </c>
      <c r="H77">
        <f t="shared" si="3"/>
        <v>128.01562690758149</v>
      </c>
      <c r="I77">
        <v>21189433733.333332</v>
      </c>
      <c r="J77">
        <v>56461494333.333336</v>
      </c>
      <c r="K77">
        <f>avg!I130/avg!H130</f>
        <v>2.6646060977322454</v>
      </c>
      <c r="L77">
        <f>avg!U130/avg!N130</f>
        <v>0.56842453738613652</v>
      </c>
      <c r="M77">
        <f>avg!V130/avg!Q130</f>
        <v>7.6567080748960743</v>
      </c>
      <c r="N77">
        <f>avg!W130/avg!R130</f>
        <v>0.50126090684420233</v>
      </c>
      <c r="O77">
        <f>avg!T130/avg!K130</f>
        <v>243.16926631421771</v>
      </c>
      <c r="P77">
        <f>avg!X77/avg!S77</f>
        <v>8.1525949799775272</v>
      </c>
      <c r="Q77">
        <f>avg!K130/avg!H130</f>
        <v>1.5592047943543283E-4</v>
      </c>
      <c r="R77">
        <f>1-Q77-T77-U77</f>
        <v>0.84234216723098454</v>
      </c>
      <c r="S77">
        <f>avg!N130/avg!H130</f>
        <v>0.74849390658248394</v>
      </c>
      <c r="T77">
        <f>avg!Q130/avg!H130</f>
        <v>0.15712763140506894</v>
      </c>
      <c r="U77">
        <f>avg!R130/avg!H130</f>
        <v>3.7428088451103679E-4</v>
      </c>
      <c r="V77">
        <f>avg!T130/avg!I130</f>
        <v>1.4229145771280595E-2</v>
      </c>
      <c r="W77">
        <f>1-V77-Y77-Z77</f>
        <v>0.53419641042326171</v>
      </c>
      <c r="X77">
        <f>avg!U130/avg!I130</f>
        <v>0.15967174395779804</v>
      </c>
      <c r="Y77">
        <f>avg!V130/avg!I130</f>
        <v>0.45150403475860301</v>
      </c>
      <c r="Z77">
        <f>avg!W130/avg!I130</f>
        <v>7.0409046854663768E-5</v>
      </c>
      <c r="AA77">
        <f t="shared" si="4"/>
        <v>0.37452466646546367</v>
      </c>
      <c r="AB77">
        <f t="shared" si="5"/>
        <v>0.84520230003204488</v>
      </c>
    </row>
    <row r="78" spans="1:28" x14ac:dyDescent="0.3">
      <c r="A78">
        <v>262144</v>
      </c>
      <c r="B78">
        <v>5</v>
      </c>
      <c r="C78">
        <v>216</v>
      </c>
      <c r="D78">
        <v>0.35</v>
      </c>
      <c r="E78">
        <v>11</v>
      </c>
      <c r="F78">
        <v>4095</v>
      </c>
      <c r="G78">
        <v>213698.66666666666</v>
      </c>
      <c r="H78">
        <f t="shared" si="3"/>
        <v>64.015628815628816</v>
      </c>
      <c r="I78">
        <v>22049402800</v>
      </c>
      <c r="J78">
        <v>116624434800</v>
      </c>
      <c r="K78">
        <f>avg!I83/avg!H83</f>
        <v>5.2892332666715127</v>
      </c>
      <c r="L78">
        <f>avg!U83/avg!N83</f>
        <v>4.1994607877731394</v>
      </c>
      <c r="M78">
        <f>avg!V83/avg!Q83</f>
        <v>7.3636166191531665</v>
      </c>
      <c r="N78">
        <f>avg!W83/avg!R83</f>
        <v>0.40480100086011417</v>
      </c>
      <c r="O78">
        <f>avg!T83/avg!K83</f>
        <v>1.7656201952354824</v>
      </c>
      <c r="P78">
        <f>avg!X78/avg!S78</f>
        <v>7.3247807176561981</v>
      </c>
      <c r="Q78">
        <f>avg!K83/avg!H83</f>
        <v>2.0058109389399577E-3</v>
      </c>
      <c r="R78">
        <f>1-Q78-T78-U78</f>
        <v>0.67325754207426125</v>
      </c>
      <c r="S78">
        <f>avg!N83/avg!H83</f>
        <v>0.64075892945877577</v>
      </c>
      <c r="T78">
        <f>avg!Q83/avg!H83</f>
        <v>0.32463997770195085</v>
      </c>
      <c r="U78">
        <f>avg!R83/avg!H83</f>
        <v>9.6669284847932478E-5</v>
      </c>
      <c r="V78">
        <f>avg!T83/avg!I83</f>
        <v>6.695678036989438E-4</v>
      </c>
      <c r="W78">
        <f>1-V78-Y78-Z78</f>
        <v>0.54736256722534904</v>
      </c>
      <c r="X78">
        <f>avg!U83/avg!I83</f>
        <v>0.50873952102531428</v>
      </c>
      <c r="Y78">
        <f>avg!V83/avg!I83</f>
        <v>0.45196046657854128</v>
      </c>
      <c r="Z78">
        <f>avg!W83/avg!I83</f>
        <v>7.3983924107586192E-6</v>
      </c>
      <c r="AA78">
        <f t="shared" si="4"/>
        <v>3.8623046200034761E-2</v>
      </c>
      <c r="AB78">
        <f t="shared" si="5"/>
        <v>0.82570583675384812</v>
      </c>
    </row>
    <row r="79" spans="1:28" x14ac:dyDescent="0.3">
      <c r="A79">
        <v>262144</v>
      </c>
      <c r="B79">
        <v>4</v>
      </c>
      <c r="C79">
        <v>125</v>
      </c>
      <c r="D79">
        <v>0.2</v>
      </c>
      <c r="E79">
        <v>12</v>
      </c>
      <c r="F79">
        <v>8191</v>
      </c>
      <c r="G79">
        <v>2185224</v>
      </c>
      <c r="H79">
        <f t="shared" si="3"/>
        <v>32.003906726895373</v>
      </c>
      <c r="I79">
        <v>46659979800</v>
      </c>
      <c r="J79">
        <v>285429887133.33331</v>
      </c>
      <c r="K79">
        <f>avg!I87/avg!H87</f>
        <v>6.1172312623532967</v>
      </c>
      <c r="L79">
        <f>avg!U87/avg!N87</f>
        <v>5.6498602970895409</v>
      </c>
      <c r="M79">
        <f>avg!V87/avg!Q87</f>
        <v>6.8050138923227923</v>
      </c>
      <c r="N79">
        <f>avg!W87/avg!R87</f>
        <v>0.36637215080328855</v>
      </c>
      <c r="O79">
        <f>avg!T87/avg!K87</f>
        <v>1.1529064364070276</v>
      </c>
      <c r="P79">
        <f>avg!X79/avg!S79</f>
        <v>2.7167331572757729</v>
      </c>
      <c r="Q79">
        <f>avg!K87/avg!H87</f>
        <v>7.8781167124865898E-3</v>
      </c>
      <c r="R79">
        <f>1-Q79-T79-U79</f>
        <v>0.58272381135207141</v>
      </c>
      <c r="S79">
        <f>avg!N87/avg!H87</f>
        <v>0.57583567649408485</v>
      </c>
      <c r="T79">
        <f>avg!Q87/avg!H87</f>
        <v>0.40934689103030147</v>
      </c>
      <c r="U79">
        <f>avg!R87/avg!H87</f>
        <v>5.1180905140469007E-5</v>
      </c>
      <c r="V79">
        <f>avg!T87/avg!I87</f>
        <v>1.4847781741534876E-3</v>
      </c>
      <c r="W79">
        <f>1-V79-Y79-Z79</f>
        <v>0.54314090098857748</v>
      </c>
      <c r="X79">
        <f>avg!U87/avg!I87</f>
        <v>0.53184046617522329</v>
      </c>
      <c r="Y79">
        <f>avg!V87/avg!I87</f>
        <v>0.45537125551940016</v>
      </c>
      <c r="Z79">
        <f>avg!W87/avg!I87</f>
        <v>3.0653178688489071E-6</v>
      </c>
      <c r="AA79">
        <f t="shared" si="4"/>
        <v>1.1300434813354188E-2</v>
      </c>
      <c r="AB79">
        <f t="shared" si="5"/>
        <v>0.83840354259930217</v>
      </c>
    </row>
    <row r="80" spans="1:28" x14ac:dyDescent="0.3">
      <c r="A80">
        <v>524288</v>
      </c>
      <c r="B80">
        <v>6</v>
      </c>
      <c r="C80">
        <v>343</v>
      </c>
      <c r="D80">
        <v>0.65</v>
      </c>
      <c r="E80">
        <v>11</v>
      </c>
      <c r="F80">
        <v>4095</v>
      </c>
      <c r="G80">
        <v>31265.333333333332</v>
      </c>
      <c r="H80">
        <f t="shared" si="3"/>
        <v>128.03125763125763</v>
      </c>
      <c r="I80">
        <v>17740774533.333332</v>
      </c>
      <c r="J80">
        <v>68920349200</v>
      </c>
      <c r="K80">
        <f>avg!I107/avg!H107</f>
        <v>3.8848557074272501</v>
      </c>
      <c r="L80">
        <f>avg!U107/avg!N107</f>
        <v>2.0575193847010387</v>
      </c>
      <c r="M80">
        <f>avg!V107/avg!Q107</f>
        <v>7.7151331472064344</v>
      </c>
      <c r="N80">
        <f>avg!W107/avg!R107</f>
        <v>0.45257337650157803</v>
      </c>
      <c r="O80">
        <f>avg!T107/avg!K107</f>
        <v>30.967851334048518</v>
      </c>
      <c r="P80">
        <f>avg!X80/avg!S80</f>
        <v>5.2951737805981969</v>
      </c>
      <c r="Q80">
        <f>avg!K107/avg!H107</f>
        <v>3.2576931684358105E-4</v>
      </c>
      <c r="R80">
        <f>1-Q80-T80-U80</f>
        <v>0.76287997880648717</v>
      </c>
      <c r="S80">
        <f>avg!N107/avg!H107</f>
        <v>0.70149396107914397</v>
      </c>
      <c r="T80">
        <f>avg!Q107/avg!H107</f>
        <v>0.23656385795226725</v>
      </c>
      <c r="U80">
        <f>avg!R107/avg!H107</f>
        <v>2.3039392440205299E-4</v>
      </c>
      <c r="V80">
        <f>avg!T107/avg!I107</f>
        <v>2.5968469701253341E-3</v>
      </c>
      <c r="W80">
        <f>1-V80-Y80-Z80</f>
        <v>0.52757207832990305</v>
      </c>
      <c r="X80">
        <f>avg!U107/avg!I107</f>
        <v>0.37152922318623421</v>
      </c>
      <c r="Y80">
        <f>avg!V107/avg!I107</f>
        <v>0.46980423453803394</v>
      </c>
      <c r="Z80">
        <f>avg!W107/avg!I107</f>
        <v>2.6840161937736282E-5</v>
      </c>
      <c r="AA80">
        <f t="shared" si="4"/>
        <v>0.15604285514366883</v>
      </c>
      <c r="AB80">
        <f t="shared" si="5"/>
        <v>0.89050246181575676</v>
      </c>
    </row>
    <row r="81" spans="1:28" x14ac:dyDescent="0.3">
      <c r="A81">
        <v>131072</v>
      </c>
      <c r="B81">
        <v>7</v>
      </c>
      <c r="C81">
        <v>512</v>
      </c>
      <c r="D81">
        <v>0.95</v>
      </c>
      <c r="E81">
        <v>8</v>
      </c>
      <c r="F81">
        <v>511</v>
      </c>
      <c r="G81">
        <v>1024</v>
      </c>
      <c r="H81">
        <f t="shared" si="3"/>
        <v>256.5009784735812</v>
      </c>
      <c r="I81">
        <v>3774035233.3333335</v>
      </c>
      <c r="J81">
        <v>9238956666.666666</v>
      </c>
      <c r="K81">
        <f>avg!I42/avg!H42</f>
        <v>2.4480313763543116</v>
      </c>
      <c r="L81">
        <f>avg!U42/avg!N42</f>
        <v>0.57380271350542722</v>
      </c>
      <c r="M81">
        <f>avg!V42/avg!Q42</f>
        <v>7.7801097036766622</v>
      </c>
      <c r="N81">
        <f>avg!W42/avg!R42</f>
        <v>0.29574037550267668</v>
      </c>
      <c r="O81">
        <f>avg!T42/avg!K42</f>
        <v>181.51799387442571</v>
      </c>
      <c r="P81">
        <f>avg!X81/avg!S81</f>
        <v>8.0453524294312331</v>
      </c>
      <c r="Q81">
        <f>avg!K42/avg!H42</f>
        <v>4.6139827152470412E-5</v>
      </c>
      <c r="R81">
        <f>1-Q81-T81-U81</f>
        <v>0.85103366417079118</v>
      </c>
      <c r="S81">
        <f>avg!N42/avg!H42</f>
        <v>0.67995818127718066</v>
      </c>
      <c r="T81">
        <f>avg!Q42/avg!H42</f>
        <v>0.14857537498523793</v>
      </c>
      <c r="U81">
        <f>avg!R42/avg!H42</f>
        <v>3.4482101681845276E-4</v>
      </c>
      <c r="V81">
        <f>avg!T42/avg!I42</f>
        <v>3.4212016003250007E-3</v>
      </c>
      <c r="W81">
        <f>1-V81-Y81-Z81</f>
        <v>0.52434845637332061</v>
      </c>
      <c r="X81">
        <f>avg!U42/avg!I42</f>
        <v>0.15937779770948166</v>
      </c>
      <c r="Y81">
        <f>avg!V42/avg!I42</f>
        <v>0.47218868508601441</v>
      </c>
      <c r="Z81">
        <f>avg!W42/avg!I42</f>
        <v>4.1656940339944592E-5</v>
      </c>
      <c r="AA81">
        <f t="shared" si="4"/>
        <v>0.36497065866383893</v>
      </c>
      <c r="AB81">
        <f t="shared" si="5"/>
        <v>0.90052460219284025</v>
      </c>
    </row>
    <row r="82" spans="1:28" x14ac:dyDescent="0.3">
      <c r="A82">
        <v>524288</v>
      </c>
      <c r="B82">
        <v>5</v>
      </c>
      <c r="C82">
        <v>216</v>
      </c>
      <c r="D82">
        <v>0.35</v>
      </c>
      <c r="E82">
        <v>12</v>
      </c>
      <c r="F82">
        <v>8191</v>
      </c>
      <c r="G82">
        <v>504657.33333333331</v>
      </c>
      <c r="H82">
        <f t="shared" si="3"/>
        <v>64.007813453790746</v>
      </c>
      <c r="I82">
        <v>47448948266.666664</v>
      </c>
      <c r="J82">
        <v>259748324266.66666</v>
      </c>
      <c r="K82">
        <f>avg!I113/avg!H113</f>
        <v>5.4742693727764316</v>
      </c>
      <c r="L82">
        <f>avg!U113/avg!N113</f>
        <v>4.2892805620401635</v>
      </c>
      <c r="M82">
        <f>avg!V113/avg!Q113</f>
        <v>7.3460005968613151</v>
      </c>
      <c r="N82">
        <f>avg!W113/avg!R113</f>
        <v>0.46440383084536285</v>
      </c>
      <c r="O82">
        <f>avg!T113/avg!K113</f>
        <v>3.4261795706133897</v>
      </c>
      <c r="P82">
        <f>avg!X82/avg!S82</f>
        <v>7.9443413639284817</v>
      </c>
      <c r="Q82">
        <f>avg!K113/avg!H113</f>
        <v>1.8431058332808231E-3</v>
      </c>
      <c r="R82">
        <f>1-Q82-T82-U82</f>
        <v>0.64180330676356512</v>
      </c>
      <c r="S82">
        <f>avg!N113/avg!H113</f>
        <v>0.62218908276075824</v>
      </c>
      <c r="T82">
        <f>avg!Q113/avg!H113</f>
        <v>0.35626798452226743</v>
      </c>
      <c r="U82">
        <f>avg!R113/avg!H113</f>
        <v>8.56028808866159E-5</v>
      </c>
      <c r="V82">
        <f>avg!T113/avg!I113</f>
        <v>1.1535441759349136E-3</v>
      </c>
      <c r="W82">
        <f>1-V82-Y82-Z82</f>
        <v>0.52075807488610082</v>
      </c>
      <c r="X82">
        <f>avg!U113/avg!I113</f>
        <v>0.48750679896590282</v>
      </c>
      <c r="Y82">
        <f>avg!V113/avg!I113</f>
        <v>0.47808111890843885</v>
      </c>
      <c r="Z82">
        <f>avg!W113/avg!I113</f>
        <v>7.2620295254088293E-6</v>
      </c>
      <c r="AA82">
        <f t="shared" si="4"/>
        <v>3.3251275920197998E-2</v>
      </c>
      <c r="AB82">
        <f t="shared" si="5"/>
        <v>0.91804840282698219</v>
      </c>
    </row>
    <row r="83" spans="1:28" x14ac:dyDescent="0.3">
      <c r="A83">
        <v>65536</v>
      </c>
      <c r="B83">
        <v>6</v>
      </c>
      <c r="C83">
        <v>343</v>
      </c>
      <c r="D83">
        <v>0.65</v>
      </c>
      <c r="E83">
        <v>8</v>
      </c>
      <c r="F83">
        <v>511</v>
      </c>
      <c r="G83">
        <v>3544</v>
      </c>
      <c r="H83">
        <f t="shared" si="3"/>
        <v>128.2504892367906</v>
      </c>
      <c r="I83">
        <v>2738328866.6666665</v>
      </c>
      <c r="J83">
        <v>7592912366.666667</v>
      </c>
      <c r="K83">
        <f>avg!I16/avg!H16</f>
        <v>2.7728270548852754</v>
      </c>
      <c r="L83">
        <f>avg!U16/avg!N16</f>
        <v>1.5853236942899951</v>
      </c>
      <c r="M83">
        <f>avg!V16/avg!Q16</f>
        <v>7.5522430394926623</v>
      </c>
      <c r="N83">
        <f>avg!W16/avg!R16</f>
        <v>0.20506173381958784</v>
      </c>
      <c r="O83">
        <f>avg!T16/avg!K16</f>
        <v>28.041624974984991</v>
      </c>
      <c r="P83">
        <f>avg!X83/avg!S83</f>
        <v>6.2860006745048667</v>
      </c>
      <c r="Q83">
        <f>avg!K16/avg!H16</f>
        <v>2.433114133138087E-4</v>
      </c>
      <c r="R83">
        <f>1-Q83-T83-U83</f>
        <v>0.82391141088410291</v>
      </c>
      <c r="S83">
        <f>avg!N16/avg!H16</f>
        <v>0.58194135094511301</v>
      </c>
      <c r="T83">
        <f>avg!Q16/avg!H16</f>
        <v>0.17556823525433385</v>
      </c>
      <c r="U83">
        <f>avg!R16/avg!H16</f>
        <v>2.7704244824939829E-4</v>
      </c>
      <c r="V83">
        <f>avg!T16/avg!I16</f>
        <v>2.4606105138287055E-3</v>
      </c>
      <c r="W83">
        <f>1-V83-Y83-Z83</f>
        <v>0.51933041099104649</v>
      </c>
      <c r="X83">
        <f>avg!U16/avg!I16</f>
        <v>0.33271653589610112</v>
      </c>
      <c r="Y83">
        <f>avg!V16/avg!I16</f>
        <v>0.47818849008973369</v>
      </c>
      <c r="Z83">
        <f>avg!W16/avg!I16</f>
        <v>2.0488405391008263E-5</v>
      </c>
      <c r="AA83">
        <f t="shared" si="4"/>
        <v>0.18661387509494537</v>
      </c>
      <c r="AB83">
        <f t="shared" si="5"/>
        <v>0.92077891063070805</v>
      </c>
    </row>
    <row r="84" spans="1:28" x14ac:dyDescent="0.3">
      <c r="A84">
        <v>1048576</v>
      </c>
      <c r="B84">
        <v>7</v>
      </c>
      <c r="C84">
        <v>512</v>
      </c>
      <c r="D84">
        <v>0.95</v>
      </c>
      <c r="E84">
        <v>11</v>
      </c>
      <c r="F84">
        <v>4095</v>
      </c>
      <c r="G84">
        <v>8192</v>
      </c>
      <c r="H84">
        <f t="shared" si="3"/>
        <v>256.06251526251526</v>
      </c>
      <c r="I84">
        <v>25370596433.333332</v>
      </c>
      <c r="J84">
        <v>73426870333.333328</v>
      </c>
      <c r="K84">
        <f>avg!I132/avg!H132</f>
        <v>2.89417202020765</v>
      </c>
      <c r="L84">
        <f>avg!U132/avg!N132</f>
        <v>0.63208185180949261</v>
      </c>
      <c r="M84">
        <f>avg!V132/avg!Q132</f>
        <v>8.0911394184830421</v>
      </c>
      <c r="N84">
        <f>avg!W132/avg!R132</f>
        <v>0.46325288596883607</v>
      </c>
      <c r="O84">
        <f>avg!T132/avg!K132</f>
        <v>502.89796200983221</v>
      </c>
      <c r="P84">
        <f>avg!X84/avg!S84</f>
        <v>7.8556197894447015</v>
      </c>
      <c r="Q84">
        <f>avg!K132/avg!H132</f>
        <v>5.6925478166363378E-5</v>
      </c>
      <c r="R84">
        <f>1-Q84-T84-U84</f>
        <v>0.82488007150293075</v>
      </c>
      <c r="S84">
        <f>avg!N132/avg!H132</f>
        <v>0.74700557065999773</v>
      </c>
      <c r="T84">
        <f>avg!Q132/avg!H132</f>
        <v>0.17474284368190515</v>
      </c>
      <c r="U84">
        <f>avg!R132/avg!H132</f>
        <v>3.201593369977442E-4</v>
      </c>
      <c r="V84">
        <f>avg!T132/avg!I132</f>
        <v>9.8915015266595584E-3</v>
      </c>
      <c r="W84">
        <f>1-V84-Y84-Z84</f>
        <v>0.50153455902662269</v>
      </c>
      <c r="X84">
        <f>avg!U132/avg!I132</f>
        <v>0.16314464417388058</v>
      </c>
      <c r="Y84">
        <f>avg!V132/avg!I132</f>
        <v>0.48852269344758625</v>
      </c>
      <c r="Z84">
        <f>avg!W132/avg!I132</f>
        <v>5.1245999131535009E-5</v>
      </c>
      <c r="AA84">
        <f t="shared" si="4"/>
        <v>0.33838991485274211</v>
      </c>
      <c r="AB84">
        <f t="shared" si="5"/>
        <v>0.97405589436490714</v>
      </c>
    </row>
    <row r="85" spans="1:28" x14ac:dyDescent="0.3">
      <c r="A85">
        <v>262144</v>
      </c>
      <c r="B85">
        <v>6</v>
      </c>
      <c r="C85">
        <v>343</v>
      </c>
      <c r="D85">
        <v>0.5</v>
      </c>
      <c r="E85">
        <v>10</v>
      </c>
      <c r="F85">
        <v>2047</v>
      </c>
      <c r="G85">
        <v>34838</v>
      </c>
      <c r="H85">
        <f t="shared" si="3"/>
        <v>128.06253053248656</v>
      </c>
      <c r="I85">
        <v>15698883925</v>
      </c>
      <c r="J85">
        <v>73392390175</v>
      </c>
      <c r="K85">
        <f>avg!I82/avg!H82</f>
        <v>4.675006868362459</v>
      </c>
      <c r="L85">
        <f>avg!U82/avg!N82</f>
        <v>3.0879960284363421</v>
      </c>
      <c r="M85">
        <f>avg!V82/avg!Q82</f>
        <v>7.6923511098439423</v>
      </c>
      <c r="N85">
        <f>avg!W82/avg!R82</f>
        <v>0.38928415061295973</v>
      </c>
      <c r="O85">
        <f>avg!T82/avg!K82</f>
        <v>11.427539998406514</v>
      </c>
      <c r="P85">
        <f>avg!X85/avg!S85</f>
        <v>7.0823929163230011</v>
      </c>
      <c r="Q85">
        <f>avg!K82/avg!H82</f>
        <v>4.1973206703609664E-4</v>
      </c>
      <c r="R85">
        <f>1-Q85-T85-U85</f>
        <v>0.70225805876834024</v>
      </c>
      <c r="S85">
        <f>avg!N82/avg!H82</f>
        <v>0.65786336782536592</v>
      </c>
      <c r="T85">
        <f>avg!Q82/avg!H82</f>
        <v>0.29717672111522414</v>
      </c>
      <c r="U85">
        <f>avg!R82/avg!H82</f>
        <v>1.4548804939966458E-4</v>
      </c>
      <c r="V85">
        <f>avg!T82/avg!I82</f>
        <v>1.0259888637016992E-3</v>
      </c>
      <c r="W85">
        <f>1-V85-Y85-Z85</f>
        <v>0.50998129282549964</v>
      </c>
      <c r="X85">
        <f>avg!U82/avg!I82</f>
        <v>0.43454042406788257</v>
      </c>
      <c r="Y85">
        <f>avg!V82/avg!I82</f>
        <v>0.48898060363517792</v>
      </c>
      <c r="Z85">
        <f>avg!W82/avg!I82</f>
        <v>1.2114675620727595E-5</v>
      </c>
      <c r="AA85">
        <f t="shared" si="4"/>
        <v>7.5440868757617074E-2</v>
      </c>
      <c r="AB85">
        <f t="shared" si="5"/>
        <v>0.95882066757004059</v>
      </c>
    </row>
    <row r="86" spans="1:28" x14ac:dyDescent="0.3">
      <c r="A86">
        <v>131072</v>
      </c>
      <c r="B86">
        <v>4</v>
      </c>
      <c r="C86">
        <v>125</v>
      </c>
      <c r="D86">
        <v>0.2</v>
      </c>
      <c r="E86">
        <v>11</v>
      </c>
      <c r="F86">
        <v>4095</v>
      </c>
      <c r="G86">
        <v>915456</v>
      </c>
      <c r="H86">
        <f t="shared" si="3"/>
        <v>32.007814407814408</v>
      </c>
      <c r="I86">
        <v>17938551333.333332</v>
      </c>
      <c r="J86">
        <v>107910102366.66667</v>
      </c>
      <c r="K86">
        <f>avg!I57/avg!H57</f>
        <v>6.0155416321801098</v>
      </c>
      <c r="L86">
        <f>avg!U57/avg!N57</f>
        <v>5.452136031392957</v>
      </c>
      <c r="M86">
        <f>avg!V57/avg!Q57</f>
        <v>6.7511949931598361</v>
      </c>
      <c r="N86">
        <f>avg!W57/avg!R57</f>
        <v>0.28153533573229544</v>
      </c>
      <c r="O86">
        <f>avg!T57/avg!K57</f>
        <v>0.293806443861511</v>
      </c>
      <c r="P86">
        <f>avg!X86/avg!S86</f>
        <v>8.0464893797432104</v>
      </c>
      <c r="Q86">
        <f>avg!K57/avg!H57</f>
        <v>7.8876956507859235E-3</v>
      </c>
      <c r="R86">
        <f>1-Q86-T86-U86</f>
        <v>0.5445018581396408</v>
      </c>
      <c r="S86">
        <f>avg!N57/avg!H57</f>
        <v>0.53019602995069059</v>
      </c>
      <c r="T86">
        <f>avg!Q57/avg!H57</f>
        <v>0.44753453706982738</v>
      </c>
      <c r="U86">
        <f>avg!R57/avg!H57</f>
        <v>7.5909139745844218E-5</v>
      </c>
      <c r="V86">
        <f>avg!T57/avg!I57</f>
        <v>3.8524474621239437E-4</v>
      </c>
      <c r="W86">
        <f>1-V86-Y86-Z86</f>
        <v>0.49734671659970764</v>
      </c>
      <c r="X86">
        <f>avg!U57/avg!I57</f>
        <v>0.48053875367296434</v>
      </c>
      <c r="Y86">
        <f>avg!V57/avg!I57</f>
        <v>0.50226448600554885</v>
      </c>
      <c r="Z86">
        <f>avg!W57/avg!I57</f>
        <v>3.5526485311266675E-6</v>
      </c>
      <c r="AA86">
        <f t="shared" si="4"/>
        <v>1.6807962926743303E-2</v>
      </c>
      <c r="AB86">
        <f t="shared" si="5"/>
        <v>1.0098880101983247</v>
      </c>
    </row>
    <row r="87" spans="1:28" x14ac:dyDescent="0.3">
      <c r="A87">
        <v>524288</v>
      </c>
      <c r="B87">
        <v>7</v>
      </c>
      <c r="C87">
        <v>512</v>
      </c>
      <c r="D87">
        <v>0.8</v>
      </c>
      <c r="E87">
        <v>10</v>
      </c>
      <c r="F87">
        <v>2047</v>
      </c>
      <c r="G87">
        <v>7576</v>
      </c>
      <c r="H87">
        <f t="shared" si="3"/>
        <v>256.12506106497312</v>
      </c>
      <c r="I87">
        <v>17296369400</v>
      </c>
      <c r="J87">
        <v>65029808066.666664</v>
      </c>
      <c r="K87">
        <f>avg!I106/avg!H106</f>
        <v>3.7597374664458001</v>
      </c>
      <c r="L87">
        <f>avg!U106/avg!N106</f>
        <v>1.6152168715198301</v>
      </c>
      <c r="M87">
        <f>avg!V106/avg!Q106</f>
        <v>8.0112837314739433</v>
      </c>
      <c r="N87">
        <f>avg!W106/avg!R106</f>
        <v>0.45167063015485442</v>
      </c>
      <c r="O87">
        <f>avg!T106/avg!K106</f>
        <v>99.603125560627504</v>
      </c>
      <c r="P87">
        <f>avg!X87/avg!S87</f>
        <v>10.035717148929423</v>
      </c>
      <c r="Q87">
        <f>avg!K106/avg!H106</f>
        <v>9.6681175954378798E-5</v>
      </c>
      <c r="R87">
        <f>1-Q87-T87-U87</f>
        <v>0.76331114513160969</v>
      </c>
      <c r="S87">
        <f>avg!N106/avg!H106</f>
        <v>0.70025696259701764</v>
      </c>
      <c r="T87">
        <f>avg!Q106/avg!H106</f>
        <v>0.23634986657951465</v>
      </c>
      <c r="U87">
        <f>avg!R106/avg!H106</f>
        <v>2.4230711292124309E-4</v>
      </c>
      <c r="V87">
        <f>avg!T106/avg!I106</f>
        <v>2.5612818431805079E-3</v>
      </c>
      <c r="W87">
        <f>1-V87-Y87-Z87</f>
        <v>0.49379310434194212</v>
      </c>
      <c r="X87">
        <f>avg!U106/avg!I106</f>
        <v>0.30083665960197137</v>
      </c>
      <c r="Y87">
        <f>avg!V106/avg!I106</f>
        <v>0.50361650459984286</v>
      </c>
      <c r="Z87">
        <f>avg!W106/avg!I106</f>
        <v>2.9109215034527743E-5</v>
      </c>
      <c r="AA87">
        <f t="shared" si="4"/>
        <v>0.19295644473997076</v>
      </c>
      <c r="AB87">
        <f t="shared" si="5"/>
        <v>1.0198937574695215</v>
      </c>
    </row>
    <row r="88" spans="1:28" x14ac:dyDescent="0.3">
      <c r="A88">
        <v>1048576</v>
      </c>
      <c r="B88">
        <v>6</v>
      </c>
      <c r="C88">
        <v>343</v>
      </c>
      <c r="D88">
        <v>0.65</v>
      </c>
      <c r="E88">
        <v>12</v>
      </c>
      <c r="F88">
        <v>8191</v>
      </c>
      <c r="G88">
        <v>73064</v>
      </c>
      <c r="H88">
        <f t="shared" si="3"/>
        <v>128.01562690758149</v>
      </c>
      <c r="I88">
        <v>36692421533.333336</v>
      </c>
      <c r="J88">
        <v>149930824633.33334</v>
      </c>
      <c r="K88">
        <f>avg!I137/avg!H137</f>
        <v>4.0861523542982372</v>
      </c>
      <c r="L88">
        <f>avg!U137/avg!N137</f>
        <v>2.0895796883966447</v>
      </c>
      <c r="M88">
        <f>avg!V137/avg!Q137</f>
        <v>7.7769753796907501</v>
      </c>
      <c r="N88">
        <f>avg!W137/avg!R137</f>
        <v>0.46581025023417638</v>
      </c>
      <c r="O88">
        <f>avg!T137/avg!K137</f>
        <v>57.75808367211539</v>
      </c>
      <c r="P88">
        <f>avg!X88/avg!S88</f>
        <v>8.0224558742725804</v>
      </c>
      <c r="Q88">
        <f>avg!K137/avg!H137</f>
        <v>3.3273265040781178E-4</v>
      </c>
      <c r="R88">
        <f>1-Q88-T88-U88</f>
        <v>0.73322640232104752</v>
      </c>
      <c r="S88">
        <f>avg!N137/avg!H137</f>
        <v>0.67910051881866984</v>
      </c>
      <c r="T88">
        <f>avg!Q137/avg!H137</f>
        <v>0.26621683239029181</v>
      </c>
      <c r="U88">
        <f>avg!R137/avg!H137</f>
        <v>2.2403263825289494E-4</v>
      </c>
      <c r="V88">
        <f>avg!T137/avg!I137</f>
        <v>4.7032020826349354E-3</v>
      </c>
      <c r="W88">
        <f>1-V88-Y88-Z88</f>
        <v>0.48859368742763665</v>
      </c>
      <c r="X88">
        <f>avg!U137/avg!I137</f>
        <v>0.34727893809696753</v>
      </c>
      <c r="Y88">
        <f>avg!V137/avg!I137</f>
        <v>0.50667757137854585</v>
      </c>
      <c r="Z88">
        <f>avg!W137/avg!I137</f>
        <v>2.553911118253595E-5</v>
      </c>
      <c r="AA88">
        <f t="shared" si="4"/>
        <v>0.14131474933066912</v>
      </c>
      <c r="AB88">
        <f t="shared" si="5"/>
        <v>1.0370121113232507</v>
      </c>
    </row>
    <row r="89" spans="1:28" x14ac:dyDescent="0.3">
      <c r="A89">
        <v>65536</v>
      </c>
      <c r="B89">
        <v>7</v>
      </c>
      <c r="C89">
        <v>512</v>
      </c>
      <c r="D89">
        <v>0.8</v>
      </c>
      <c r="E89">
        <v>7</v>
      </c>
      <c r="F89">
        <v>255</v>
      </c>
      <c r="G89">
        <v>953.33333333333337</v>
      </c>
      <c r="H89">
        <f t="shared" si="3"/>
        <v>257.00392156862745</v>
      </c>
      <c r="I89">
        <v>2871223733.3333335</v>
      </c>
      <c r="J89">
        <v>8081230066.666667</v>
      </c>
      <c r="K89">
        <f>avg!I17/avg!H17</f>
        <v>2.8145595109318777</v>
      </c>
      <c r="L89">
        <f>avg!U17/avg!N17</f>
        <v>1.353354283204163</v>
      </c>
      <c r="M89">
        <f>avg!V17/avg!Q17</f>
        <v>7.9258800984553108</v>
      </c>
      <c r="N89">
        <f>avg!W17/avg!R17</f>
        <v>0.21646721803816474</v>
      </c>
      <c r="O89">
        <f>avg!T17/avg!K17</f>
        <v>61.469694644775196</v>
      </c>
      <c r="P89">
        <f>avg!X89/avg!S89</f>
        <v>11.462974081185957</v>
      </c>
      <c r="Q89">
        <f>avg!K17/avg!H17</f>
        <v>7.5658796913446148E-5</v>
      </c>
      <c r="R89">
        <f>1-Q89-T89-U89</f>
        <v>0.81812024587147003</v>
      </c>
      <c r="S89">
        <f>avg!N17/avg!H17</f>
        <v>0.58579604245864403</v>
      </c>
      <c r="T89">
        <f>avg!Q17/avg!H17</f>
        <v>0.18155283196786057</v>
      </c>
      <c r="U89">
        <f>avg!R17/avg!H17</f>
        <v>2.51263363755979E-4</v>
      </c>
      <c r="V89">
        <f>avg!T17/avg!I17</f>
        <v>1.6523804614530175E-3</v>
      </c>
      <c r="W89">
        <f>1-V89-Y89-Z89</f>
        <v>0.48707032644725023</v>
      </c>
      <c r="X89">
        <f>avg!U17/avg!I17</f>
        <v>0.28167447874746393</v>
      </c>
      <c r="Y89">
        <f>avg!V17/avg!I17</f>
        <v>0.51125796847544269</v>
      </c>
      <c r="Z89">
        <f>avg!W17/avg!I17</f>
        <v>1.9324615854066637E-5</v>
      </c>
      <c r="AA89">
        <f t="shared" si="4"/>
        <v>0.2053958476997863</v>
      </c>
      <c r="AB89">
        <f t="shared" si="5"/>
        <v>1.0496594448785661</v>
      </c>
    </row>
    <row r="90" spans="1:28" x14ac:dyDescent="0.3">
      <c r="A90">
        <v>1048576</v>
      </c>
      <c r="B90">
        <v>3</v>
      </c>
      <c r="C90">
        <v>64</v>
      </c>
      <c r="D90">
        <v>0.65</v>
      </c>
      <c r="E90">
        <v>14</v>
      </c>
      <c r="F90">
        <v>32767</v>
      </c>
      <c r="G90">
        <v>249761.33333333334</v>
      </c>
      <c r="H90">
        <f t="shared" si="3"/>
        <v>32.000976592303232</v>
      </c>
      <c r="I90">
        <v>5764725633.333333</v>
      </c>
      <c r="J90">
        <v>29456054200</v>
      </c>
      <c r="K90">
        <f>avg!I128/avg!H128</f>
        <v>5.1097061809284492</v>
      </c>
      <c r="L90">
        <f>avg!U128/avg!N128</f>
        <v>3.1324701761783809</v>
      </c>
      <c r="M90">
        <f>avg!V128/avg!Q128</f>
        <v>7.1463131919219549</v>
      </c>
      <c r="N90">
        <f>avg!W128/avg!R128</f>
        <v>0.45771844857759147</v>
      </c>
      <c r="O90">
        <f>avg!T128/avg!K128</f>
        <v>10.040443877512592</v>
      </c>
      <c r="P90">
        <f>avg!X90/avg!S90</f>
        <v>11.447526391280224</v>
      </c>
      <c r="Q90">
        <f>avg!K128/avg!H128</f>
        <v>8.444998616846576E-3</v>
      </c>
      <c r="R90">
        <f>1-Q90-T90-U90</f>
        <v>0.62333191468626648</v>
      </c>
      <c r="S90">
        <f>avg!N128/avg!H128</f>
        <v>0.45652014233762117</v>
      </c>
      <c r="T90">
        <f>avg!Q128/avg!H128</f>
        <v>0.36680231945586261</v>
      </c>
      <c r="U90">
        <f>avg!R128/avg!H128</f>
        <v>1.4207672410243473E-3</v>
      </c>
      <c r="V90">
        <f>avg!T128/avg!I128</f>
        <v>1.6594209462492546E-2</v>
      </c>
      <c r="W90">
        <f>1-V90-Y90-Z90</f>
        <v>0.47027754541090799</v>
      </c>
      <c r="X90">
        <f>avg!U128/avg!I128</f>
        <v>0.27986652853637584</v>
      </c>
      <c r="Y90">
        <f>avg!V128/avg!I128</f>
        <v>0.51300097530827238</v>
      </c>
      <c r="Z90">
        <f>avg!W128/avg!I128</f>
        <v>1.2726981832708153E-4</v>
      </c>
      <c r="AA90">
        <f t="shared" si="4"/>
        <v>0.19041101687453216</v>
      </c>
      <c r="AB90">
        <f t="shared" si="5"/>
        <v>1.0908472673515264</v>
      </c>
    </row>
    <row r="91" spans="1:28" x14ac:dyDescent="0.3">
      <c r="A91">
        <v>131072</v>
      </c>
      <c r="B91">
        <v>6</v>
      </c>
      <c r="C91">
        <v>343</v>
      </c>
      <c r="D91">
        <v>0.65</v>
      </c>
      <c r="E91">
        <v>9</v>
      </c>
      <c r="F91">
        <v>1023</v>
      </c>
      <c r="G91">
        <v>8553.3333333333339</v>
      </c>
      <c r="H91">
        <f t="shared" si="3"/>
        <v>128.12512218963832</v>
      </c>
      <c r="I91">
        <v>4800561300</v>
      </c>
      <c r="J91">
        <v>17116030866.666666</v>
      </c>
      <c r="K91">
        <f>avg!I47/avg!H47</f>
        <v>3.5654228322564419</v>
      </c>
      <c r="L91">
        <f>avg!U47/avg!N47</f>
        <v>1.7806680677970275</v>
      </c>
      <c r="M91">
        <f>avg!V47/avg!Q47</f>
        <v>7.6500068213819405</v>
      </c>
      <c r="N91">
        <f>avg!W47/avg!R47</f>
        <v>0.29532790398628378</v>
      </c>
      <c r="O91">
        <f>avg!T47/avg!K47</f>
        <v>24.383951642672574</v>
      </c>
      <c r="P91">
        <f>avg!X91/avg!S91</f>
        <v>7.0937832982504867</v>
      </c>
      <c r="Q91">
        <f>avg!K47/avg!H47</f>
        <v>3.0096480592800681E-4</v>
      </c>
      <c r="R91">
        <f>1-Q91-T91-U91</f>
        <v>0.75960129912308372</v>
      </c>
      <c r="S91">
        <f>avg!N47/avg!H47</f>
        <v>0.63627027670007386</v>
      </c>
      <c r="T91">
        <f>avg!Q47/avg!H47</f>
        <v>0.23982234466345984</v>
      </c>
      <c r="U91">
        <f>avg!R47/avg!H47</f>
        <v>2.7539140752839324E-4</v>
      </c>
      <c r="V91">
        <f>avg!T47/avg!I47</f>
        <v>2.0583004090009766E-3</v>
      </c>
      <c r="W91">
        <f>1-V91-Y91-Z91</f>
        <v>0.48335367183629319</v>
      </c>
      <c r="X91">
        <f>avg!U47/avg!I47</f>
        <v>0.31777049105033356</v>
      </c>
      <c r="Y91">
        <f>avg!V47/avg!I47</f>
        <v>0.51456521678080802</v>
      </c>
      <c r="Z91">
        <f>avg!W47/avg!I47</f>
        <v>2.2810973897791873E-5</v>
      </c>
      <c r="AA91">
        <f t="shared" si="4"/>
        <v>0.16558318078595963</v>
      </c>
      <c r="AB91">
        <f t="shared" si="5"/>
        <v>1.0645728930245633</v>
      </c>
    </row>
    <row r="92" spans="1:28" x14ac:dyDescent="0.3">
      <c r="A92">
        <v>131072</v>
      </c>
      <c r="B92">
        <v>3</v>
      </c>
      <c r="C92">
        <v>64</v>
      </c>
      <c r="D92">
        <v>0.65</v>
      </c>
      <c r="E92">
        <v>11</v>
      </c>
      <c r="F92">
        <v>4095</v>
      </c>
      <c r="G92">
        <v>30032</v>
      </c>
      <c r="H92">
        <f t="shared" si="3"/>
        <v>32.007814407814408</v>
      </c>
      <c r="I92">
        <v>848914600</v>
      </c>
      <c r="J92">
        <v>3496783633.3333335</v>
      </c>
      <c r="K92">
        <f>avg!I39/avg!H39</f>
        <v>4.1191229757779331</v>
      </c>
      <c r="L92">
        <f>avg!U39/avg!N39</f>
        <v>1.8850653110838365</v>
      </c>
      <c r="M92">
        <f>avg!V39/avg!Q39</f>
        <v>6.6919723080840443</v>
      </c>
      <c r="N92">
        <f>avg!W39/avg!R39</f>
        <v>0.34040990043827424</v>
      </c>
      <c r="O92">
        <f>avg!T39/avg!K39</f>
        <v>7.3813272791631581</v>
      </c>
      <c r="P92">
        <f>avg!X92/avg!S92</f>
        <v>10.256635592811477</v>
      </c>
      <c r="Q92">
        <f>avg!K39/avg!H39</f>
        <v>6.4338627230583617E-3</v>
      </c>
      <c r="R92">
        <f>1-Q92-T92-U92</f>
        <v>0.67218846277352284</v>
      </c>
      <c r="S92">
        <f>avg!N39/avg!H39</f>
        <v>0.59854591576899097</v>
      </c>
      <c r="T92">
        <f>avg!Q39/avg!H39</f>
        <v>0.31982773453694086</v>
      </c>
      <c r="U92">
        <f>avg!R39/avg!H39</f>
        <v>1.5499399664779788E-3</v>
      </c>
      <c r="V92">
        <f>avg!T39/avg!I39</f>
        <v>1.1529261618884455E-2</v>
      </c>
      <c r="W92">
        <f>1-V92-Y92-Z92</f>
        <v>0.46874700826261206</v>
      </c>
      <c r="X92">
        <f>avg!U39/avg!I39</f>
        <v>0.2739170812675103</v>
      </c>
      <c r="Y92">
        <f>avg!V39/avg!I39</f>
        <v>0.51959564098089417</v>
      </c>
      <c r="Z92">
        <f>avg!W39/avg!I39</f>
        <v>1.2808913760930531E-4</v>
      </c>
      <c r="AA92">
        <f t="shared" si="4"/>
        <v>0.19482992699510177</v>
      </c>
      <c r="AB92">
        <f t="shared" si="5"/>
        <v>1.1084777754779707</v>
      </c>
    </row>
    <row r="93" spans="1:28" x14ac:dyDescent="0.3">
      <c r="A93">
        <v>131072</v>
      </c>
      <c r="B93">
        <v>5</v>
      </c>
      <c r="C93">
        <v>216</v>
      </c>
      <c r="D93">
        <v>0.2</v>
      </c>
      <c r="E93">
        <v>10</v>
      </c>
      <c r="F93">
        <v>2047</v>
      </c>
      <c r="G93">
        <v>330368</v>
      </c>
      <c r="H93">
        <f t="shared" si="3"/>
        <v>64.031265266243281</v>
      </c>
      <c r="I93">
        <v>27488740800</v>
      </c>
      <c r="J93">
        <v>154736375733.33334</v>
      </c>
      <c r="K93">
        <f>avg!I59/avg!H59</f>
        <v>5.6290819888458969</v>
      </c>
      <c r="L93">
        <f>avg!U59/avg!N59</f>
        <v>4.4833751700887197</v>
      </c>
      <c r="M93">
        <f>avg!V59/avg!Q59</f>
        <v>7.241879518352885</v>
      </c>
      <c r="N93">
        <f>avg!W59/avg!R59</f>
        <v>0.28461459771878678</v>
      </c>
      <c r="O93">
        <f>avg!T59/avg!K59</f>
        <v>0.65256637870382628</v>
      </c>
      <c r="P93">
        <f>avg!X93/avg!S93</f>
        <v>8.1574670081262486</v>
      </c>
      <c r="Q93">
        <f>avg!K59/avg!H59</f>
        <v>2.169939337490497E-3</v>
      </c>
      <c r="R93">
        <f>1-Q93-T93-U93</f>
        <v>0.59249153748068362</v>
      </c>
      <c r="S93">
        <f>avg!N59/avg!H59</f>
        <v>0.58359046891421573</v>
      </c>
      <c r="T93">
        <f>avg!Q59/avg!H59</f>
        <v>0.40529110740496344</v>
      </c>
      <c r="U93">
        <f>avg!R59/avg!H59</f>
        <v>4.7415776862358133E-5</v>
      </c>
      <c r="V93">
        <f>avg!T59/avg!I59</f>
        <v>2.5155601895283025E-4</v>
      </c>
      <c r="W93">
        <f>1-V93-Y93-Z93</f>
        <v>0.47833431806766946</v>
      </c>
      <c r="X93">
        <f>avg!U59/avg!I59</f>
        <v>0.464810252011779</v>
      </c>
      <c r="Y93">
        <f>avg!V59/avg!I59</f>
        <v>0.52141172850252382</v>
      </c>
      <c r="Z93">
        <f>avg!W59/avg!I59</f>
        <v>2.3974108538381192E-6</v>
      </c>
      <c r="AA93">
        <f t="shared" si="4"/>
        <v>1.352406605589046E-2</v>
      </c>
      <c r="AB93">
        <f t="shared" si="5"/>
        <v>1.0900571186463779</v>
      </c>
    </row>
    <row r="94" spans="1:28" x14ac:dyDescent="0.3">
      <c r="A94">
        <v>262144</v>
      </c>
      <c r="B94">
        <v>3</v>
      </c>
      <c r="C94">
        <v>64</v>
      </c>
      <c r="D94">
        <v>0.65</v>
      </c>
      <c r="E94">
        <v>12</v>
      </c>
      <c r="F94">
        <v>8191</v>
      </c>
      <c r="G94">
        <v>68510.666666666672</v>
      </c>
      <c r="H94">
        <f t="shared" si="3"/>
        <v>32.003906726895373</v>
      </c>
      <c r="I94">
        <v>1865781533.3333333</v>
      </c>
      <c r="J94">
        <v>7753511866.666667</v>
      </c>
      <c r="K94">
        <f>avg!I69/avg!H69</f>
        <v>4.1556375857223449</v>
      </c>
      <c r="L94">
        <f>avg!U69/avg!N69</f>
        <v>2.6533983329422894</v>
      </c>
      <c r="M94">
        <f>avg!V69/avg!Q69</f>
        <v>7.0216486364624773</v>
      </c>
      <c r="N94">
        <f>avg!W69/avg!R69</f>
        <v>0.39796701489498326</v>
      </c>
      <c r="O94">
        <f>avg!T69/avg!K69</f>
        <v>7.224839526695007</v>
      </c>
      <c r="P94">
        <f>avg!X94/avg!S94</f>
        <v>3.2359328062730204</v>
      </c>
      <c r="Q94">
        <f>avg!K69/avg!H69</f>
        <v>6.362552700435847E-3</v>
      </c>
      <c r="R94">
        <f>1-Q94-T94-U94</f>
        <v>0.67963242784801914</v>
      </c>
      <c r="S94">
        <f>avg!N69/avg!H69</f>
        <v>0.39130878238227462</v>
      </c>
      <c r="T94">
        <f>avg!Q69/avg!H69</f>
        <v>0.31286435357222786</v>
      </c>
      <c r="U94">
        <f>avg!R69/avg!H69</f>
        <v>1.140665879317132E-3</v>
      </c>
      <c r="V94">
        <f>avg!T69/avg!I69</f>
        <v>1.1061701433908512E-2</v>
      </c>
      <c r="W94">
        <f>1-V94-Y94-Z94</f>
        <v>0.46019211612650912</v>
      </c>
      <c r="X94">
        <f>avg!U69/avg!I69</f>
        <v>0.24985289246736003</v>
      </c>
      <c r="Y94">
        <f>avg!V69/avg!I69</f>
        <v>0.52863694591796073</v>
      </c>
      <c r="Z94">
        <f>avg!W69/avg!I69</f>
        <v>1.0923652162162593E-4</v>
      </c>
      <c r="AA94">
        <f t="shared" si="4"/>
        <v>0.21033922365914909</v>
      </c>
      <c r="AB94">
        <f t="shared" si="5"/>
        <v>1.1487309916726947</v>
      </c>
    </row>
    <row r="95" spans="1:28" x14ac:dyDescent="0.3">
      <c r="A95">
        <v>1048576</v>
      </c>
      <c r="B95">
        <v>7</v>
      </c>
      <c r="C95">
        <v>512</v>
      </c>
      <c r="D95">
        <v>0.8</v>
      </c>
      <c r="E95">
        <v>11</v>
      </c>
      <c r="F95">
        <v>4095</v>
      </c>
      <c r="G95">
        <v>15497.333333333334</v>
      </c>
      <c r="H95">
        <f t="shared" si="3"/>
        <v>256.06251526251526</v>
      </c>
      <c r="I95">
        <v>33414567933.333332</v>
      </c>
      <c r="J95">
        <v>127967169466.66667</v>
      </c>
      <c r="K95">
        <f>avg!I136/avg!H136</f>
        <v>3.8296820034297259</v>
      </c>
      <c r="L95">
        <f>avg!U136/avg!N136</f>
        <v>1.4895417953405949</v>
      </c>
      <c r="M95">
        <f>avg!V136/avg!Q136</f>
        <v>8.1536440553817311</v>
      </c>
      <c r="N95">
        <f>avg!W136/avg!R136</f>
        <v>0.44972965735595838</v>
      </c>
      <c r="O95">
        <f>avg!T136/avg!K136</f>
        <v>234.00402241800057</v>
      </c>
      <c r="P95">
        <f>avg!X95/avg!S95</f>
        <v>8.244756968802287</v>
      </c>
      <c r="Q95">
        <f>avg!K136/avg!H136</f>
        <v>9.6472891896478392E-5</v>
      </c>
      <c r="R95">
        <f>1-Q95-T95-U95</f>
        <v>0.75005978779487192</v>
      </c>
      <c r="S95">
        <f>avg!N136/avg!H136</f>
        <v>0.69094835161108636</v>
      </c>
      <c r="T95">
        <f>avg!Q136/avg!H136</f>
        <v>0.2495904196628457</v>
      </c>
      <c r="U95">
        <f>avg!R136/avg!H136</f>
        <v>2.5331965038586296E-4</v>
      </c>
      <c r="V95">
        <f>avg!T136/avg!I136</f>
        <v>5.894756989707102E-3</v>
      </c>
      <c r="W95">
        <f>1-V95-Y95-Z95</f>
        <v>0.46268112865794619</v>
      </c>
      <c r="X95">
        <f>avg!U136/avg!I136</f>
        <v>0.26874201231974115</v>
      </c>
      <c r="Y95">
        <f>avg!V136/avg!I136</f>
        <v>0.53139436635774362</v>
      </c>
      <c r="Z95">
        <f>avg!W136/avg!I136</f>
        <v>2.9747994603086585E-5</v>
      </c>
      <c r="AA95">
        <f t="shared" si="4"/>
        <v>0.19393911633820504</v>
      </c>
      <c r="AB95">
        <f t="shared" si="5"/>
        <v>1.1485110013004143</v>
      </c>
    </row>
    <row r="96" spans="1:28" x14ac:dyDescent="0.3">
      <c r="A96">
        <v>1048576</v>
      </c>
      <c r="B96">
        <v>6</v>
      </c>
      <c r="C96">
        <v>343</v>
      </c>
      <c r="D96">
        <v>0.5</v>
      </c>
      <c r="E96">
        <v>12</v>
      </c>
      <c r="F96">
        <v>8191</v>
      </c>
      <c r="G96">
        <v>181263</v>
      </c>
      <c r="H96">
        <f t="shared" si="3"/>
        <v>128.01562690758149</v>
      </c>
      <c r="I96">
        <v>70726606325</v>
      </c>
      <c r="J96">
        <v>354820503500</v>
      </c>
      <c r="K96">
        <f>avg!I142/avg!H142</f>
        <v>5.0167896062981363</v>
      </c>
      <c r="L96">
        <f>avg!U142/avg!N142</f>
        <v>3.2462059922761033</v>
      </c>
      <c r="M96">
        <f>avg!V142/avg!Q142</f>
        <v>7.7793202782585533</v>
      </c>
      <c r="N96">
        <f>avg!W142/avg!R142</f>
        <v>0.32219252738039095</v>
      </c>
      <c r="O96">
        <f>avg!T142/avg!K142</f>
        <v>16.264973869388324</v>
      </c>
      <c r="P96">
        <f>avg!X96/avg!S96</f>
        <v>9.3878271380449672</v>
      </c>
      <c r="Q96">
        <f>avg!K142/avg!H142</f>
        <v>6.2353585576198649E-4</v>
      </c>
      <c r="R96">
        <f>1-Q96-T96-U96</f>
        <v>0.65579986563847048</v>
      </c>
      <c r="S96">
        <f>avg!N142/avg!H142</f>
        <v>0.6275541299980506</v>
      </c>
      <c r="T96">
        <f>avg!Q142/avg!H142</f>
        <v>0.34340796500813869</v>
      </c>
      <c r="U96">
        <f>avg!R142/avg!H142</f>
        <v>1.6863349762880059E-4</v>
      </c>
      <c r="V96">
        <f>avg!T142/avg!I142</f>
        <v>2.0215706052060206E-3</v>
      </c>
      <c r="W96">
        <f>1-V96-Y96-Z96</f>
        <v>0.46545960998840641</v>
      </c>
      <c r="X96">
        <f>avg!U142/avg!I142</f>
        <v>0.40607044288239674</v>
      </c>
      <c r="Y96">
        <f>avg!V142/avg!I142</f>
        <v>0.53250798928253029</v>
      </c>
      <c r="Z96">
        <f>avg!W142/avg!I142</f>
        <v>1.0830123857258999E-5</v>
      </c>
      <c r="AA96">
        <f t="shared" si="4"/>
        <v>5.9389167106009666E-2</v>
      </c>
      <c r="AB96">
        <f t="shared" si="5"/>
        <v>1.1440476850307031</v>
      </c>
    </row>
    <row r="97" spans="1:28" x14ac:dyDescent="0.3">
      <c r="A97">
        <v>131072</v>
      </c>
      <c r="B97">
        <v>7</v>
      </c>
      <c r="C97">
        <v>512</v>
      </c>
      <c r="D97">
        <v>0.8</v>
      </c>
      <c r="E97">
        <v>8</v>
      </c>
      <c r="F97">
        <v>511</v>
      </c>
      <c r="G97">
        <v>1937.3333333333333</v>
      </c>
      <c r="H97">
        <f t="shared" si="3"/>
        <v>256.5009784735812</v>
      </c>
      <c r="I97">
        <v>4707535866.666667</v>
      </c>
      <c r="J97">
        <v>15394169366.666666</v>
      </c>
      <c r="K97">
        <f>avg!I46/avg!H46</f>
        <v>3.270111965725083</v>
      </c>
      <c r="L97">
        <f>avg!U46/avg!N46</f>
        <v>1.3428781659589359</v>
      </c>
      <c r="M97">
        <f>avg!V46/avg!Q46</f>
        <v>7.8382432534462962</v>
      </c>
      <c r="N97">
        <f>avg!W46/avg!R46</f>
        <v>0.30495264149482543</v>
      </c>
      <c r="O97">
        <f>avg!T46/avg!K46</f>
        <v>58.265224151334543</v>
      </c>
      <c r="P97">
        <f>avg!X97/avg!S97</f>
        <v>4.2083093133200373</v>
      </c>
      <c r="Q97">
        <f>avg!K46/avg!H46</f>
        <v>1.0929992843531246E-4</v>
      </c>
      <c r="R97">
        <f>1-Q97-T97-U97</f>
        <v>0.77688215312305353</v>
      </c>
      <c r="S97">
        <f>avg!N46/avg!H46</f>
        <v>0.65026000580799248</v>
      </c>
      <c r="T97">
        <f>avg!Q46/avg!H46</f>
        <v>0.2227341854347068</v>
      </c>
      <c r="U97">
        <f>avg!R46/avg!H46</f>
        <v>2.7436151380429207E-4</v>
      </c>
      <c r="V97">
        <f>avg!T46/avg!I46</f>
        <v>1.947451615344382E-3</v>
      </c>
      <c r="W97">
        <f>1-V97-Y97-Z97</f>
        <v>0.4641477732994756</v>
      </c>
      <c r="X97">
        <f>avg!U46/avg!I46</f>
        <v>0.26703060113792304</v>
      </c>
      <c r="Y97">
        <f>avg!V46/avg!I46</f>
        <v>0.53387918964063374</v>
      </c>
      <c r="Z97">
        <f>avg!W46/avg!I46</f>
        <v>2.5585444546265345E-5</v>
      </c>
      <c r="AA97">
        <f t="shared" si="4"/>
        <v>0.19711717216155256</v>
      </c>
      <c r="AB97">
        <f t="shared" si="5"/>
        <v>1.1502353783698243</v>
      </c>
    </row>
    <row r="98" spans="1:28" x14ac:dyDescent="0.3">
      <c r="A98">
        <v>524288</v>
      </c>
      <c r="B98">
        <v>7</v>
      </c>
      <c r="C98">
        <v>512</v>
      </c>
      <c r="D98">
        <v>0.65</v>
      </c>
      <c r="E98">
        <v>10</v>
      </c>
      <c r="F98">
        <v>2047</v>
      </c>
      <c r="G98">
        <v>12422.666666666666</v>
      </c>
      <c r="H98">
        <f t="shared" si="3"/>
        <v>256.12506106497312</v>
      </c>
      <c r="I98">
        <v>22532638900</v>
      </c>
      <c r="J98">
        <v>100499107833.33333</v>
      </c>
      <c r="K98">
        <f>avg!I109/avg!H109</f>
        <v>4.4601570317329022</v>
      </c>
      <c r="L98">
        <f>avg!U109/avg!N109</f>
        <v>2.2786396314239941</v>
      </c>
      <c r="M98">
        <f>avg!V109/avg!Q109</f>
        <v>8.0713819383783356</v>
      </c>
      <c r="N98">
        <f>avg!W109/avg!R109</f>
        <v>0.29376590991739832</v>
      </c>
      <c r="O98">
        <f>avg!T109/avg!K109</f>
        <v>61.328319082735135</v>
      </c>
      <c r="P98">
        <f>avg!X98/avg!S98</f>
        <v>8.1659190459302824</v>
      </c>
      <c r="Q98">
        <f>avg!K109/avg!H109</f>
        <v>1.207640767426195E-4</v>
      </c>
      <c r="R98">
        <f>1-Q98-T98-U98</f>
        <v>0.70301256636212284</v>
      </c>
      <c r="S98">
        <f>avg!N109/avg!H109</f>
        <v>0.65447463560663255</v>
      </c>
      <c r="T98">
        <f>avg!Q109/avg!H109</f>
        <v>0.29658191226476066</v>
      </c>
      <c r="U98">
        <f>avg!R109/avg!H109</f>
        <v>2.8475729637389847E-4</v>
      </c>
      <c r="V98">
        <f>avg!T109/avg!I109</f>
        <v>1.6605374607910907E-3</v>
      </c>
      <c r="W98">
        <f>1-V98-Y98-Z98</f>
        <v>0.46160734193051634</v>
      </c>
      <c r="X98">
        <f>avg!U109/avg!I109</f>
        <v>0.33436308000923265</v>
      </c>
      <c r="Y98">
        <f>avg!V109/avg!I109</f>
        <v>0.53671336521831514</v>
      </c>
      <c r="Z98">
        <f>avg!W109/avg!I109</f>
        <v>1.8755390377453883E-5</v>
      </c>
      <c r="AA98">
        <f t="shared" si="4"/>
        <v>0.12724426192128369</v>
      </c>
      <c r="AB98">
        <f t="shared" si="5"/>
        <v>1.1627054348262602</v>
      </c>
    </row>
    <row r="99" spans="1:28" x14ac:dyDescent="0.3">
      <c r="A99">
        <v>65536</v>
      </c>
      <c r="B99">
        <v>5</v>
      </c>
      <c r="C99">
        <v>216</v>
      </c>
      <c r="D99">
        <v>0.35</v>
      </c>
      <c r="E99">
        <v>9</v>
      </c>
      <c r="F99">
        <v>1023</v>
      </c>
      <c r="G99">
        <v>48737.333333333336</v>
      </c>
      <c r="H99">
        <f t="shared" si="3"/>
        <v>64.062561094819159</v>
      </c>
      <c r="I99">
        <v>4479958533.333333</v>
      </c>
      <c r="J99">
        <v>21936738300</v>
      </c>
      <c r="K99">
        <f>avg!I23/avg!H23</f>
        <v>4.8966386935902895</v>
      </c>
      <c r="L99">
        <f>avg!U23/avg!N23</f>
        <v>3.7665587066260646</v>
      </c>
      <c r="M99">
        <f>avg!V23/avg!Q23</f>
        <v>7.2663413526008886</v>
      </c>
      <c r="N99">
        <f>avg!W23/avg!R23</f>
        <v>0.2113239791329376</v>
      </c>
      <c r="O99">
        <f>avg!T23/avg!K23</f>
        <v>2.4710966328129991</v>
      </c>
      <c r="P99">
        <f>avg!X99/avg!S99</f>
        <v>9.9311264365325016</v>
      </c>
      <c r="Q99">
        <f>avg!K23/avg!H23</f>
        <v>1.5143220522070905E-3</v>
      </c>
      <c r="R99">
        <f>1-Q99-T99-U99</f>
        <v>0.63514980748780137</v>
      </c>
      <c r="S99">
        <f>avg!N23/avg!H23</f>
        <v>0.53020181228463159</v>
      </c>
      <c r="T99">
        <f>avg!Q23/avg!H23</f>
        <v>0.36317042250004161</v>
      </c>
      <c r="U99">
        <f>avg!R23/avg!H23</f>
        <v>1.6544795994986742E-4</v>
      </c>
      <c r="V99">
        <f>avg!T23/avg!I23</f>
        <v>7.6420507175702904E-4</v>
      </c>
      <c r="W99">
        <f>1-V99-Y99-Z99</f>
        <v>0.46030380763883511</v>
      </c>
      <c r="X99">
        <f>avg!U23/avg!I23</f>
        <v>0.4078381880500439</v>
      </c>
      <c r="Y99">
        <f>avg!V23/avg!I23</f>
        <v>0.53892484706048271</v>
      </c>
      <c r="Z99">
        <f>avg!W23/avg!I23</f>
        <v>7.1402289251603709E-6</v>
      </c>
      <c r="AA99">
        <f t="shared" si="4"/>
        <v>5.2465619588791201E-2</v>
      </c>
      <c r="AB99">
        <f t="shared" si="5"/>
        <v>1.1708024963446217</v>
      </c>
    </row>
    <row r="100" spans="1:28" x14ac:dyDescent="0.3">
      <c r="A100">
        <v>524288</v>
      </c>
      <c r="B100">
        <v>3</v>
      </c>
      <c r="C100">
        <v>64</v>
      </c>
      <c r="D100">
        <v>0.5</v>
      </c>
      <c r="E100">
        <v>13</v>
      </c>
      <c r="F100">
        <v>16383</v>
      </c>
      <c r="G100">
        <v>301964</v>
      </c>
      <c r="H100">
        <f t="shared" si="3"/>
        <v>32.001953244216566</v>
      </c>
      <c r="I100">
        <v>6220332250</v>
      </c>
      <c r="J100">
        <v>33449059200</v>
      </c>
      <c r="K100">
        <f>avg!I104/avg!H104</f>
        <v>5.3773750107962481</v>
      </c>
      <c r="L100">
        <f>avg!U104/avg!N104</f>
        <v>4.1813966936108589</v>
      </c>
      <c r="M100">
        <f>avg!V104/avg!Q104</f>
        <v>7.1176502996320998</v>
      </c>
      <c r="N100">
        <f>avg!W104/avg!R104</f>
        <v>0.44867716203887809</v>
      </c>
      <c r="O100">
        <f>avg!T104/avg!K104</f>
        <v>3.4061512530397682</v>
      </c>
      <c r="P100">
        <f>avg!X100/avg!S100</f>
        <v>11.588640736089088</v>
      </c>
      <c r="Q100">
        <f>avg!K104/avg!H104</f>
        <v>1.104008551954761E-2</v>
      </c>
      <c r="R100">
        <f>1-Q100-T100-U100</f>
        <v>0.57953491953745717</v>
      </c>
      <c r="S100">
        <f>avg!N104/avg!H104</f>
        <v>0.46835855512380387</v>
      </c>
      <c r="T100">
        <f>avg!Q104/avg!H104</f>
        <v>0.40873774869501545</v>
      </c>
      <c r="U100">
        <f>avg!R104/avg!H104</f>
        <v>6.8724624797976029E-4</v>
      </c>
      <c r="V100">
        <f>avg!T104/avg!I104</f>
        <v>6.9930404798948728E-3</v>
      </c>
      <c r="W100">
        <f>1-V100-Y100-Z100</f>
        <v>0.4519324193727996</v>
      </c>
      <c r="X100">
        <f>avg!U104/avg!I104</f>
        <v>0.36419124756728583</v>
      </c>
      <c r="Y100">
        <f>avg!V104/avg!I104</f>
        <v>0.54101719772734291</v>
      </c>
      <c r="Z100">
        <f>avg!W104/avg!I104</f>
        <v>5.7342419962591952E-5</v>
      </c>
      <c r="AA100">
        <f t="shared" si="4"/>
        <v>8.7741171805513773E-2</v>
      </c>
      <c r="AB100">
        <f t="shared" si="5"/>
        <v>1.1971196898823431</v>
      </c>
    </row>
    <row r="101" spans="1:28" x14ac:dyDescent="0.3">
      <c r="A101">
        <v>262144</v>
      </c>
      <c r="B101">
        <v>6</v>
      </c>
      <c r="C101">
        <v>343</v>
      </c>
      <c r="D101">
        <v>0.35</v>
      </c>
      <c r="E101">
        <v>10</v>
      </c>
      <c r="F101">
        <v>2047</v>
      </c>
      <c r="G101">
        <v>91962.666666666672</v>
      </c>
      <c r="H101">
        <f t="shared" si="3"/>
        <v>128.06253053248656</v>
      </c>
      <c r="I101">
        <v>32085534633.333332</v>
      </c>
      <c r="J101">
        <v>173415773600</v>
      </c>
      <c r="K101">
        <f>avg!I85/avg!H85</f>
        <v>5.4047961357589518</v>
      </c>
      <c r="L101">
        <f>avg!U85/avg!N85</f>
        <v>3.8381267224777909</v>
      </c>
      <c r="M101">
        <f>avg!V85/avg!Q85</f>
        <v>7.7108508188073399</v>
      </c>
      <c r="N101">
        <f>avg!W85/avg!R85</f>
        <v>0.40243526736595031</v>
      </c>
      <c r="O101">
        <f>avg!T85/avg!K85</f>
        <v>4.6278535575532436</v>
      </c>
      <c r="P101">
        <f>avg!X101/avg!S101</f>
        <v>9.3193194773217289</v>
      </c>
      <c r="Q101">
        <f>avg!K85/avg!H85</f>
        <v>5.1288117385990593E-4</v>
      </c>
      <c r="R101">
        <f>1-Q101-T101-U101</f>
        <v>0.61573078000521475</v>
      </c>
      <c r="S101">
        <f>avg!N85/avg!H85</f>
        <v>0.59088710068234596</v>
      </c>
      <c r="T101">
        <f>avg!Q85/avg!H85</f>
        <v>0.38368552290052282</v>
      </c>
      <c r="U101">
        <f>avg!R85/avg!H85</f>
        <v>7.0815920402527311E-5</v>
      </c>
      <c r="V101">
        <f>avg!T85/avg!I85</f>
        <v>4.3915420775003059E-4</v>
      </c>
      <c r="W101">
        <f>1-V101-Y101-Z101</f>
        <v>0.45216363543837018</v>
      </c>
      <c r="X101">
        <f>avg!U85/avg!I85</f>
        <v>0.41960871680091116</v>
      </c>
      <c r="Y101">
        <f>avg!V85/avg!I85</f>
        <v>0.54739193747713388</v>
      </c>
      <c r="Z101">
        <f>avg!W85/avg!I85</f>
        <v>5.2728767459709325E-6</v>
      </c>
      <c r="AA101">
        <f t="shared" si="4"/>
        <v>3.2554918637459018E-2</v>
      </c>
      <c r="AB101">
        <f t="shared" si="5"/>
        <v>1.2106058395130346</v>
      </c>
    </row>
    <row r="102" spans="1:28" x14ac:dyDescent="0.3">
      <c r="A102">
        <v>65536</v>
      </c>
      <c r="B102">
        <v>7</v>
      </c>
      <c r="C102">
        <v>512</v>
      </c>
      <c r="D102">
        <v>0.65</v>
      </c>
      <c r="E102">
        <v>7</v>
      </c>
      <c r="F102">
        <v>255</v>
      </c>
      <c r="G102">
        <v>1408</v>
      </c>
      <c r="H102">
        <f t="shared" si="3"/>
        <v>257.00392156862745</v>
      </c>
      <c r="I102">
        <v>3117396166.6666665</v>
      </c>
      <c r="J102">
        <v>11112009233.333334</v>
      </c>
      <c r="K102">
        <f>avg!I21/avg!H21</f>
        <v>3.5645162306127602</v>
      </c>
      <c r="L102">
        <f>avg!U21/avg!N21</f>
        <v>1.6977393421331453</v>
      </c>
      <c r="M102">
        <f>avg!V21/avg!Q21</f>
        <v>7.9939458773857535</v>
      </c>
      <c r="N102">
        <f>avg!W21/avg!R21</f>
        <v>0.2803349282296651</v>
      </c>
      <c r="O102">
        <f>avg!T21/avg!K21</f>
        <v>36.062956945572701</v>
      </c>
      <c r="P102">
        <f>avg!X102/avg!S102</f>
        <v>9.8567564653449615</v>
      </c>
      <c r="Q102">
        <f>avg!K21/avg!H21</f>
        <v>1.0530155588715948E-4</v>
      </c>
      <c r="R102">
        <f>1-Q102-T102-U102</f>
        <v>0.75377625247822999</v>
      </c>
      <c r="S102">
        <f>avg!N21/avg!H21</f>
        <v>0.59618254058929632</v>
      </c>
      <c r="T102">
        <f>avg!Q21/avg!H21</f>
        <v>0.24589496886210113</v>
      </c>
      <c r="U102">
        <f>avg!R21/avg!H21</f>
        <v>2.2347710378164425E-4</v>
      </c>
      <c r="V102">
        <f>avg!T21/avg!I21</f>
        <v>1.065357886056712E-3</v>
      </c>
      <c r="W102">
        <f>1-V102-Y102-Z102</f>
        <v>0.44746184921126642</v>
      </c>
      <c r="X102">
        <f>avg!U21/avg!I21</f>
        <v>0.28395509762550381</v>
      </c>
      <c r="Y102">
        <f>avg!V21/avg!I21</f>
        <v>0.55145521732332858</v>
      </c>
      <c r="Z102">
        <f>avg!W21/avg!I21</f>
        <v>1.7575579348345692E-5</v>
      </c>
      <c r="AA102">
        <f t="shared" si="4"/>
        <v>0.16350675158576261</v>
      </c>
      <c r="AB102">
        <f t="shared" si="5"/>
        <v>1.2324072282259808</v>
      </c>
    </row>
    <row r="103" spans="1:28" x14ac:dyDescent="0.3">
      <c r="A103">
        <v>524288</v>
      </c>
      <c r="B103">
        <v>5</v>
      </c>
      <c r="C103">
        <v>216</v>
      </c>
      <c r="D103">
        <v>0.2</v>
      </c>
      <c r="E103">
        <v>12</v>
      </c>
      <c r="F103">
        <v>8191</v>
      </c>
      <c r="G103">
        <v>2243538.6666666665</v>
      </c>
      <c r="H103">
        <f t="shared" si="3"/>
        <v>64.007813453790746</v>
      </c>
      <c r="I103">
        <v>172644244366.66666</v>
      </c>
      <c r="J103">
        <v>1002511543666.6666</v>
      </c>
      <c r="K103">
        <f>avg!I119/avg!H119</f>
        <v>5.8068054764542554</v>
      </c>
      <c r="L103">
        <f>avg!U119/avg!N119</f>
        <v>4.611759155615335</v>
      </c>
      <c r="M103">
        <f>avg!V119/avg!Q119</f>
        <v>7.3119840170564281</v>
      </c>
      <c r="N103">
        <f>avg!W119/avg!R119</f>
        <v>0.28658141551464655</v>
      </c>
      <c r="O103">
        <f>avg!T119/avg!K119</f>
        <v>0.58294960530194861</v>
      </c>
      <c r="P103">
        <f>avg!X103/avg!S103</f>
        <v>9.299897689986393</v>
      </c>
      <c r="Q103">
        <f>avg!K119/avg!H119</f>
        <v>3.4684256954525361E-3</v>
      </c>
      <c r="R103">
        <f>1-Q103-T103-U103</f>
        <v>0.55740795136085586</v>
      </c>
      <c r="S103">
        <f>avg!N119/avg!H119</f>
        <v>0.55138619872643069</v>
      </c>
      <c r="T103">
        <f>avg!Q119/avg!H119</f>
        <v>0.43908488007474805</v>
      </c>
      <c r="U103">
        <f>avg!R119/avg!H119</f>
        <v>3.8742868943418782E-5</v>
      </c>
      <c r="V103">
        <f>avg!T119/avg!I119</f>
        <v>3.4819788580515933E-4</v>
      </c>
      <c r="W103">
        <f>1-V103-Y103-Z103</f>
        <v>0.44675008339081035</v>
      </c>
      <c r="X103">
        <f>avg!U119/avg!I119</f>
        <v>0.43791037267693561</v>
      </c>
      <c r="Y103">
        <f>avg!V119/avg!I119</f>
        <v>0.55289980665895111</v>
      </c>
      <c r="Z103">
        <f>avg!W119/avg!I119</f>
        <v>1.912064433348831E-6</v>
      </c>
      <c r="AA103">
        <f t="shared" si="4"/>
        <v>8.8397107138747377E-3</v>
      </c>
      <c r="AB103">
        <f t="shared" si="5"/>
        <v>1.2376042606695667</v>
      </c>
    </row>
    <row r="104" spans="1:28" x14ac:dyDescent="0.3">
      <c r="A104">
        <v>131072</v>
      </c>
      <c r="B104">
        <v>6</v>
      </c>
      <c r="C104">
        <v>343</v>
      </c>
      <c r="D104">
        <v>0.5</v>
      </c>
      <c r="E104">
        <v>9</v>
      </c>
      <c r="F104">
        <v>1023</v>
      </c>
      <c r="G104">
        <v>19149</v>
      </c>
      <c r="H104">
        <f t="shared" si="3"/>
        <v>128.12512218963832</v>
      </c>
      <c r="I104">
        <v>7644962175</v>
      </c>
      <c r="J104">
        <v>35237188675</v>
      </c>
      <c r="K104">
        <f>avg!I52/avg!H52</f>
        <v>4.6092037957009255</v>
      </c>
      <c r="L104">
        <f>avg!U52/avg!N52</f>
        <v>2.7726701248311265</v>
      </c>
      <c r="M104">
        <f>avg!V52/avg!Q52</f>
        <v>7.728042895670586</v>
      </c>
      <c r="N104">
        <f>avg!W52/avg!R52</f>
        <v>0.33342334175555</v>
      </c>
      <c r="O104">
        <f>avg!T52/avg!K52</f>
        <v>10.343000510939442</v>
      </c>
      <c r="P104">
        <f>avg!X104/avg!S104</f>
        <v>4.2438623278726961</v>
      </c>
      <c r="Q104">
        <f>avg!K52/avg!H52</f>
        <v>4.2881507127927679E-4</v>
      </c>
      <c r="R104">
        <f>1-Q104-T104-U104</f>
        <v>0.66443239465733539</v>
      </c>
      <c r="S104">
        <f>avg!N52/avg!H52</f>
        <v>0.60034653147253803</v>
      </c>
      <c r="T104">
        <f>avg!Q52/avg!H52</f>
        <v>0.3349692439779795</v>
      </c>
      <c r="U104">
        <f>avg!R52/avg!H52</f>
        <v>1.6954629340595789E-4</v>
      </c>
      <c r="V104">
        <f>avg!T52/avg!I52</f>
        <v>9.622561071126654E-4</v>
      </c>
      <c r="W104">
        <f>1-V104-Y104-Z104</f>
        <v>0.43739774452934566</v>
      </c>
      <c r="X104">
        <f>avg!U52/avg!I52</f>
        <v>0.36113892249946922</v>
      </c>
      <c r="Y104">
        <f>avg!V52/avg!I52</f>
        <v>0.56162773462233362</v>
      </c>
      <c r="Z104">
        <f>avg!W52/avg!I52</f>
        <v>1.2264741208103771E-5</v>
      </c>
      <c r="AA104">
        <f t="shared" si="4"/>
        <v>7.6258822029876439E-2</v>
      </c>
      <c r="AB104">
        <f t="shared" si="5"/>
        <v>1.2840206463036601</v>
      </c>
    </row>
    <row r="105" spans="1:28" x14ac:dyDescent="0.3">
      <c r="A105">
        <v>65536</v>
      </c>
      <c r="B105">
        <v>3</v>
      </c>
      <c r="C105">
        <v>64</v>
      </c>
      <c r="D105">
        <v>0.5</v>
      </c>
      <c r="E105">
        <v>10</v>
      </c>
      <c r="F105">
        <v>2047</v>
      </c>
      <c r="G105">
        <v>33680</v>
      </c>
      <c r="H105">
        <f t="shared" si="3"/>
        <v>32.015632633121641</v>
      </c>
      <c r="I105">
        <v>773197800</v>
      </c>
      <c r="J105">
        <v>3516111450</v>
      </c>
      <c r="K105">
        <f>avg!I15/avg!H15</f>
        <v>4.5474928278378446</v>
      </c>
      <c r="L105">
        <f>avg!U15/avg!N15</f>
        <v>2.6870571385991551</v>
      </c>
      <c r="M105">
        <f>avg!V15/avg!Q15</f>
        <v>6.6428829117493731</v>
      </c>
      <c r="N105">
        <f>avg!W15/avg!R15</f>
        <v>0.20749331599103982</v>
      </c>
      <c r="O105">
        <f>avg!T15/avg!K15</f>
        <v>2.3321730079796463</v>
      </c>
      <c r="P105">
        <f>avg!X105/avg!S105</f>
        <v>8.8582064580215913</v>
      </c>
      <c r="Q105">
        <f>avg!K15/avg!H15</f>
        <v>8.387569131728001E-3</v>
      </c>
      <c r="R105">
        <f>1-Q105-T105-U105</f>
        <v>0.60605015948053653</v>
      </c>
      <c r="S105">
        <f>avg!N15/avg!H15</f>
        <v>0.56647901093355413</v>
      </c>
      <c r="T105">
        <f>avg!Q15/avg!H15</f>
        <v>0.38466735161429583</v>
      </c>
      <c r="U105">
        <f>avg!R15/avg!H15</f>
        <v>8.9491977343960369E-4</v>
      </c>
      <c r="V105">
        <f>avg!T15/avg!I15</f>
        <v>4.3015488032951852E-3</v>
      </c>
      <c r="W105">
        <f>1-V105-Y105-Z105</f>
        <v>0.43374355354976024</v>
      </c>
      <c r="X105">
        <f>avg!U15/avg!I15</f>
        <v>0.33472542515681636</v>
      </c>
      <c r="Y105">
        <f>avg!V15/avg!I15</f>
        <v>0.56191406418587786</v>
      </c>
      <c r="Z105">
        <f>avg!W15/avg!I15</f>
        <v>4.0833461066770226E-5</v>
      </c>
      <c r="AA105">
        <f t="shared" si="4"/>
        <v>9.9018128392943883E-2</v>
      </c>
      <c r="AB105">
        <f t="shared" si="5"/>
        <v>1.2954983643841373</v>
      </c>
    </row>
    <row r="106" spans="1:28" x14ac:dyDescent="0.3">
      <c r="A106">
        <v>524288</v>
      </c>
      <c r="B106">
        <v>6</v>
      </c>
      <c r="C106">
        <v>343</v>
      </c>
      <c r="D106">
        <v>0.5</v>
      </c>
      <c r="E106">
        <v>11</v>
      </c>
      <c r="F106">
        <v>4095</v>
      </c>
      <c r="G106">
        <v>88293</v>
      </c>
      <c r="H106">
        <f t="shared" si="3"/>
        <v>128.03125763125763</v>
      </c>
      <c r="I106">
        <v>32672031325</v>
      </c>
      <c r="J106">
        <v>162625419975</v>
      </c>
      <c r="K106">
        <f>avg!I112/avg!H112</f>
        <v>4.9775117548495436</v>
      </c>
      <c r="L106">
        <f>avg!U112/avg!N112</f>
        <v>3.0486049881518893</v>
      </c>
      <c r="M106">
        <f>avg!V112/avg!Q112</f>
        <v>7.749616276198962</v>
      </c>
      <c r="N106">
        <f>avg!W112/avg!R112</f>
        <v>0.44107237657051851</v>
      </c>
      <c r="O106">
        <f>avg!T112/avg!K112</f>
        <v>9.8048156512718556</v>
      </c>
      <c r="P106">
        <f>avg!X106/avg!S106</f>
        <v>11.505431448311123</v>
      </c>
      <c r="Q106">
        <f>avg!K112/avg!H112</f>
        <v>5.6649064197724784E-4</v>
      </c>
      <c r="R106">
        <f>1-Q106-T106-U106</f>
        <v>0.63831136691651669</v>
      </c>
      <c r="S106">
        <f>avg!N112/avg!H112</f>
        <v>0.60467581670941606</v>
      </c>
      <c r="T106">
        <f>avg!Q112/avg!H112</f>
        <v>0.36099242139790644</v>
      </c>
      <c r="U106">
        <f>avg!R112/avg!H112</f>
        <v>1.2972104359966667E-4</v>
      </c>
      <c r="V106">
        <f>avg!T112/avg!I112</f>
        <v>1.1158861267069882E-3</v>
      </c>
      <c r="W106">
        <f>1-V106-Y106-Z106</f>
        <v>0.43683421854296117</v>
      </c>
      <c r="X106">
        <f>avg!U112/avg!I112</f>
        <v>0.37034924312114753</v>
      </c>
      <c r="Y106">
        <f>avg!V112/avg!I112</f>
        <v>0.56203840035617414</v>
      </c>
      <c r="Z106">
        <f>avg!W112/avg!I112</f>
        <v>1.1494974157713931E-5</v>
      </c>
      <c r="AA106">
        <f t="shared" si="4"/>
        <v>6.6484975421813641E-2</v>
      </c>
      <c r="AB106">
        <f t="shared" si="5"/>
        <v>1.2866171570323068</v>
      </c>
    </row>
    <row r="107" spans="1:28" x14ac:dyDescent="0.3">
      <c r="A107">
        <v>524288</v>
      </c>
      <c r="B107">
        <v>3</v>
      </c>
      <c r="C107">
        <v>64</v>
      </c>
      <c r="D107">
        <v>0.35</v>
      </c>
      <c r="E107">
        <v>13</v>
      </c>
      <c r="F107">
        <v>16383</v>
      </c>
      <c r="G107">
        <v>828461.33333333337</v>
      </c>
      <c r="H107">
        <f t="shared" si="3"/>
        <v>32.001953244216566</v>
      </c>
      <c r="I107">
        <v>14586128233.333334</v>
      </c>
      <c r="J107">
        <v>85210016133.333328</v>
      </c>
      <c r="K107">
        <f>avg!I110/avg!H110</f>
        <v>5.8418529420716938</v>
      </c>
      <c r="L107">
        <f>avg!U110/avg!N110</f>
        <v>4.8286714248884506</v>
      </c>
      <c r="M107">
        <f>avg!V110/avg!Q110</f>
        <v>7.1299708516039866</v>
      </c>
      <c r="N107">
        <f>avg!W110/avg!R110</f>
        <v>0.40269703019532993</v>
      </c>
      <c r="O107">
        <f>avg!T110/avg!K110</f>
        <v>1.0697724697444846</v>
      </c>
      <c r="P107">
        <f>avg!X107/avg!S107</f>
        <v>9.8752777725489</v>
      </c>
      <c r="Q107">
        <f>avg!K110/avg!H110</f>
        <v>1.2494028373035442E-2</v>
      </c>
      <c r="R107">
        <f>1-Q107-T107-U107</f>
        <v>0.51023986495552709</v>
      </c>
      <c r="S107">
        <f>avg!N110/avg!H110</f>
        <v>0.4604087225367805</v>
      </c>
      <c r="T107">
        <f>avg!Q110/avg!H110</f>
        <v>0.47695361113272533</v>
      </c>
      <c r="U107">
        <f>avg!R110/avg!H110</f>
        <v>3.1249553871214996E-4</v>
      </c>
      <c r="V107">
        <f>avg!T110/avg!I110</f>
        <v>2.2879329079687331E-3</v>
      </c>
      <c r="W107">
        <f>1-V107-Y107-Z107</f>
        <v>0.41556951408846976</v>
      </c>
      <c r="X107">
        <f>avg!U110/avg!I110</f>
        <v>0.38055775527522062</v>
      </c>
      <c r="Y107">
        <f>avg!V110/avg!I110</f>
        <v>0.5821210117174942</v>
      </c>
      <c r="Z107">
        <f>avg!W110/avg!I110</f>
        <v>2.1541286067369848E-5</v>
      </c>
      <c r="AA107">
        <f t="shared" si="4"/>
        <v>3.5011758813249139E-2</v>
      </c>
      <c r="AB107">
        <f t="shared" si="5"/>
        <v>1.4007789117889133</v>
      </c>
    </row>
    <row r="108" spans="1:28" x14ac:dyDescent="0.3">
      <c r="A108">
        <v>524288</v>
      </c>
      <c r="B108">
        <v>6</v>
      </c>
      <c r="C108">
        <v>343</v>
      </c>
      <c r="D108">
        <v>0.35</v>
      </c>
      <c r="E108">
        <v>11</v>
      </c>
      <c r="F108">
        <v>4095</v>
      </c>
      <c r="G108">
        <v>215846.66666666666</v>
      </c>
      <c r="H108">
        <f t="shared" si="3"/>
        <v>128.03125763125763</v>
      </c>
      <c r="I108">
        <v>68466253033.333336</v>
      </c>
      <c r="J108">
        <v>383327681900</v>
      </c>
      <c r="K108">
        <f>avg!I115/avg!H115</f>
        <v>5.5987828297449536</v>
      </c>
      <c r="L108">
        <f>avg!U115/avg!N115</f>
        <v>3.873109493652628</v>
      </c>
      <c r="M108">
        <f>avg!V115/avg!Q115</f>
        <v>7.7297295110852353</v>
      </c>
      <c r="N108">
        <f>avg!W115/avg!R115</f>
        <v>0.55933474537857375</v>
      </c>
      <c r="O108">
        <f>avg!T115/avg!K115</f>
        <v>5.0698809210502604</v>
      </c>
      <c r="P108">
        <f>avg!X108/avg!S108</f>
        <v>8.9456633155279857</v>
      </c>
      <c r="Q108">
        <f>avg!K115/avg!H115</f>
        <v>5.4017658376398633E-4</v>
      </c>
      <c r="R108">
        <f>1-Q108-T108-U108</f>
        <v>0.57698786457761031</v>
      </c>
      <c r="S108">
        <f>avg!N115/avg!H115</f>
        <v>0.56103290937554651</v>
      </c>
      <c r="T108">
        <f>avg!Q115/avg!H115</f>
        <v>0.42241288496664536</v>
      </c>
      <c r="U108">
        <f>avg!R115/avg!H115</f>
        <v>5.9073871980368745E-5</v>
      </c>
      <c r="V108">
        <f>avg!T115/avg!I115</f>
        <v>4.8914755926475137E-4</v>
      </c>
      <c r="W108">
        <f>1-V108-Y108-Z108</f>
        <v>0.41631795424303619</v>
      </c>
      <c r="X108">
        <f>avg!U115/avg!I115</f>
        <v>0.38810969341580442</v>
      </c>
      <c r="Y108">
        <f>avg!V115/avg!I115</f>
        <v>0.58318699654547435</v>
      </c>
      <c r="Z108">
        <f>avg!W115/avg!I115</f>
        <v>5.9016522246802717E-6</v>
      </c>
      <c r="AA108">
        <f t="shared" si="4"/>
        <v>2.8208260827231768E-2</v>
      </c>
      <c r="AB108">
        <f t="shared" si="5"/>
        <v>1.4008211526832786</v>
      </c>
    </row>
    <row r="109" spans="1:28" x14ac:dyDescent="0.3">
      <c r="A109">
        <v>262144</v>
      </c>
      <c r="B109">
        <v>7</v>
      </c>
      <c r="C109">
        <v>512</v>
      </c>
      <c r="D109">
        <v>0.95</v>
      </c>
      <c r="E109">
        <v>9</v>
      </c>
      <c r="F109">
        <v>1023</v>
      </c>
      <c r="G109">
        <v>3072</v>
      </c>
      <c r="H109">
        <f t="shared" si="3"/>
        <v>256.25024437927664</v>
      </c>
      <c r="I109">
        <v>7257784200</v>
      </c>
      <c r="J109">
        <v>22127609266.666668</v>
      </c>
      <c r="K109">
        <f>avg!I75/avg!H75</f>
        <v>3.0488105814260318</v>
      </c>
      <c r="L109">
        <f>avg!U75/avg!N75</f>
        <v>0.51754364588721902</v>
      </c>
      <c r="M109">
        <f>avg!V75/avg!Q75</f>
        <v>7.9107231067130188</v>
      </c>
      <c r="N109">
        <f>avg!W75/avg!R75</f>
        <v>0.42553639673798566</v>
      </c>
      <c r="O109">
        <f>avg!T75/avg!K75</f>
        <v>164.4414350761501</v>
      </c>
      <c r="P109">
        <f>avg!X109/avg!S109</f>
        <v>11.692492463570492</v>
      </c>
      <c r="Q109">
        <f>avg!K75/avg!H75</f>
        <v>5.8502703896872548E-5</v>
      </c>
      <c r="R109">
        <f>1-Q109-T109-U109</f>
        <v>0.77126032947264178</v>
      </c>
      <c r="S109">
        <f>avg!N75/avg!H75</f>
        <v>0.66114865562779712</v>
      </c>
      <c r="T109">
        <f>avg!Q75/avg!H75</f>
        <v>0.22837592314561608</v>
      </c>
      <c r="U109">
        <f>avg!R75/avg!H75</f>
        <v>3.0524467784534017E-4</v>
      </c>
      <c r="V109">
        <f>avg!T75/avg!I75</f>
        <v>3.1554169495623683E-3</v>
      </c>
      <c r="W109">
        <f>1-V109-Y109-Z109</f>
        <v>0.40423689663910345</v>
      </c>
      <c r="X109">
        <f>avg!U75/avg!I75</f>
        <v>0.1122317299053054</v>
      </c>
      <c r="Y109">
        <f>avg!V75/avg!I75</f>
        <v>0.59256508201960023</v>
      </c>
      <c r="Z109">
        <f>avg!W75/avg!I75</f>
        <v>4.2604391733971901E-5</v>
      </c>
      <c r="AA109">
        <f t="shared" si="4"/>
        <v>0.29200516673379806</v>
      </c>
      <c r="AB109">
        <f t="shared" si="5"/>
        <v>1.465885689669326</v>
      </c>
    </row>
    <row r="110" spans="1:28" x14ac:dyDescent="0.3">
      <c r="A110">
        <v>131072</v>
      </c>
      <c r="B110">
        <v>3</v>
      </c>
      <c r="C110">
        <v>64</v>
      </c>
      <c r="D110">
        <v>0.5</v>
      </c>
      <c r="E110">
        <v>11</v>
      </c>
      <c r="F110">
        <v>4095</v>
      </c>
      <c r="G110">
        <v>82375</v>
      </c>
      <c r="H110">
        <f t="shared" si="3"/>
        <v>32.007814407814408</v>
      </c>
      <c r="I110">
        <v>1771105025</v>
      </c>
      <c r="J110">
        <v>8581109900</v>
      </c>
      <c r="K110">
        <f>avg!I44/avg!H44</f>
        <v>4.8450598800599076</v>
      </c>
      <c r="L110">
        <f>avg!U44/avg!N44</f>
        <v>3.445579386051373</v>
      </c>
      <c r="M110">
        <f>avg!V44/avg!Q44</f>
        <v>7.3155844388740503</v>
      </c>
      <c r="N110">
        <f>avg!W44/avg!R44</f>
        <v>0.30657573910393171</v>
      </c>
      <c r="O110">
        <f>avg!T44/avg!K44</f>
        <v>2.2849760089964519</v>
      </c>
      <c r="P110">
        <f>avg!X110/avg!S110</f>
        <v>4.104532553388486</v>
      </c>
      <c r="Q110">
        <f>avg!K44/avg!H44</f>
        <v>1.0116946622067203E-2</v>
      </c>
      <c r="R110">
        <f>1-Q110-T110-U110</f>
        <v>0.59558082954453806</v>
      </c>
      <c r="S110">
        <f>avg!N44/avg!H44</f>
        <v>0.39282303430876436</v>
      </c>
      <c r="T110">
        <f>avg!Q44/avg!H44</f>
        <v>0.39356121752294165</v>
      </c>
      <c r="U110">
        <f>avg!R44/avg!H44</f>
        <v>7.410063104529897E-4</v>
      </c>
      <c r="V110">
        <f>avg!T44/avg!I44</f>
        <v>4.7712475981690899E-3</v>
      </c>
      <c r="W110">
        <f>1-V110-Y110-Z110</f>
        <v>0.40094146504288453</v>
      </c>
      <c r="X110">
        <f>avg!U44/avg!I44</f>
        <v>0.27935732124815227</v>
      </c>
      <c r="Y110">
        <f>avg!V44/avg!I44</f>
        <v>0.5942403994849198</v>
      </c>
      <c r="Z110">
        <f>avg!W44/avg!I44</f>
        <v>4.6887874026645432E-5</v>
      </c>
      <c r="AA110">
        <f t="shared" si="4"/>
        <v>0.12158414379473226</v>
      </c>
      <c r="AB110">
        <f t="shared" si="5"/>
        <v>1.4821126056926044</v>
      </c>
    </row>
    <row r="111" spans="1:28" x14ac:dyDescent="0.3">
      <c r="A111">
        <v>262144</v>
      </c>
      <c r="B111">
        <v>3</v>
      </c>
      <c r="C111">
        <v>64</v>
      </c>
      <c r="D111">
        <v>0.5</v>
      </c>
      <c r="E111">
        <v>12</v>
      </c>
      <c r="F111">
        <v>8191</v>
      </c>
      <c r="G111">
        <v>173344</v>
      </c>
      <c r="H111">
        <f t="shared" si="3"/>
        <v>32.003906726895373</v>
      </c>
      <c r="I111">
        <v>3325234150</v>
      </c>
      <c r="J111">
        <v>17393868800</v>
      </c>
      <c r="K111">
        <f>avg!I73/avg!H73</f>
        <v>5.2308703734442279</v>
      </c>
      <c r="L111">
        <f>avg!U73/avg!N73</f>
        <v>3.8080922481178758</v>
      </c>
      <c r="M111">
        <f>avg!V73/avg!Q73</f>
        <v>7.1140664903105453</v>
      </c>
      <c r="N111">
        <f>avg!W73/avg!R73</f>
        <v>0.37395499822127359</v>
      </c>
      <c r="O111">
        <f>avg!T73/avg!K73</f>
        <v>2.1882347642305495</v>
      </c>
      <c r="P111">
        <f>avg!X111/avg!S111</f>
        <v>8.4307142721829305</v>
      </c>
      <c r="Q111">
        <f>avg!K73/avg!H73</f>
        <v>1.1016900869973322E-2</v>
      </c>
      <c r="R111">
        <f>1-Q111-T111-U111</f>
        <v>0.54875673191314966</v>
      </c>
      <c r="S111">
        <f>avg!N73/avg!H73</f>
        <v>0.41691677562014695</v>
      </c>
      <c r="T111">
        <f>avg!Q73/avg!H73</f>
        <v>0.43955008401438439</v>
      </c>
      <c r="U111">
        <f>avg!R73/avg!H73</f>
        <v>6.7628320249267255E-4</v>
      </c>
      <c r="V111">
        <f>avg!T73/avg!I73</f>
        <v>4.6087101680334624E-3</v>
      </c>
      <c r="W111">
        <f>1-V111-Y111-Z111</f>
        <v>0.39754787186850576</v>
      </c>
      <c r="X111">
        <f>avg!U73/avg!I73</f>
        <v>0.30351689642502078</v>
      </c>
      <c r="Y111">
        <f>avg!V73/avg!I73</f>
        <v>0.59779507046758917</v>
      </c>
      <c r="Z111">
        <f>avg!W73/avg!I73</f>
        <v>4.8347495871648752E-5</v>
      </c>
      <c r="AA111">
        <f t="shared" si="4"/>
        <v>9.4030975443484988E-2</v>
      </c>
      <c r="AB111">
        <f t="shared" si="5"/>
        <v>1.5037058748620791</v>
      </c>
    </row>
    <row r="112" spans="1:28" x14ac:dyDescent="0.3">
      <c r="A112">
        <v>1048576</v>
      </c>
      <c r="B112">
        <v>3</v>
      </c>
      <c r="C112">
        <v>64</v>
      </c>
      <c r="D112">
        <v>0.5</v>
      </c>
      <c r="E112">
        <v>14</v>
      </c>
      <c r="F112">
        <v>32767</v>
      </c>
      <c r="G112">
        <v>721276</v>
      </c>
      <c r="H112">
        <f t="shared" si="3"/>
        <v>32.000976592303232</v>
      </c>
      <c r="I112">
        <v>12520729075</v>
      </c>
      <c r="J112">
        <v>72055594075</v>
      </c>
      <c r="K112">
        <f>avg!I134/avg!H134</f>
        <v>5.754904019037725</v>
      </c>
      <c r="L112">
        <f>avg!U134/avg!N134</f>
        <v>4.4878555894263101</v>
      </c>
      <c r="M112">
        <f>avg!V134/avg!Q134</f>
        <v>7.1416085103506957</v>
      </c>
      <c r="N112">
        <f>avg!W134/avg!R134</f>
        <v>0.47212528751676547</v>
      </c>
      <c r="O112">
        <f>avg!T134/avg!K134</f>
        <v>1.3583677197989485</v>
      </c>
      <c r="P112">
        <f>avg!X112/avg!S112</f>
        <v>9.838689857765436</v>
      </c>
      <c r="Q112">
        <f>avg!K134/avg!H134</f>
        <v>3.4062557175808868E-2</v>
      </c>
      <c r="R112">
        <f>1-Q112-T112-U112</f>
        <v>0.48131008297533984</v>
      </c>
      <c r="S112">
        <f>avg!N134/avg!H134</f>
        <v>0.40246240213451789</v>
      </c>
      <c r="T112">
        <f>avg!Q134/avg!H134</f>
        <v>0.48396935902871935</v>
      </c>
      <c r="U112">
        <f>avg!R134/avg!H134</f>
        <v>6.5800082013195383E-4</v>
      </c>
      <c r="V112">
        <f>avg!T134/avg!I134</f>
        <v>8.0400086549421729E-3</v>
      </c>
      <c r="W112">
        <f>1-V112-Y112-Z112</f>
        <v>0.39131915692279301</v>
      </c>
      <c r="X112">
        <f>avg!U134/avg!I134</f>
        <v>0.31385286965313247</v>
      </c>
      <c r="Y112">
        <f>avg!V134/avg!I134</f>
        <v>0.60058685283971136</v>
      </c>
      <c r="Z112">
        <f>avg!W134/avg!I134</f>
        <v>5.3981582553484764E-5</v>
      </c>
      <c r="AA112">
        <f t="shared" si="4"/>
        <v>7.7466287269660539E-2</v>
      </c>
      <c r="AB112">
        <f t="shared" si="5"/>
        <v>1.5347749840885165</v>
      </c>
    </row>
    <row r="113" spans="1:28" x14ac:dyDescent="0.3">
      <c r="A113">
        <v>262144</v>
      </c>
      <c r="B113">
        <v>5</v>
      </c>
      <c r="C113">
        <v>216</v>
      </c>
      <c r="D113">
        <v>0.2</v>
      </c>
      <c r="E113">
        <v>11</v>
      </c>
      <c r="F113">
        <v>4095</v>
      </c>
      <c r="G113">
        <v>939801.33333333337</v>
      </c>
      <c r="H113">
        <f t="shared" si="3"/>
        <v>64.015628815628816</v>
      </c>
      <c r="I113">
        <v>64974061366.666664</v>
      </c>
      <c r="J113">
        <v>383511019233.33331</v>
      </c>
      <c r="K113">
        <f>avg!I89/avg!H89</f>
        <v>5.902524964063339</v>
      </c>
      <c r="L113">
        <f>avg!U89/avg!N89</f>
        <v>4.5175324949317091</v>
      </c>
      <c r="M113">
        <f>avg!V89/avg!Q89</f>
        <v>7.2971265023876306</v>
      </c>
      <c r="N113">
        <f>avg!W89/avg!R89</f>
        <v>0.25670743359449649</v>
      </c>
      <c r="O113">
        <f>avg!T89/avg!K89</f>
        <v>0.5570197337567131</v>
      </c>
      <c r="P113">
        <f>avg!X113/avg!S113</f>
        <v>9.2803284672199933</v>
      </c>
      <c r="Q113">
        <f>avg!K89/avg!H89</f>
        <v>2.1998691528102984E-3</v>
      </c>
      <c r="R113">
        <f>1-Q113-T113-U113</f>
        <v>0.51144545532516428</v>
      </c>
      <c r="S113">
        <f>avg!N89/avg!H89</f>
        <v>0.50536743139233065</v>
      </c>
      <c r="T113">
        <f>avg!Q89/avg!H89</f>
        <v>0.48630098230055696</v>
      </c>
      <c r="U113">
        <f>avg!R89/avg!H89</f>
        <v>5.3693221468474198E-5</v>
      </c>
      <c r="V113">
        <f>avg!T89/avg!I89</f>
        <v>2.0760107534631165E-4</v>
      </c>
      <c r="W113">
        <f>1-V113-Y113-Z113</f>
        <v>0.3985897625721041</v>
      </c>
      <c r="X113">
        <f>avg!U89/avg!I89</f>
        <v>0.38678596144782468</v>
      </c>
      <c r="Y113">
        <f>avg!V89/avg!I89</f>
        <v>0.60120030117410161</v>
      </c>
      <c r="Z113">
        <f>avg!W89/avg!I89</f>
        <v>2.335178447954299E-6</v>
      </c>
      <c r="AA113">
        <f t="shared" si="4"/>
        <v>1.1803801124279423E-2</v>
      </c>
      <c r="AB113">
        <f t="shared" si="5"/>
        <v>1.5083184708371573</v>
      </c>
    </row>
    <row r="114" spans="1:28" x14ac:dyDescent="0.3">
      <c r="A114">
        <v>262144</v>
      </c>
      <c r="B114">
        <v>7</v>
      </c>
      <c r="C114">
        <v>512</v>
      </c>
      <c r="D114">
        <v>0.8</v>
      </c>
      <c r="E114">
        <v>9</v>
      </c>
      <c r="F114">
        <v>1023</v>
      </c>
      <c r="G114">
        <v>4768</v>
      </c>
      <c r="H114">
        <f t="shared" si="3"/>
        <v>256.25024437927664</v>
      </c>
      <c r="I114">
        <v>9007365933.333334</v>
      </c>
      <c r="J114">
        <v>33945890333.333332</v>
      </c>
      <c r="K114">
        <f>avg!I77/avg!H77</f>
        <v>3.7686811643469067</v>
      </c>
      <c r="L114">
        <f>avg!U77/avg!N77</f>
        <v>1.2333152209482887</v>
      </c>
      <c r="M114">
        <f>avg!V77/avg!Q77</f>
        <v>7.9594258661467583</v>
      </c>
      <c r="N114">
        <f>avg!W77/avg!R77</f>
        <v>0.40354961999736416</v>
      </c>
      <c r="O114">
        <f>avg!T77/avg!K77</f>
        <v>67.438752860021168</v>
      </c>
      <c r="P114">
        <f>avg!X114/avg!S114</f>
        <v>11.410178280683736</v>
      </c>
      <c r="Q114">
        <f>avg!K77/avg!H77</f>
        <v>1.0836686410038823E-4</v>
      </c>
      <c r="R114">
        <f>1-Q114-T114-U114</f>
        <v>0.7148219632304047</v>
      </c>
      <c r="S114">
        <f>avg!N77/avg!H77</f>
        <v>0.62627361225818667</v>
      </c>
      <c r="T114">
        <f>avg!Q77/avg!H77</f>
        <v>0.28481695451490818</v>
      </c>
      <c r="U114">
        <f>avg!R77/avg!H77</f>
        <v>2.5271539058673676E-4</v>
      </c>
      <c r="V114">
        <f>avg!T77/avg!I77</f>
        <v>1.9391733732795206E-3</v>
      </c>
      <c r="W114">
        <f>1-V114-Y114-Z114</f>
        <v>0.39650253097402433</v>
      </c>
      <c r="X114">
        <f>avg!U77/avg!I77</f>
        <v>0.20495041761118046</v>
      </c>
      <c r="Y114">
        <f>avg!V77/avg!I77</f>
        <v>0.60153123493957361</v>
      </c>
      <c r="Z114">
        <f>avg!W77/avg!I77</f>
        <v>2.7060713122553638E-5</v>
      </c>
      <c r="AA114">
        <f t="shared" si="4"/>
        <v>0.19155211336284386</v>
      </c>
      <c r="AB114">
        <f t="shared" si="5"/>
        <v>1.5170930522483377</v>
      </c>
    </row>
    <row r="115" spans="1:28" x14ac:dyDescent="0.3">
      <c r="A115">
        <v>65536</v>
      </c>
      <c r="B115">
        <v>6</v>
      </c>
      <c r="C115">
        <v>343</v>
      </c>
      <c r="D115">
        <v>0.5</v>
      </c>
      <c r="E115">
        <v>8</v>
      </c>
      <c r="F115">
        <v>511</v>
      </c>
      <c r="G115">
        <v>8932</v>
      </c>
      <c r="H115">
        <f t="shared" si="3"/>
        <v>128.2504892367906</v>
      </c>
      <c r="I115">
        <v>3642004525</v>
      </c>
      <c r="J115">
        <v>15171093900</v>
      </c>
      <c r="K115">
        <f>avg!I22/avg!H22</f>
        <v>4.1655889760323674</v>
      </c>
      <c r="L115">
        <f>avg!U22/avg!N22</f>
        <v>2.2976922333805847</v>
      </c>
      <c r="M115">
        <f>avg!V22/avg!Q22</f>
        <v>7.6146976683215497</v>
      </c>
      <c r="N115">
        <f>avg!W22/avg!R22</f>
        <v>0.21213847649049902</v>
      </c>
      <c r="O115">
        <f>avg!T22/avg!K22</f>
        <v>13.239152710055826</v>
      </c>
      <c r="P115">
        <f>avg!X115/avg!S115</f>
        <v>9.8986129623255383</v>
      </c>
      <c r="Q115">
        <f>avg!K22/avg!H22</f>
        <v>3.8854976436362336E-4</v>
      </c>
      <c r="R115">
        <f>1-Q115-T115-U115</f>
        <v>0.6695072543876095</v>
      </c>
      <c r="S115">
        <f>avg!N22/avg!H22</f>
        <v>0.56233470769781646</v>
      </c>
      <c r="T115">
        <f>avg!Q22/avg!H22</f>
        <v>0.32989937045726214</v>
      </c>
      <c r="U115">
        <f>avg!R22/avg!H22</f>
        <v>2.0482539076471906E-4</v>
      </c>
      <c r="V115">
        <f>avg!T22/avg!I22</f>
        <v>1.2348961204438924E-3</v>
      </c>
      <c r="W115">
        <f>1-V115-Y115-Z115</f>
        <v>0.39569854287171735</v>
      </c>
      <c r="X115">
        <f>avg!U22/avg!I22</f>
        <v>0.31017752780503188</v>
      </c>
      <c r="Y115">
        <f>avg!V22/avg!I22</f>
        <v>0.60305612998677705</v>
      </c>
      <c r="Z115">
        <f>avg!W22/avg!I22</f>
        <v>1.043102106170472E-5</v>
      </c>
      <c r="AA115">
        <f t="shared" si="4"/>
        <v>8.5521015066685468E-2</v>
      </c>
      <c r="AB115">
        <f t="shared" si="5"/>
        <v>1.5240291905302354</v>
      </c>
    </row>
    <row r="116" spans="1:28" x14ac:dyDescent="0.3">
      <c r="A116">
        <v>1048576</v>
      </c>
      <c r="B116">
        <v>6</v>
      </c>
      <c r="C116">
        <v>343</v>
      </c>
      <c r="D116">
        <v>0.35</v>
      </c>
      <c r="E116">
        <v>12</v>
      </c>
      <c r="F116">
        <v>8191</v>
      </c>
      <c r="G116">
        <v>510889.33333333331</v>
      </c>
      <c r="H116">
        <f t="shared" si="3"/>
        <v>128.01562690758149</v>
      </c>
      <c r="I116">
        <v>151320240133.33334</v>
      </c>
      <c r="J116">
        <v>865684457666.66663</v>
      </c>
      <c r="K116">
        <f>avg!I145/avg!H145</f>
        <v>5.7208768430705836</v>
      </c>
      <c r="L116">
        <f>avg!U145/avg!N145</f>
        <v>3.9075250773460257</v>
      </c>
      <c r="M116">
        <f>avg!V145/avg!Q145</f>
        <v>7.7204673688923453</v>
      </c>
      <c r="N116">
        <f>avg!W145/avg!R145</f>
        <v>0.44945059226932671</v>
      </c>
      <c r="O116">
        <f>avg!T145/avg!K145</f>
        <v>5.1341166995959409</v>
      </c>
      <c r="P116">
        <f>avg!X116/avg!S116</f>
        <v>4.7335071652627319</v>
      </c>
      <c r="Q116">
        <f>avg!K145/avg!H145</f>
        <v>6.0340110430400135E-4</v>
      </c>
      <c r="R116">
        <f>1-Q116-T116-U116</f>
        <v>0.54501988405955493</v>
      </c>
      <c r="S116">
        <f>avg!N145/avg!H145</f>
        <v>0.52954522780777569</v>
      </c>
      <c r="T116">
        <f>avg!Q145/avg!H145</f>
        <v>0.45432018131055896</v>
      </c>
      <c r="U116">
        <f>avg!R145/avg!H145</f>
        <v>5.6533525582095704E-5</v>
      </c>
      <c r="V116">
        <f>avg!T145/avg!I145</f>
        <v>5.4151343773711509E-4</v>
      </c>
      <c r="W116">
        <f>1-V116-Y116-Z116</f>
        <v>0.3863375192559047</v>
      </c>
      <c r="X116">
        <f>avg!U145/avg!I145</f>
        <v>0.36169477407193817</v>
      </c>
      <c r="Y116">
        <f>avg!V145/avg!I145</f>
        <v>0.61311652584969811</v>
      </c>
      <c r="Z116">
        <f>avg!W145/avg!I145</f>
        <v>4.4414566600437752E-6</v>
      </c>
      <c r="AA116">
        <f t="shared" si="4"/>
        <v>2.464274518396653E-2</v>
      </c>
      <c r="AB116">
        <f t="shared" si="5"/>
        <v>1.586997108203664</v>
      </c>
    </row>
    <row r="117" spans="1:28" x14ac:dyDescent="0.3">
      <c r="A117">
        <v>524288</v>
      </c>
      <c r="B117">
        <v>3</v>
      </c>
      <c r="C117">
        <v>64</v>
      </c>
      <c r="D117">
        <v>0.2</v>
      </c>
      <c r="E117">
        <v>13</v>
      </c>
      <c r="F117">
        <v>16383</v>
      </c>
      <c r="G117">
        <v>3668836</v>
      </c>
      <c r="H117">
        <f t="shared" si="3"/>
        <v>32.001953244216566</v>
      </c>
      <c r="I117">
        <v>57816268666.666664</v>
      </c>
      <c r="J117">
        <v>351953982466.66669</v>
      </c>
      <c r="K117">
        <f>avg!I116/avg!H116</f>
        <v>6.08745584215783</v>
      </c>
      <c r="L117">
        <f>avg!U116/avg!N116</f>
        <v>5.1159750564410347</v>
      </c>
      <c r="M117">
        <f>avg!V116/avg!Q116</f>
        <v>7.0553945100520288</v>
      </c>
      <c r="N117">
        <f>avg!W116/avg!R116</f>
        <v>0.28147945455374651</v>
      </c>
      <c r="O117">
        <f>avg!T116/avg!K116</f>
        <v>0.37019078931497856</v>
      </c>
      <c r="P117">
        <f>avg!X117/avg!S117</f>
        <v>11.534705484974824</v>
      </c>
      <c r="Q117">
        <f>avg!K116/avg!H116</f>
        <v>1.3503341729547565E-2</v>
      </c>
      <c r="R117">
        <f>1-Q117-T117-U117</f>
        <v>0.44965681170500527</v>
      </c>
      <c r="S117">
        <f>avg!N116/avg!H116</f>
        <v>0.43704869205037944</v>
      </c>
      <c r="T117">
        <f>avg!Q116/avg!H116</f>
        <v>0.53672607063089273</v>
      </c>
      <c r="U117">
        <f>avg!R116/avg!H116</f>
        <v>1.1377593455442986E-4</v>
      </c>
      <c r="V117">
        <f>avg!T116/avg!I116</f>
        <v>8.2116615920768048E-4</v>
      </c>
      <c r="W117">
        <f>1-V117-Y117-Z117</f>
        <v>0.37710513081797614</v>
      </c>
      <c r="X117">
        <f>avg!U116/avg!I116</f>
        <v>0.36730126097922489</v>
      </c>
      <c r="Y117">
        <f>avg!V116/avg!I116</f>
        <v>0.62206844210777545</v>
      </c>
      <c r="Z117">
        <f>avg!W116/avg!I116</f>
        <v>5.2609150407194607E-6</v>
      </c>
      <c r="AA117">
        <f t="shared" si="4"/>
        <v>9.8038698387512557E-3</v>
      </c>
      <c r="AB117">
        <f t="shared" si="5"/>
        <v>1.6495889110775319</v>
      </c>
    </row>
    <row r="118" spans="1:28" x14ac:dyDescent="0.3">
      <c r="A118">
        <v>65536</v>
      </c>
      <c r="B118">
        <v>3</v>
      </c>
      <c r="C118">
        <v>64</v>
      </c>
      <c r="D118">
        <v>0.35</v>
      </c>
      <c r="E118">
        <v>10</v>
      </c>
      <c r="F118">
        <v>2047</v>
      </c>
      <c r="G118">
        <v>86474.666666666672</v>
      </c>
      <c r="H118">
        <f t="shared" si="3"/>
        <v>32.015632633121641</v>
      </c>
      <c r="I118">
        <v>1902845533.3333333</v>
      </c>
      <c r="J118">
        <v>8173434733.333333</v>
      </c>
      <c r="K118">
        <f>avg!I19/avg!H19</f>
        <v>4.2953747900994452</v>
      </c>
      <c r="L118">
        <f>avg!U19/avg!N19</f>
        <v>3.6975464968833931</v>
      </c>
      <c r="M118">
        <f>avg!V19/avg!Q19</f>
        <v>6.9830352506499134</v>
      </c>
      <c r="N118">
        <f>avg!W19/avg!R19</f>
        <v>0.16303396858001445</v>
      </c>
      <c r="O118">
        <f>avg!T19/avg!K19</f>
        <v>1.520420522950733</v>
      </c>
      <c r="P118">
        <f>avg!X118/avg!S118</f>
        <v>11.49820369159027</v>
      </c>
      <c r="Q118">
        <f>avg!K19/avg!H19</f>
        <v>8.6196171537202722E-3</v>
      </c>
      <c r="R118">
        <f>1-Q118-T118-U118</f>
        <v>0.60809551435651654</v>
      </c>
      <c r="S118">
        <f>avg!N19/avg!H19</f>
        <v>0.38859803403905657</v>
      </c>
      <c r="T118">
        <f>avg!Q19/avg!H19</f>
        <v>0.38282434766206108</v>
      </c>
      <c r="U118">
        <f>avg!R19/avg!H19</f>
        <v>4.6052082770214702E-4</v>
      </c>
      <c r="V118">
        <f>avg!T19/avg!I19</f>
        <v>3.0510592115737291E-3</v>
      </c>
      <c r="W118">
        <f>1-V118-Y118-Z118</f>
        <v>0.37456995741512861</v>
      </c>
      <c r="X118">
        <f>avg!U19/avg!I19</f>
        <v>0.33451313789165799</v>
      </c>
      <c r="Y118">
        <f>avg!V19/avg!I19</f>
        <v>0.62236150398166756</v>
      </c>
      <c r="Z118">
        <f>avg!W19/avg!I19</f>
        <v>1.7479391630059792E-5</v>
      </c>
      <c r="AA118">
        <f t="shared" si="4"/>
        <v>4.0056819523470621E-2</v>
      </c>
      <c r="AB118">
        <f t="shared" si="5"/>
        <v>1.6615360940223949</v>
      </c>
    </row>
    <row r="119" spans="1:28" x14ac:dyDescent="0.3">
      <c r="A119">
        <v>1048576</v>
      </c>
      <c r="B119">
        <v>7</v>
      </c>
      <c r="C119">
        <v>512</v>
      </c>
      <c r="D119">
        <v>0.65</v>
      </c>
      <c r="E119">
        <v>11</v>
      </c>
      <c r="F119">
        <v>4095</v>
      </c>
      <c r="G119">
        <v>31465.333333333332</v>
      </c>
      <c r="H119">
        <f t="shared" si="3"/>
        <v>256.06251526251526</v>
      </c>
      <c r="I119">
        <v>45931624933.333336</v>
      </c>
      <c r="J119">
        <v>220006440266.66666</v>
      </c>
      <c r="K119">
        <f>avg!I141/avg!H141</f>
        <v>4.7898684313039483</v>
      </c>
      <c r="L119">
        <f>avg!U141/avg!N141</f>
        <v>2.0754213130129306</v>
      </c>
      <c r="M119">
        <f>avg!V141/avg!Q141</f>
        <v>8.1796357891523996</v>
      </c>
      <c r="N119">
        <f>avg!W141/avg!R141</f>
        <v>0.51525352079598563</v>
      </c>
      <c r="O119">
        <f>avg!T141/avg!K141</f>
        <v>134.10632972433035</v>
      </c>
      <c r="P119">
        <f>avg!X119/avg!S119</f>
        <v>8.5241762157669339</v>
      </c>
      <c r="Q119">
        <f>avg!K141/avg!H141</f>
        <v>1.2641544197694644E-4</v>
      </c>
      <c r="R119">
        <f>1-Q119-T119-U119</f>
        <v>0.63197058110030668</v>
      </c>
      <c r="S119">
        <f>avg!N141/avg!H141</f>
        <v>0.58870851994852269</v>
      </c>
      <c r="T119">
        <f>avg!Q141/avg!H141</f>
        <v>0.36771759598129838</v>
      </c>
      <c r="U119">
        <f>avg!R141/avg!H141</f>
        <v>1.8540747641798355E-4</v>
      </c>
      <c r="V119">
        <f>avg!T141/avg!I141</f>
        <v>3.5393688129743009E-3</v>
      </c>
      <c r="W119">
        <f>1-V119-Y119-Z119</f>
        <v>0.36849107766301004</v>
      </c>
      <c r="X119">
        <f>avg!U141/avg!I141</f>
        <v>0.25508387693247059</v>
      </c>
      <c r="Y119">
        <f>avg!V141/avg!I141</f>
        <v>0.62794960895635654</v>
      </c>
      <c r="Z119">
        <f>avg!W141/avg!I141</f>
        <v>1.9944567659086624E-5</v>
      </c>
      <c r="AA119">
        <f t="shared" si="4"/>
        <v>0.11340720073053945</v>
      </c>
      <c r="AB119">
        <f t="shared" si="5"/>
        <v>1.7041107560564188</v>
      </c>
    </row>
    <row r="120" spans="1:28" x14ac:dyDescent="0.3">
      <c r="A120">
        <v>131072</v>
      </c>
      <c r="B120">
        <v>7</v>
      </c>
      <c r="C120">
        <v>512</v>
      </c>
      <c r="D120">
        <v>0.65</v>
      </c>
      <c r="E120">
        <v>8</v>
      </c>
      <c r="F120">
        <v>511</v>
      </c>
      <c r="G120">
        <v>3602.6666666666665</v>
      </c>
      <c r="H120">
        <f t="shared" si="3"/>
        <v>256.5009784735812</v>
      </c>
      <c r="I120">
        <v>5866462366.666667</v>
      </c>
      <c r="J120">
        <v>24290843600</v>
      </c>
      <c r="K120">
        <f>avg!I51/avg!H51</f>
        <v>4.140628897241541</v>
      </c>
      <c r="L120">
        <f>avg!U51/avg!N51</f>
        <v>1.6524445287705389</v>
      </c>
      <c r="M120">
        <f>avg!V51/avg!Q51</f>
        <v>7.9110095119494668</v>
      </c>
      <c r="N120">
        <f>avg!W51/avg!R51</f>
        <v>0.26743815691687017</v>
      </c>
      <c r="O120">
        <f>avg!T51/avg!K51</f>
        <v>42.365744717402507</v>
      </c>
      <c r="P120">
        <f>avg!X120/avg!S120</f>
        <v>9.8260353111393002</v>
      </c>
      <c r="Q120">
        <f>avg!K51/avg!H51</f>
        <v>1.3230006174476383E-4</v>
      </c>
      <c r="R120">
        <f>1-Q120-T120-U120</f>
        <v>0.66843716961029853</v>
      </c>
      <c r="S120">
        <f>avg!N51/avg!H51</f>
        <v>0.56696264723900525</v>
      </c>
      <c r="T120">
        <f>avg!Q51/avg!H51</f>
        <v>0.33110941687281825</v>
      </c>
      <c r="U120">
        <f>avg!R51/avg!H51</f>
        <v>3.2111345513844623E-4</v>
      </c>
      <c r="V120">
        <f>avg!T51/avg!I51</f>
        <v>1.353656843217527E-3</v>
      </c>
      <c r="W120">
        <f>1-V120-Y120-Z120</f>
        <v>0.366014033095719</v>
      </c>
      <c r="X120">
        <f>avg!U51/avg!I51</f>
        <v>0.22626377482693383</v>
      </c>
      <c r="Y120">
        <f>avg!V51/avg!I51</f>
        <v>0.63261156973568422</v>
      </c>
      <c r="Z120">
        <f>avg!W51/avg!I51</f>
        <v>2.0740325379230552E-5</v>
      </c>
      <c r="AA120">
        <f t="shared" si="4"/>
        <v>0.13975025826878518</v>
      </c>
      <c r="AB120">
        <f t="shared" si="5"/>
        <v>1.7283806426357575</v>
      </c>
    </row>
    <row r="121" spans="1:28" x14ac:dyDescent="0.3">
      <c r="A121">
        <v>1048576</v>
      </c>
      <c r="B121">
        <v>3</v>
      </c>
      <c r="C121">
        <v>64</v>
      </c>
      <c r="D121">
        <v>0.35</v>
      </c>
      <c r="E121">
        <v>14</v>
      </c>
      <c r="F121">
        <v>32767</v>
      </c>
      <c r="G121">
        <v>1926150.6666666667</v>
      </c>
      <c r="H121">
        <f t="shared" si="3"/>
        <v>32.000976592303232</v>
      </c>
      <c r="I121">
        <v>29789413000</v>
      </c>
      <c r="J121">
        <v>181945153866.66666</v>
      </c>
      <c r="K121">
        <f>avg!I139/avg!H139</f>
        <v>6.1077119534603339</v>
      </c>
      <c r="L121">
        <f>avg!U139/avg!N139</f>
        <v>4.8602041924923611</v>
      </c>
      <c r="M121">
        <f>avg!V139/avg!Q139</f>
        <v>7.1806614167794161</v>
      </c>
      <c r="N121">
        <f>avg!W139/avg!R139</f>
        <v>0.47684112157227598</v>
      </c>
      <c r="O121">
        <f>avg!T139/avg!K139</f>
        <v>2.0733517814564051</v>
      </c>
      <c r="P121">
        <f>avg!X121/avg!S121</f>
        <v>11.469165103293603</v>
      </c>
      <c r="Q121">
        <f>avg!K139/avg!H139</f>
        <v>1.3159648362322546E-2</v>
      </c>
      <c r="R121">
        <f>1-Q121-T121-U121</f>
        <v>0.44620275890185102</v>
      </c>
      <c r="S121">
        <f>avg!N139/avg!H139</f>
        <v>0.41340214167138284</v>
      </c>
      <c r="T121">
        <f>avg!Q139/avg!H139</f>
        <v>0.54036578588059681</v>
      </c>
      <c r="U121">
        <f>avg!R139/avg!H139</f>
        <v>2.7180685522963031E-4</v>
      </c>
      <c r="V121">
        <f>avg!T139/avg!I139</f>
        <v>4.4672343069327618E-3</v>
      </c>
      <c r="W121">
        <f>1-V121-Y121-Z121</f>
        <v>0.36021902007548129</v>
      </c>
      <c r="X121">
        <f>avg!U139/avg!I139</f>
        <v>0.3289642402009888</v>
      </c>
      <c r="Y121">
        <f>avg!V139/avg!I139</f>
        <v>0.63529252512017442</v>
      </c>
      <c r="Z121">
        <f>avg!W139/avg!I139</f>
        <v>2.1220497411522521E-5</v>
      </c>
      <c r="AA121">
        <f t="shared" si="4"/>
        <v>3.1254779874492489E-2</v>
      </c>
      <c r="AB121">
        <f t="shared" si="5"/>
        <v>1.7636284863221645</v>
      </c>
    </row>
    <row r="122" spans="1:28" x14ac:dyDescent="0.3">
      <c r="A122">
        <v>524288</v>
      </c>
      <c r="B122">
        <v>7</v>
      </c>
      <c r="C122">
        <v>512</v>
      </c>
      <c r="D122">
        <v>0.5</v>
      </c>
      <c r="E122">
        <v>10</v>
      </c>
      <c r="F122">
        <v>2047</v>
      </c>
      <c r="G122">
        <v>34928</v>
      </c>
      <c r="H122">
        <f t="shared" si="3"/>
        <v>256.12506106497312</v>
      </c>
      <c r="I122">
        <v>41468324675</v>
      </c>
      <c r="J122">
        <v>234449307225</v>
      </c>
      <c r="K122">
        <f>avg!I114/avg!H114</f>
        <v>5.6536961418733753</v>
      </c>
      <c r="L122">
        <f>avg!U114/avg!N114</f>
        <v>3.2527707534103563</v>
      </c>
      <c r="M122">
        <f>avg!V114/avg!Q114</f>
        <v>8.0840324986635839</v>
      </c>
      <c r="N122">
        <f>avg!W114/avg!R114</f>
        <v>0.42929445711360359</v>
      </c>
      <c r="O122">
        <f>avg!T114/avg!K114</f>
        <v>20.690383655368635</v>
      </c>
      <c r="P122">
        <f>avg!X122/avg!S122</f>
        <v>10.492263000768126</v>
      </c>
      <c r="Q122">
        <f>avg!K114/avg!H114</f>
        <v>1.9684723373744541E-4</v>
      </c>
      <c r="R122">
        <f>1-Q122-T122-U122</f>
        <v>0.54813467455325882</v>
      </c>
      <c r="S122">
        <f>avg!N114/avg!H114</f>
        <v>0.52163636991684181</v>
      </c>
      <c r="T122">
        <f>avg!Q114/avg!H114</f>
        <v>0.4515648473083631</v>
      </c>
      <c r="U122">
        <f>avg!R114/avg!H114</f>
        <v>1.0363090464059119E-4</v>
      </c>
      <c r="V122">
        <f>avg!T114/avg!I114</f>
        <v>7.2038621908962648E-4</v>
      </c>
      <c r="W122">
        <f>1-V122-Y122-Z122</f>
        <v>0.35359415466492</v>
      </c>
      <c r="X122">
        <f>avg!U114/avg!I114</f>
        <v>0.30011579777232589</v>
      </c>
      <c r="Y122">
        <f>avg!V114/avg!I114</f>
        <v>0.6456775902507681</v>
      </c>
      <c r="Z122">
        <f>avg!W114/avg!I114</f>
        <v>7.8688652222354629E-6</v>
      </c>
      <c r="AA122">
        <f t="shared" si="4"/>
        <v>5.3478356892594114E-2</v>
      </c>
      <c r="AB122">
        <f t="shared" si="5"/>
        <v>1.826041470800438</v>
      </c>
    </row>
    <row r="123" spans="1:28" x14ac:dyDescent="0.3">
      <c r="A123">
        <v>262144</v>
      </c>
      <c r="B123">
        <v>6</v>
      </c>
      <c r="C123">
        <v>343</v>
      </c>
      <c r="D123">
        <v>0.2</v>
      </c>
      <c r="E123">
        <v>10</v>
      </c>
      <c r="F123">
        <v>2047</v>
      </c>
      <c r="G123">
        <v>335345.33333333331</v>
      </c>
      <c r="H123">
        <f t="shared" si="3"/>
        <v>128.06253053248656</v>
      </c>
      <c r="I123">
        <v>87298514966.666672</v>
      </c>
      <c r="J123">
        <v>530170751166.66669</v>
      </c>
      <c r="K123">
        <f>avg!I90/avg!H90</f>
        <v>6.0730786929090677</v>
      </c>
      <c r="L123">
        <f>avg!U90/avg!N90</f>
        <v>4.2805084833216922</v>
      </c>
      <c r="M123">
        <f>avg!V90/avg!Q90</f>
        <v>7.6683420863834906</v>
      </c>
      <c r="N123">
        <f>avg!W90/avg!R90</f>
        <v>0.38438081834308246</v>
      </c>
      <c r="O123">
        <f>avg!T90/avg!K90</f>
        <v>1.2758544935177552</v>
      </c>
      <c r="P123">
        <f>avg!X123/avg!S123</f>
        <v>6.0313151617772434</v>
      </c>
      <c r="Q123">
        <f>avg!K90/avg!H90</f>
        <v>6.5872598201650433E-4</v>
      </c>
      <c r="R123">
        <f>1-Q123-T123-U123</f>
        <v>0.4812878254501381</v>
      </c>
      <c r="S123">
        <f>avg!N90/avg!H90</f>
        <v>0.47575410359720099</v>
      </c>
      <c r="T123">
        <f>avg!Q90/avg!H90</f>
        <v>0.51802740345126042</v>
      </c>
      <c r="U123">
        <f>avg!R90/avg!H90</f>
        <v>2.6045116584951879E-5</v>
      </c>
      <c r="V123">
        <f>avg!T90/avg!I90</f>
        <v>1.3838755376806657E-4</v>
      </c>
      <c r="W123">
        <f>1-V123-Y123-Z123</f>
        <v>0.34575822405004819</v>
      </c>
      <c r="X123">
        <f>avg!U90/avg!I90</f>
        <v>0.3353273651468916</v>
      </c>
      <c r="Y123">
        <f>avg!V90/avg!I90</f>
        <v>0.65410173993356158</v>
      </c>
      <c r="Z123">
        <f>avg!W90/avg!I90</f>
        <v>1.6484626221711783E-6</v>
      </c>
      <c r="AA123">
        <f t="shared" si="4"/>
        <v>1.0430858903156592E-2</v>
      </c>
      <c r="AB123">
        <f t="shared" si="5"/>
        <v>1.8917893904929386</v>
      </c>
    </row>
    <row r="124" spans="1:28" x14ac:dyDescent="0.3">
      <c r="A124">
        <v>65536</v>
      </c>
      <c r="B124">
        <v>6</v>
      </c>
      <c r="C124">
        <v>343</v>
      </c>
      <c r="D124">
        <v>0.35</v>
      </c>
      <c r="E124">
        <v>8</v>
      </c>
      <c r="F124">
        <v>511</v>
      </c>
      <c r="G124">
        <v>19485.333333333332</v>
      </c>
      <c r="H124">
        <f t="shared" si="3"/>
        <v>128.2504892367906</v>
      </c>
      <c r="I124">
        <v>5971704600</v>
      </c>
      <c r="J124">
        <v>30062729400</v>
      </c>
      <c r="K124">
        <f>avg!I25/avg!H25</f>
        <v>5.0341956633286919</v>
      </c>
      <c r="L124">
        <f>avg!U25/avg!N25</f>
        <v>3.0201743680430346</v>
      </c>
      <c r="M124">
        <f>avg!V25/avg!Q25</f>
        <v>7.6154090971948705</v>
      </c>
      <c r="N124">
        <f>avg!W25/avg!R25</f>
        <v>0.23831387681336394</v>
      </c>
      <c r="O124">
        <f>avg!T25/avg!K25</f>
        <v>4.541707872130015</v>
      </c>
      <c r="P124">
        <f>avg!X124/avg!S124</f>
        <v>9.3950076652861529</v>
      </c>
      <c r="Q124">
        <f>avg!K25/avg!H25</f>
        <v>4.6848153428977944E-4</v>
      </c>
      <c r="R124">
        <f>1-Q124-T124-U124</f>
        <v>0.56239178899326892</v>
      </c>
      <c r="S124">
        <f>avg!N25/avg!H25</f>
        <v>0.48076854527153495</v>
      </c>
      <c r="T124">
        <f>avg!Q25/avg!H25</f>
        <v>0.43702545166082057</v>
      </c>
      <c r="U124">
        <f>avg!R25/avg!H25</f>
        <v>1.14277811620711E-4</v>
      </c>
      <c r="V124">
        <f>avg!T25/avg!I25</f>
        <v>4.2265069030403252E-4</v>
      </c>
      <c r="W124">
        <f>1-V124-Y124-Z124</f>
        <v>0.33846779838071966</v>
      </c>
      <c r="X124">
        <f>avg!U25/avg!I25</f>
        <v>0.28842836760745572</v>
      </c>
      <c r="Y124">
        <f>avg!V25/avg!I25</f>
        <v>0.66110414112964744</v>
      </c>
      <c r="Z124">
        <f>avg!W25/avg!I25</f>
        <v>5.4097993289103465E-6</v>
      </c>
      <c r="AA124">
        <f t="shared" si="4"/>
        <v>5.0039430773263949E-2</v>
      </c>
      <c r="AB124">
        <f t="shared" si="5"/>
        <v>1.9532261098174422</v>
      </c>
    </row>
    <row r="125" spans="1:28" x14ac:dyDescent="0.3">
      <c r="A125">
        <v>262144</v>
      </c>
      <c r="B125">
        <v>7</v>
      </c>
      <c r="C125">
        <v>512</v>
      </c>
      <c r="D125">
        <v>0.65</v>
      </c>
      <c r="E125">
        <v>9</v>
      </c>
      <c r="F125">
        <v>1023</v>
      </c>
      <c r="G125">
        <v>8620</v>
      </c>
      <c r="H125">
        <f t="shared" si="3"/>
        <v>256.25024437927664</v>
      </c>
      <c r="I125">
        <v>12011351833.333334</v>
      </c>
      <c r="J125">
        <v>55476573833.333336</v>
      </c>
      <c r="K125">
        <f>avg!I81/avg!H81</f>
        <v>4.6186786136242697</v>
      </c>
      <c r="L125">
        <f>avg!U81/avg!N81</f>
        <v>1.8397030800500114</v>
      </c>
      <c r="M125">
        <f>avg!V81/avg!Q81</f>
        <v>7.9780971730290897</v>
      </c>
      <c r="N125">
        <f>avg!W81/avg!R81</f>
        <v>0.40484587550954976</v>
      </c>
      <c r="O125">
        <f>avg!T81/avg!K81</f>
        <v>44.650796054339366</v>
      </c>
      <c r="P125">
        <f>avg!X125/avg!S125</f>
        <v>5.910939761718998</v>
      </c>
      <c r="Q125">
        <f>avg!K81/avg!H81</f>
        <v>1.2828975078866712E-4</v>
      </c>
      <c r="R125">
        <f>1-Q125-T125-U125</f>
        <v>0.61536103256542973</v>
      </c>
      <c r="S125">
        <f>avg!N81/avg!H81</f>
        <v>0.54855387010213152</v>
      </c>
      <c r="T125">
        <f>avg!Q81/avg!H81</f>
        <v>0.38432890796874081</v>
      </c>
      <c r="U125">
        <f>avg!R81/avg!H81</f>
        <v>1.8176971504081741E-4</v>
      </c>
      <c r="V125">
        <f>avg!T81/avg!I81</f>
        <v>1.2402334038635039E-3</v>
      </c>
      <c r="W125">
        <f>1-V125-Y125-Z125</f>
        <v>0.33487140816972411</v>
      </c>
      <c r="X125">
        <f>avg!U81/avg!I81</f>
        <v>0.21849891036439667</v>
      </c>
      <c r="Y125">
        <f>avg!V81/avg!I81</f>
        <v>0.66387242557513981</v>
      </c>
      <c r="Z125">
        <f>avg!W81/avg!I81</f>
        <v>1.5932851272601569E-5</v>
      </c>
      <c r="AA125">
        <f t="shared" si="4"/>
        <v>0.11637249780532744</v>
      </c>
      <c r="AB125">
        <f t="shared" si="5"/>
        <v>1.9824697163714464</v>
      </c>
    </row>
    <row r="126" spans="1:28" x14ac:dyDescent="0.3">
      <c r="A126">
        <v>131072</v>
      </c>
      <c r="B126">
        <v>3</v>
      </c>
      <c r="C126">
        <v>64</v>
      </c>
      <c r="D126">
        <v>0.35</v>
      </c>
      <c r="E126">
        <v>11</v>
      </c>
      <c r="F126">
        <v>4095</v>
      </c>
      <c r="G126">
        <v>208205.33333333334</v>
      </c>
      <c r="H126">
        <f t="shared" si="3"/>
        <v>32.007814407814408</v>
      </c>
      <c r="I126">
        <v>3591459666.6666665</v>
      </c>
      <c r="J126">
        <v>19060776200</v>
      </c>
      <c r="K126">
        <f>avg!I49/avg!H49</f>
        <v>5.3072505246010007</v>
      </c>
      <c r="L126">
        <f>avg!U49/avg!N49</f>
        <v>4.2176713035229714</v>
      </c>
      <c r="M126">
        <f>avg!V49/avg!Q49</f>
        <v>7.2462613534173324</v>
      </c>
      <c r="N126">
        <f>avg!W49/avg!R49</f>
        <v>0.28727906397809311</v>
      </c>
      <c r="O126">
        <f>avg!T49/avg!K49</f>
        <v>0.92054923227136531</v>
      </c>
      <c r="P126">
        <f>avg!X126/avg!S126</f>
        <v>9.5020213993852831</v>
      </c>
      <c r="Q126">
        <f>avg!K49/avg!H49</f>
        <v>1.1340338037115642E-2</v>
      </c>
      <c r="R126">
        <f>1-Q126-T126-U126</f>
        <v>0.49970824304584049</v>
      </c>
      <c r="S126">
        <f>avg!N49/avg!H49</f>
        <v>0.36967263728146194</v>
      </c>
      <c r="T126">
        <f>avg!Q49/avg!H49</f>
        <v>0.48857859000504811</v>
      </c>
      <c r="U126">
        <f>avg!R49/avg!H49</f>
        <v>3.7282891199576332E-4</v>
      </c>
      <c r="V126">
        <f>avg!T49/avg!I49</f>
        <v>1.9669957966699523E-3</v>
      </c>
      <c r="W126">
        <f>1-V126-Y126-Z126</f>
        <v>0.33093141470982346</v>
      </c>
      <c r="X126">
        <f>avg!U49/avg!I49</f>
        <v>0.29377879689915254</v>
      </c>
      <c r="Y126">
        <f>avg!V49/avg!I49</f>
        <v>0.66708140843358388</v>
      </c>
      <c r="Z126">
        <f>avg!W49/avg!I49</f>
        <v>2.018105992276782E-5</v>
      </c>
      <c r="AA126">
        <f t="shared" si="4"/>
        <v>3.7152617810670918E-2</v>
      </c>
      <c r="AB126">
        <f t="shared" si="5"/>
        <v>2.015769367252465</v>
      </c>
    </row>
    <row r="127" spans="1:28" x14ac:dyDescent="0.3">
      <c r="A127">
        <v>131072</v>
      </c>
      <c r="B127">
        <v>6</v>
      </c>
      <c r="C127">
        <v>343</v>
      </c>
      <c r="D127">
        <v>0.35</v>
      </c>
      <c r="E127">
        <v>9</v>
      </c>
      <c r="F127">
        <v>1023</v>
      </c>
      <c r="G127">
        <v>49461.333333333336</v>
      </c>
      <c r="H127">
        <f t="shared" si="3"/>
        <v>128.12512218963832</v>
      </c>
      <c r="I127">
        <v>13732019666.666666</v>
      </c>
      <c r="J127">
        <v>75637879433.333328</v>
      </c>
      <c r="K127">
        <f>avg!I55/avg!H55</f>
        <v>5.5081394630491234</v>
      </c>
      <c r="L127">
        <f>avg!U55/avg!N55</f>
        <v>3.3568317187563794</v>
      </c>
      <c r="M127">
        <f>avg!V55/avg!Q55</f>
        <v>7.6846955783657158</v>
      </c>
      <c r="N127">
        <f>avg!W55/avg!R55</f>
        <v>0.30481244547833675</v>
      </c>
      <c r="O127">
        <f>avg!T55/avg!K55</f>
        <v>5.1368071994326758</v>
      </c>
      <c r="P127">
        <f>avg!X127/avg!S127</f>
        <v>10.202786801031925</v>
      </c>
      <c r="Q127">
        <f>avg!K55/avg!H55</f>
        <v>4.8606105744241219E-4</v>
      </c>
      <c r="R127">
        <f>1-Q127-T127-U127</f>
        <v>0.51645525121711278</v>
      </c>
      <c r="S127">
        <f>avg!N55/avg!H55</f>
        <v>0.47354419266173015</v>
      </c>
      <c r="T127">
        <f>avg!Q55/avg!H55</f>
        <v>0.48295851309466281</v>
      </c>
      <c r="U127">
        <f>avg!R55/avg!H55</f>
        <v>1.001746307820367E-4</v>
      </c>
      <c r="V127">
        <f>avg!T55/avg!I55</f>
        <v>4.5329315932968325E-4</v>
      </c>
      <c r="W127">
        <f>1-V127-Y127-Z127</f>
        <v>0.32574029553163258</v>
      </c>
      <c r="X127">
        <f>avg!U55/avg!I55</f>
        <v>0.28859257773401098</v>
      </c>
      <c r="Y127">
        <f>avg!V55/avg!I55</f>
        <v>0.67380086779032533</v>
      </c>
      <c r="Z127">
        <f>avg!W55/avg!I55</f>
        <v>5.5435187123347098E-6</v>
      </c>
      <c r="AA127">
        <f t="shared" si="4"/>
        <v>3.7147717797621604E-2</v>
      </c>
      <c r="AB127">
        <f t="shared" si="5"/>
        <v>2.0685216936106472</v>
      </c>
    </row>
    <row r="128" spans="1:28" x14ac:dyDescent="0.3">
      <c r="A128">
        <v>262144</v>
      </c>
      <c r="B128">
        <v>3</v>
      </c>
      <c r="C128">
        <v>64</v>
      </c>
      <c r="D128">
        <v>0.35</v>
      </c>
      <c r="E128">
        <v>12</v>
      </c>
      <c r="F128">
        <v>8191</v>
      </c>
      <c r="G128">
        <v>488910.66666666669</v>
      </c>
      <c r="H128">
        <f t="shared" si="3"/>
        <v>32.003906726895373</v>
      </c>
      <c r="I128">
        <v>7333054466.666667</v>
      </c>
      <c r="J128">
        <v>42816266233.333336</v>
      </c>
      <c r="K128">
        <f>avg!I79/avg!H79</f>
        <v>5.838803792875142</v>
      </c>
      <c r="L128">
        <f>avg!U79/avg!N79</f>
        <v>4.7479183221178873</v>
      </c>
      <c r="M128">
        <f>avg!V79/avg!Q79</f>
        <v>7.1023723999401254</v>
      </c>
      <c r="N128">
        <f>avg!W79/avg!R79</f>
        <v>0.47623908018372307</v>
      </c>
      <c r="O128">
        <f>avg!T79/avg!K79</f>
        <v>0.59645389566660612</v>
      </c>
      <c r="P128">
        <f>avg!X128/avg!S128</f>
        <v>5.8325880490446691</v>
      </c>
      <c r="Q128">
        <f>avg!K79/avg!H79</f>
        <v>1.7900989816730939E-2</v>
      </c>
      <c r="R128">
        <f>1-Q128-T128-U128</f>
        <v>0.42211338818457067</v>
      </c>
      <c r="S128">
        <f>avg!N79/avg!H79</f>
        <v>0.34764800192356404</v>
      </c>
      <c r="T128">
        <f>avg!Q79/avg!H79</f>
        <v>0.55968278320983789</v>
      </c>
      <c r="U128">
        <f>avg!R79/avg!H79</f>
        <v>3.0283878886048913E-4</v>
      </c>
      <c r="V128">
        <f>avg!T79/avg!I79</f>
        <v>1.8286476975825543E-3</v>
      </c>
      <c r="W128">
        <f>1-V128-Y128-Z128</f>
        <v>0.31734358057488016</v>
      </c>
      <c r="X128">
        <f>avg!U79/avg!I79</f>
        <v>0.28269563022390487</v>
      </c>
      <c r="Y128">
        <f>avg!V79/avg!I79</f>
        <v>0.68080307083479163</v>
      </c>
      <c r="Z128">
        <f>avg!W79/avg!I79</f>
        <v>2.4700892745678903E-5</v>
      </c>
      <c r="AA128">
        <f t="shared" si="4"/>
        <v>3.4647950350975287E-2</v>
      </c>
      <c r="AB128">
        <f t="shared" si="5"/>
        <v>2.1453185522186726</v>
      </c>
    </row>
    <row r="129" spans="1:28" x14ac:dyDescent="0.3">
      <c r="A129">
        <v>1048576</v>
      </c>
      <c r="B129">
        <v>6</v>
      </c>
      <c r="C129">
        <v>343</v>
      </c>
      <c r="D129">
        <v>0.2</v>
      </c>
      <c r="E129">
        <v>12</v>
      </c>
      <c r="F129">
        <v>8191</v>
      </c>
      <c r="G129">
        <v>2280208</v>
      </c>
      <c r="H129">
        <f t="shared" si="3"/>
        <v>128.01562690758149</v>
      </c>
      <c r="I129">
        <v>554426525833.33337</v>
      </c>
      <c r="J129">
        <v>3470995281000</v>
      </c>
      <c r="K129">
        <f>avg!I150/avg!H150</f>
        <v>6.2605144582195171</v>
      </c>
      <c r="L129">
        <f>avg!U150/avg!N150</f>
        <v>4.4314345170255693</v>
      </c>
      <c r="M129">
        <f>avg!V150/avg!Q150</f>
        <v>7.6917067189926369</v>
      </c>
      <c r="N129">
        <f>avg!W150/avg!R150</f>
        <v>0.22161102550612516</v>
      </c>
      <c r="O129">
        <f>avg!T150/avg!K150</f>
        <v>1.7575994686069825</v>
      </c>
      <c r="P129">
        <f>avg!X129/avg!S129</f>
        <v>9.0565439726840165</v>
      </c>
      <c r="Q129">
        <f>avg!K150/avg!H150</f>
        <v>6.9061089641137008E-4</v>
      </c>
      <c r="R129">
        <f>1-Q129-T129-U129</f>
        <v>0.44469438974999981</v>
      </c>
      <c r="S129">
        <f>avg!N150/avg!H150</f>
        <v>0.44109710858275714</v>
      </c>
      <c r="T129">
        <f>avg!Q150/avg!H150</f>
        <v>0.55458288767451658</v>
      </c>
      <c r="U129">
        <f>avg!R150/avg!H150</f>
        <v>3.2111679072185322E-5</v>
      </c>
      <c r="V129">
        <f>avg!T150/avg!I150</f>
        <v>1.938846004825016E-4</v>
      </c>
      <c r="W129">
        <f>1-V129-Y129-Z129</f>
        <v>0.31844101862762902</v>
      </c>
      <c r="X129">
        <f>avg!U150/avg!I150</f>
        <v>0.31222561107058255</v>
      </c>
      <c r="Y129">
        <f>avg!V150/avg!I150</f>
        <v>0.68136396007582656</v>
      </c>
      <c r="Z129">
        <f>avg!W150/avg!I150</f>
        <v>1.1366960618655667E-6</v>
      </c>
      <c r="AA129">
        <f t="shared" si="4"/>
        <v>6.2154075570464706E-3</v>
      </c>
      <c r="AB129">
        <f t="shared" si="5"/>
        <v>2.1396865360256361</v>
      </c>
    </row>
    <row r="130" spans="1:28" x14ac:dyDescent="0.3">
      <c r="A130">
        <v>65536</v>
      </c>
      <c r="B130">
        <v>7</v>
      </c>
      <c r="C130">
        <v>512</v>
      </c>
      <c r="D130">
        <v>0.5</v>
      </c>
      <c r="E130">
        <v>7</v>
      </c>
      <c r="F130">
        <v>255</v>
      </c>
      <c r="G130">
        <v>3398</v>
      </c>
      <c r="H130">
        <f t="shared" si="3"/>
        <v>257.00392156862745</v>
      </c>
      <c r="I130">
        <v>4387986650</v>
      </c>
      <c r="J130">
        <v>21273166075</v>
      </c>
      <c r="K130">
        <f>avg!I24/avg!H24</f>
        <v>4.8480471277185861</v>
      </c>
      <c r="L130">
        <f>avg!U24/avg!N24</f>
        <v>2.2334264517364408</v>
      </c>
      <c r="M130">
        <f>avg!V24/avg!Q24</f>
        <v>8.0952341666432091</v>
      </c>
      <c r="N130">
        <f>avg!W24/avg!R24</f>
        <v>0.21149100003290663</v>
      </c>
      <c r="O130">
        <f>avg!T24/avg!K24</f>
        <v>32.64998910438004</v>
      </c>
      <c r="P130">
        <f>avg!X130/avg!S130</f>
        <v>10.633768842587013</v>
      </c>
      <c r="Q130">
        <f>avg!K24/avg!H24</f>
        <v>1.3072624092874121E-4</v>
      </c>
      <c r="R130">
        <f>1-Q130-T130-U130</f>
        <v>0.58113157659675196</v>
      </c>
      <c r="S130">
        <f>avg!N24/avg!H24</f>
        <v>0.49215947933661103</v>
      </c>
      <c r="T130">
        <f>avg!Q24/avg!H24</f>
        <v>0.41856455967111933</v>
      </c>
      <c r="U130">
        <f>avg!R24/avg!H24</f>
        <v>1.7313749119997893E-4</v>
      </c>
      <c r="V130">
        <f>avg!T24/avg!I24</f>
        <v>8.8039786527168362E-4</v>
      </c>
      <c r="W130">
        <f>1-V130-Y130-Z130</f>
        <v>0.30019596295564571</v>
      </c>
      <c r="X130">
        <f>avg!U24/avg!I24</f>
        <v>0.22673088166543634</v>
      </c>
      <c r="Y130">
        <f>avg!V24/avg!I24</f>
        <v>0.69891608623658996</v>
      </c>
      <c r="Z130">
        <f>avg!W24/avg!I24</f>
        <v>7.5529424925997998E-6</v>
      </c>
      <c r="AA130">
        <f t="shared" si="4"/>
        <v>7.3465081290209372E-2</v>
      </c>
      <c r="AB130">
        <f t="shared" si="5"/>
        <v>2.3281994846141738</v>
      </c>
    </row>
    <row r="131" spans="1:28" x14ac:dyDescent="0.3">
      <c r="A131">
        <v>524288</v>
      </c>
      <c r="B131">
        <v>7</v>
      </c>
      <c r="C131">
        <v>512</v>
      </c>
      <c r="D131">
        <v>0.35</v>
      </c>
      <c r="E131">
        <v>10</v>
      </c>
      <c r="F131">
        <v>2047</v>
      </c>
      <c r="G131">
        <v>93434.666666666672</v>
      </c>
      <c r="H131">
        <f t="shared" ref="H131:H151" si="6">A131/F131</f>
        <v>256.12506106497312</v>
      </c>
      <c r="I131">
        <v>89611063633.333328</v>
      </c>
      <c r="J131">
        <v>576494966633.33337</v>
      </c>
      <c r="K131">
        <f>avg!I118/avg!H118</f>
        <v>6.4333012382512331</v>
      </c>
      <c r="L131">
        <f>avg!U118/avg!N118</f>
        <v>4.1661640727287175</v>
      </c>
      <c r="M131">
        <f>avg!V118/avg!Q118</f>
        <v>8.052806061938373</v>
      </c>
      <c r="N131">
        <f>avg!W118/avg!R118</f>
        <v>0.30855036308455025</v>
      </c>
      <c r="O131">
        <f>avg!T118/avg!K118</f>
        <v>7.8122885726227667</v>
      </c>
      <c r="P131">
        <f>avg!X131/avg!S131</f>
        <v>10.252595835846437</v>
      </c>
      <c r="Q131">
        <f>avg!K118/avg!H118</f>
        <v>2.474106704508115E-4</v>
      </c>
      <c r="R131">
        <f>1-Q131-T131-U131</f>
        <v>0.4394673276929808</v>
      </c>
      <c r="S131">
        <f>avg!N118/avg!H118</f>
        <v>0.42730826582618969</v>
      </c>
      <c r="T131">
        <f>avg!Q118/avg!H118</f>
        <v>0.56021503258510041</v>
      </c>
      <c r="U131">
        <f>avg!R118/avg!H118</f>
        <v>7.0229051467915306E-5</v>
      </c>
      <c r="V131">
        <f>avg!T118/avg!I118</f>
        <v>3.0044350201036406E-4</v>
      </c>
      <c r="W131">
        <f>1-V131-Y131-Z131</f>
        <v>0.29845387989790795</v>
      </c>
      <c r="X131">
        <f>avg!U118/avg!I118</f>
        <v>0.27672205592987381</v>
      </c>
      <c r="Y131">
        <f>avg!V118/avg!I118</f>
        <v>0.70124230831395185</v>
      </c>
      <c r="Z131">
        <f>avg!W118/avg!I118</f>
        <v>3.368286129781664E-6</v>
      </c>
      <c r="AA131">
        <f t="shared" ref="AA131:AA151" si="7">W131-X131</f>
        <v>2.1731823968034136E-2</v>
      </c>
      <c r="AB131">
        <f t="shared" ref="AB131:AB151" si="8">Y131/W131</f>
        <v>2.3495834885906848</v>
      </c>
    </row>
    <row r="132" spans="1:28" x14ac:dyDescent="0.3">
      <c r="A132">
        <v>262144</v>
      </c>
      <c r="B132">
        <v>7</v>
      </c>
      <c r="C132">
        <v>512</v>
      </c>
      <c r="D132">
        <v>0.5</v>
      </c>
      <c r="E132">
        <v>9</v>
      </c>
      <c r="F132">
        <v>1023</v>
      </c>
      <c r="G132">
        <v>19290</v>
      </c>
      <c r="H132">
        <f t="shared" si="6"/>
        <v>256.25024437927664</v>
      </c>
      <c r="I132">
        <v>20777299250</v>
      </c>
      <c r="J132">
        <v>117048215825</v>
      </c>
      <c r="K132">
        <f>avg!I84/avg!H84</f>
        <v>5.6334663334552495</v>
      </c>
      <c r="L132">
        <f>avg!U84/avg!N84</f>
        <v>2.9323702573920207</v>
      </c>
      <c r="M132">
        <f>avg!V84/avg!Q84</f>
        <v>7.9671155654164636</v>
      </c>
      <c r="N132">
        <f>avg!W84/avg!R84</f>
        <v>0.39583515713910533</v>
      </c>
      <c r="O132">
        <f>avg!T84/avg!K84</f>
        <v>20.819639089960866</v>
      </c>
      <c r="P132">
        <f>avg!X132/avg!S132</f>
        <v>12.576114297830898</v>
      </c>
      <c r="Q132">
        <f>avg!K84/avg!H84</f>
        <v>1.534258597156221E-4</v>
      </c>
      <c r="R132">
        <f>1-Q132-T132-U132</f>
        <v>0.50209281170169406</v>
      </c>
      <c r="S132">
        <f>avg!N84/avg!H84</f>
        <v>0.46286652486848118</v>
      </c>
      <c r="T132">
        <f>avg!Q84/avg!H84</f>
        <v>0.4976438058955136</v>
      </c>
      <c r="U132">
        <f>avg!R84/avg!H84</f>
        <v>1.0995654307669463E-4</v>
      </c>
      <c r="V132">
        <f>avg!T84/avg!I84</f>
        <v>5.6701697272539355E-4</v>
      </c>
      <c r="W132">
        <f>1-V132-Y132-Z132</f>
        <v>0.29563375854217128</v>
      </c>
      <c r="X132">
        <f>avg!U84/avg!I84</f>
        <v>0.24093443544806806</v>
      </c>
      <c r="Y132">
        <f>avg!V84/avg!I84</f>
        <v>0.70379149839552879</v>
      </c>
      <c r="Z132">
        <f>avg!W84/avg!I84</f>
        <v>7.7260895745054806E-6</v>
      </c>
      <c r="AA132">
        <f t="shared" si="7"/>
        <v>5.4699323094103219E-2</v>
      </c>
      <c r="AB132">
        <f t="shared" si="8"/>
        <v>2.3806195268972812</v>
      </c>
    </row>
    <row r="133" spans="1:28" x14ac:dyDescent="0.3">
      <c r="A133">
        <v>1048576</v>
      </c>
      <c r="B133">
        <v>3</v>
      </c>
      <c r="C133">
        <v>64</v>
      </c>
      <c r="D133">
        <v>0.2</v>
      </c>
      <c r="E133">
        <v>14</v>
      </c>
      <c r="F133">
        <v>32767</v>
      </c>
      <c r="G133">
        <v>9805905.333333334</v>
      </c>
      <c r="H133">
        <f t="shared" si="6"/>
        <v>32.000976592303232</v>
      </c>
      <c r="I133">
        <v>130396670333.33333</v>
      </c>
      <c r="J133">
        <v>817706240000</v>
      </c>
      <c r="K133">
        <f>avg!I146/avg!H146</f>
        <v>6.2709134973285403</v>
      </c>
      <c r="L133">
        <f>avg!U146/avg!N146</f>
        <v>5.0837754960025574</v>
      </c>
      <c r="M133">
        <f>avg!V146/avg!Q146</f>
        <v>7.047551191584712</v>
      </c>
      <c r="N133">
        <f>avg!W146/avg!R146</f>
        <v>0.47916024479160246</v>
      </c>
      <c r="O133">
        <f>avg!T146/avg!K146</f>
        <v>0.2226746484562919</v>
      </c>
      <c r="P133">
        <f>avg!X133/avg!S133</f>
        <v>10.693830552215253</v>
      </c>
      <c r="Q133">
        <f>avg!K146/avg!H146</f>
        <v>1.6483792322600999E-2</v>
      </c>
      <c r="R133">
        <f>1-Q133-T133-U133</f>
        <v>0.34494182419192693</v>
      </c>
      <c r="S133">
        <f>avg!N146/avg!H146</f>
        <v>0.3374798332976861</v>
      </c>
      <c r="T133">
        <f>avg!Q146/avg!H146</f>
        <v>0.63851218634516727</v>
      </c>
      <c r="U133">
        <f>avg!R146/avg!H146</f>
        <v>6.2197140304791684E-5</v>
      </c>
      <c r="V133">
        <f>avg!T146/avg!I146</f>
        <v>5.8532503473782138E-4</v>
      </c>
      <c r="W133">
        <f>1-V133-Y133-Z133</f>
        <v>0.28181952331275678</v>
      </c>
      <c r="X133">
        <f>avg!U146/avg!I146</f>
        <v>0.27359199064772532</v>
      </c>
      <c r="Y133">
        <f>avg!V146/avg!I146</f>
        <v>0.71759039917154921</v>
      </c>
      <c r="Z133">
        <f>avg!W146/avg!I146</f>
        <v>4.7524809561601652E-6</v>
      </c>
      <c r="AA133">
        <f t="shared" si="7"/>
        <v>8.2275326650314562E-3</v>
      </c>
      <c r="AB133">
        <f t="shared" si="8"/>
        <v>2.5462763925520662</v>
      </c>
    </row>
    <row r="134" spans="1:28" x14ac:dyDescent="0.3">
      <c r="A134">
        <v>1048576</v>
      </c>
      <c r="B134">
        <v>7</v>
      </c>
      <c r="C134">
        <v>512</v>
      </c>
      <c r="D134">
        <v>0.5</v>
      </c>
      <c r="E134">
        <v>11</v>
      </c>
      <c r="F134">
        <v>4095</v>
      </c>
      <c r="G134">
        <v>90534</v>
      </c>
      <c r="H134">
        <f t="shared" si="6"/>
        <v>256.06251526251526</v>
      </c>
      <c r="I134">
        <v>91655885850</v>
      </c>
      <c r="J134">
        <v>553163380550</v>
      </c>
      <c r="K134">
        <f>avg!I144/avg!H144</f>
        <v>6.0352194015699432</v>
      </c>
      <c r="L134">
        <f>avg!U144/avg!N144</f>
        <v>3.1804974358330229</v>
      </c>
      <c r="M134">
        <f>avg!V144/avg!Q144</f>
        <v>8.1620074191791439</v>
      </c>
      <c r="N134">
        <f>avg!W144/avg!R144</f>
        <v>0.45862833884207199</v>
      </c>
      <c r="O134">
        <f>avg!T144/avg!K144</f>
        <v>48.26797370799548</v>
      </c>
      <c r="P134">
        <f>avg!X134/avg!S134</f>
        <v>5.6540793995971255</v>
      </c>
      <c r="Q134">
        <f>avg!K144/avg!H144</f>
        <v>1.6839453196992914E-4</v>
      </c>
      <c r="R134">
        <f>1-Q134-T134-U134</f>
        <v>0.46897377703976439</v>
      </c>
      <c r="S134">
        <f>avg!N144/avg!H144</f>
        <v>0.44729907926584073</v>
      </c>
      <c r="T134">
        <f>avg!Q144/avg!H144</f>
        <v>0.53076548493148412</v>
      </c>
      <c r="U134">
        <f>avg!R144/avg!H144</f>
        <v>9.2343496781554485E-5</v>
      </c>
      <c r="V134">
        <f>avg!T144/avg!I144</f>
        <v>1.3467717245839296E-3</v>
      </c>
      <c r="W134">
        <f>1-V134-Y134-Z134</f>
        <v>0.28084101815549944</v>
      </c>
      <c r="X134">
        <f>avg!U144/avg!I144</f>
        <v>0.23572193154823975</v>
      </c>
      <c r="Y134">
        <f>avg!V144/avg!I144</f>
        <v>0.71780519275373422</v>
      </c>
      <c r="Z134">
        <f>avg!W144/avg!I144</f>
        <v>7.0173661823753562E-6</v>
      </c>
      <c r="AA134">
        <f t="shared" si="7"/>
        <v>4.511908660725969E-2</v>
      </c>
      <c r="AB134">
        <f t="shared" si="8"/>
        <v>2.5559129413079225</v>
      </c>
    </row>
    <row r="135" spans="1:28" x14ac:dyDescent="0.3">
      <c r="A135">
        <v>1048576</v>
      </c>
      <c r="B135">
        <v>7</v>
      </c>
      <c r="C135">
        <v>512</v>
      </c>
      <c r="D135">
        <v>0.35</v>
      </c>
      <c r="E135">
        <v>11</v>
      </c>
      <c r="F135">
        <v>4095</v>
      </c>
      <c r="G135">
        <v>216682.66666666666</v>
      </c>
      <c r="H135">
        <f t="shared" si="6"/>
        <v>256.06251526251526</v>
      </c>
      <c r="I135">
        <v>197196257300</v>
      </c>
      <c r="J135">
        <v>1315303362833.3333</v>
      </c>
      <c r="K135">
        <f>avg!I148/avg!H148</f>
        <v>6.6700219407933625</v>
      </c>
      <c r="L135">
        <f>avg!U148/avg!N148</f>
        <v>4.3017926366530181</v>
      </c>
      <c r="M135">
        <f>avg!V148/avg!Q148</f>
        <v>8.1632613327592853</v>
      </c>
      <c r="N135">
        <f>avg!W148/avg!R148</f>
        <v>0.28227550838757193</v>
      </c>
      <c r="O135">
        <f>avg!T148/avg!K148</f>
        <v>19.587859575521172</v>
      </c>
      <c r="P135">
        <f>avg!X135/avg!S135</f>
        <v>8.9217538642955638</v>
      </c>
      <c r="Q135">
        <f>avg!K148/avg!H148</f>
        <v>1.8647091567628178E-4</v>
      </c>
      <c r="R135">
        <f>1-Q135-T135-U135</f>
        <v>0.40864384278893051</v>
      </c>
      <c r="S135">
        <f>avg!N148/avg!H148</f>
        <v>0.39850415761415164</v>
      </c>
      <c r="T135">
        <f>avg!Q148/avg!H148</f>
        <v>0.59110036939495869</v>
      </c>
      <c r="U135">
        <f>avg!R148/avg!H148</f>
        <v>6.9316900434566886E-5</v>
      </c>
      <c r="V135">
        <f>avg!T148/avg!I148</f>
        <v>5.4760930977558432E-4</v>
      </c>
      <c r="W135">
        <f>1-V135-Y135-Z135</f>
        <v>0.27601753566919868</v>
      </c>
      <c r="X135">
        <f>avg!U148/avg!I148</f>
        <v>0.2570129852820644</v>
      </c>
      <c r="Y135">
        <f>avg!V148/avg!I148</f>
        <v>0.72343192152793023</v>
      </c>
      <c r="Z135">
        <f>avg!W148/avg!I148</f>
        <v>2.9334930954800953E-6</v>
      </c>
      <c r="AA135">
        <f t="shared" si="7"/>
        <v>1.9004550387134278E-2</v>
      </c>
      <c r="AB135">
        <f t="shared" si="8"/>
        <v>2.6209636274520922</v>
      </c>
    </row>
    <row r="136" spans="1:28" x14ac:dyDescent="0.3">
      <c r="A136">
        <v>524288</v>
      </c>
      <c r="B136">
        <v>6</v>
      </c>
      <c r="C136">
        <v>343</v>
      </c>
      <c r="D136">
        <v>0.2</v>
      </c>
      <c r="E136">
        <v>11</v>
      </c>
      <c r="F136">
        <v>4095</v>
      </c>
      <c r="G136">
        <v>951836</v>
      </c>
      <c r="H136">
        <f t="shared" si="6"/>
        <v>128.03125763125763</v>
      </c>
      <c r="I136">
        <v>214354245666.66666</v>
      </c>
      <c r="J136">
        <v>1361700111800</v>
      </c>
      <c r="K136">
        <f>avg!I120/avg!H120</f>
        <v>6.352568886914062</v>
      </c>
      <c r="L136">
        <f>avg!U120/avg!N120</f>
        <v>4.3017812562044631</v>
      </c>
      <c r="M136">
        <f>avg!V120/avg!Q120</f>
        <v>7.6836806018897956</v>
      </c>
      <c r="N136">
        <f>avg!W120/avg!R120</f>
        <v>0.28146879075357356</v>
      </c>
      <c r="O136">
        <f>avg!T120/avg!K120</f>
        <v>1.2154310517797799</v>
      </c>
      <c r="P136">
        <f>avg!X136/avg!S136</f>
        <v>12.564829947495323</v>
      </c>
      <c r="Q136">
        <f>avg!K120/avg!H120</f>
        <v>6.8047450866368586E-4</v>
      </c>
      <c r="R136">
        <f>1-Q136-T136-U136</f>
        <v>0.40061506518297912</v>
      </c>
      <c r="S136">
        <f>avg!N120/avg!H120</f>
        <v>0.39548230548460472</v>
      </c>
      <c r="T136">
        <f>avg!Q120/avg!H120</f>
        <v>0.59867405347730485</v>
      </c>
      <c r="U136">
        <f>avg!R120/avg!H120</f>
        <v>3.0406831052317684E-5</v>
      </c>
      <c r="V136">
        <f>avg!T120/avg!I120</f>
        <v>1.3019455003127168E-4</v>
      </c>
      <c r="W136">
        <f>1-V136-Y136-Z136</f>
        <v>0.27574876843011503</v>
      </c>
      <c r="X136">
        <f>avg!U120/avg!I120</f>
        <v>0.26780951126696773</v>
      </c>
      <c r="Y136">
        <f>avg!V120/avg!I120</f>
        <v>0.72411968975796337</v>
      </c>
      <c r="Z136">
        <f>avg!W120/avg!I120</f>
        <v>1.3472618903156257E-6</v>
      </c>
      <c r="AA136">
        <f t="shared" si="7"/>
        <v>7.9392571631473063E-3</v>
      </c>
      <c r="AB136">
        <f t="shared" si="8"/>
        <v>2.6260124165939192</v>
      </c>
    </row>
    <row r="137" spans="1:28" x14ac:dyDescent="0.3">
      <c r="A137">
        <v>65536</v>
      </c>
      <c r="B137">
        <v>5</v>
      </c>
      <c r="C137">
        <v>216</v>
      </c>
      <c r="D137">
        <v>0.2</v>
      </c>
      <c r="E137">
        <v>9</v>
      </c>
      <c r="F137">
        <v>1023</v>
      </c>
      <c r="G137">
        <v>161638.66666666666</v>
      </c>
      <c r="H137">
        <f t="shared" si="6"/>
        <v>64.062561094819159</v>
      </c>
      <c r="I137">
        <v>9038576033.333334</v>
      </c>
      <c r="J137">
        <v>53978159733.333336</v>
      </c>
      <c r="K137">
        <f>avg!I29/avg!H29</f>
        <v>5.9719760650646148</v>
      </c>
      <c r="L137">
        <f>avg!U29/avg!N29</f>
        <v>4.0279014197058265</v>
      </c>
      <c r="M137">
        <f>avg!V29/avg!Q29</f>
        <v>7.2480987574606717</v>
      </c>
      <c r="N137">
        <f>avg!W29/avg!R29</f>
        <v>0.21133772983360263</v>
      </c>
      <c r="O137">
        <f>avg!T29/avg!K29</f>
        <v>0.751865922842338</v>
      </c>
      <c r="P137">
        <f>avg!X137/avg!S137</f>
        <v>10.668344945338628</v>
      </c>
      <c r="Q137">
        <f>avg!K29/avg!H29</f>
        <v>2.6568381175056843E-3</v>
      </c>
      <c r="R137">
        <f>1-Q137-T137-U137</f>
        <v>0.39973421182077723</v>
      </c>
      <c r="S137">
        <f>avg!N29/avg!H29</f>
        <v>0.37518433075009333</v>
      </c>
      <c r="T137">
        <f>avg!Q29/avg!H29</f>
        <v>0.59752450829450521</v>
      </c>
      <c r="U137">
        <f>avg!R29/avg!H29</f>
        <v>8.4441767211849267E-5</v>
      </c>
      <c r="V137">
        <f>avg!T29/avg!I29</f>
        <v>3.3449331030423321E-4</v>
      </c>
      <c r="W137">
        <f>1-V137-Y137-Z137</f>
        <v>0.27445588684735156</v>
      </c>
      <c r="X137">
        <f>avg!U29/avg!I29</f>
        <v>0.25304949015453404</v>
      </c>
      <c r="Y137">
        <f>avg!V29/avg!I29</f>
        <v>0.72520663159671306</v>
      </c>
      <c r="Z137">
        <f>avg!W29/avg!I29</f>
        <v>2.9882456311379546E-6</v>
      </c>
      <c r="AA137">
        <f t="shared" si="7"/>
        <v>2.140639669281752E-2</v>
      </c>
      <c r="AB137">
        <f t="shared" si="8"/>
        <v>2.6423431463871738</v>
      </c>
    </row>
    <row r="138" spans="1:28" x14ac:dyDescent="0.3">
      <c r="A138">
        <v>65536</v>
      </c>
      <c r="B138">
        <v>3</v>
      </c>
      <c r="C138">
        <v>64</v>
      </c>
      <c r="D138">
        <v>0.2</v>
      </c>
      <c r="E138">
        <v>10</v>
      </c>
      <c r="F138">
        <v>2047</v>
      </c>
      <c r="G138">
        <v>322162.66666666669</v>
      </c>
      <c r="H138">
        <f t="shared" si="6"/>
        <v>32.015632633121641</v>
      </c>
      <c r="I138">
        <v>4609839300</v>
      </c>
      <c r="J138">
        <v>26278557433.333332</v>
      </c>
      <c r="K138">
        <f>avg!I26/avg!H26</f>
        <v>5.7005365530493295</v>
      </c>
      <c r="L138">
        <f>avg!U26/avg!N26</f>
        <v>4.5075314610990533</v>
      </c>
      <c r="M138">
        <f>avg!V26/avg!Q26</f>
        <v>7.006623056933476</v>
      </c>
      <c r="N138">
        <f>avg!W26/avg!R26</f>
        <v>0.19608188421747744</v>
      </c>
      <c r="O138">
        <f>avg!T26/avg!K26</f>
        <v>0.46710374993230303</v>
      </c>
      <c r="P138">
        <f>avg!X138/avg!S138</f>
        <v>10.268399337586823</v>
      </c>
      <c r="Q138">
        <f>avg!K26/avg!H26</f>
        <v>1.1348877172356095E-2</v>
      </c>
      <c r="R138">
        <f>1-Q138-T138-U138</f>
        <v>0.39802913158672004</v>
      </c>
      <c r="S138">
        <f>avg!N26/avg!H26</f>
        <v>0.32865935261561069</v>
      </c>
      <c r="T138">
        <f>avg!Q26/avg!H26</f>
        <v>0.59045774111908844</v>
      </c>
      <c r="U138">
        <f>avg!R26/avg!H26</f>
        <v>1.6425012183541118E-4</v>
      </c>
      <c r="V138">
        <f>avg!T26/avg!I26</f>
        <v>9.2993054871176638E-4</v>
      </c>
      <c r="W138">
        <f>1-V138-Y138-Z138</f>
        <v>0.27332311720515373</v>
      </c>
      <c r="X138">
        <f>avg!U26/avg!I26</f>
        <v>0.25987770767066831</v>
      </c>
      <c r="Y138">
        <f>avg!V26/avg!I26</f>
        <v>0.72574130251946878</v>
      </c>
      <c r="Z138">
        <f>avg!W26/avg!I26</f>
        <v>5.6497266656784759E-6</v>
      </c>
      <c r="AA138">
        <f t="shared" si="7"/>
        <v>1.344540953448542E-2</v>
      </c>
      <c r="AB138">
        <f t="shared" si="8"/>
        <v>2.6552503496245956</v>
      </c>
    </row>
    <row r="139" spans="1:28" x14ac:dyDescent="0.3">
      <c r="A139">
        <v>131072</v>
      </c>
      <c r="B139">
        <v>7</v>
      </c>
      <c r="C139">
        <v>512</v>
      </c>
      <c r="D139">
        <v>0.5</v>
      </c>
      <c r="E139">
        <v>8</v>
      </c>
      <c r="F139">
        <v>511</v>
      </c>
      <c r="G139">
        <v>9150</v>
      </c>
      <c r="H139">
        <f t="shared" si="6"/>
        <v>256.5009784735812</v>
      </c>
      <c r="I139">
        <v>9585800425</v>
      </c>
      <c r="J139">
        <v>52095753525</v>
      </c>
      <c r="K139">
        <f>avg!I54/avg!H54</f>
        <v>5.4346795484217481</v>
      </c>
      <c r="L139">
        <f>avg!U54/avg!N54</f>
        <v>2.403228441924969</v>
      </c>
      <c r="M139">
        <f>avg!V54/avg!Q54</f>
        <v>7.9147045300636121</v>
      </c>
      <c r="N139">
        <f>avg!W54/avg!R54</f>
        <v>0.31686705989110708</v>
      </c>
      <c r="O139">
        <f>avg!T54/avg!K54</f>
        <v>22.106602649723836</v>
      </c>
      <c r="P139">
        <f>avg!X139/avg!S139</f>
        <v>5.8198658671852037</v>
      </c>
      <c r="Q139">
        <f>avg!K54/avg!H54</f>
        <v>1.444897597062167E-4</v>
      </c>
      <c r="R139">
        <f>1-Q139-T139-U139</f>
        <v>0.48737947984140295</v>
      </c>
      <c r="S139">
        <f>avg!N54/avg!H54</f>
        <v>0.43573651284316195</v>
      </c>
      <c r="T139">
        <f>avg!Q54/avg!H54</f>
        <v>0.51233807634796447</v>
      </c>
      <c r="U139">
        <f>avg!R54/avg!H54</f>
        <v>1.3795405092632105E-4</v>
      </c>
      <c r="V139">
        <f>avg!T54/avg!I54</f>
        <v>5.8773984304318592E-4</v>
      </c>
      <c r="W139">
        <f>1-V139-Y139-Z139</f>
        <v>0.2532692409117045</v>
      </c>
      <c r="X139">
        <f>avg!U54/avg!I54</f>
        <v>0.19268373995555907</v>
      </c>
      <c r="Y139">
        <f>avg!V54/avg!I54</f>
        <v>0.74613497588333422</v>
      </c>
      <c r="Z139">
        <f>avg!W54/avg!I54</f>
        <v>8.0433619181439804E-6</v>
      </c>
      <c r="AA139">
        <f t="shared" si="7"/>
        <v>6.0585500956145427E-2</v>
      </c>
      <c r="AB139">
        <f t="shared" si="8"/>
        <v>2.9460149728306488</v>
      </c>
    </row>
    <row r="140" spans="1:28" x14ac:dyDescent="0.3">
      <c r="A140">
        <v>262144</v>
      </c>
      <c r="B140">
        <v>3</v>
      </c>
      <c r="C140">
        <v>64</v>
      </c>
      <c r="D140">
        <v>0.2</v>
      </c>
      <c r="E140">
        <v>12</v>
      </c>
      <c r="F140">
        <v>8191</v>
      </c>
      <c r="G140">
        <v>2184828</v>
      </c>
      <c r="H140">
        <f t="shared" si="6"/>
        <v>32.003906726895373</v>
      </c>
      <c r="I140">
        <v>27107354466.666668</v>
      </c>
      <c r="J140">
        <v>173249305700</v>
      </c>
      <c r="K140">
        <f>avg!I86/avg!H86</f>
        <v>6.3912288420856767</v>
      </c>
      <c r="L140">
        <f>avg!U86/avg!N86</f>
        <v>5.1027814095583333</v>
      </c>
      <c r="M140">
        <f>avg!V86/avg!Q86</f>
        <v>7.0575423572595115</v>
      </c>
      <c r="N140">
        <f>avg!W86/avg!R86</f>
        <v>0.38733552631578949</v>
      </c>
      <c r="O140">
        <f>avg!T86/avg!K86</f>
        <v>0.32824242946262472</v>
      </c>
      <c r="P140">
        <f>avg!X140/avg!S140</f>
        <v>9.4671472368168068</v>
      </c>
      <c r="Q140">
        <f>avg!K86/avg!H86</f>
        <v>1.3876717496078684E-2</v>
      </c>
      <c r="R140">
        <f>1-Q140-T140-U140</f>
        <v>0.30554181560523458</v>
      </c>
      <c r="S140">
        <f>avg!N86/avg!H86</f>
        <v>0.29709434795280909</v>
      </c>
      <c r="T140">
        <f>avg!Q86/avg!H86</f>
        <v>0.680500721283961</v>
      </c>
      <c r="U140">
        <f>avg!R86/avg!H86</f>
        <v>8.0745614725757182E-5</v>
      </c>
      <c r="V140">
        <f>avg!T86/avg!I86</f>
        <v>7.1268414516557183E-4</v>
      </c>
      <c r="W140">
        <f>1-V140-Y140-Z140</f>
        <v>0.24783652932892153</v>
      </c>
      <c r="X140">
        <f>avg!U86/avg!I86</f>
        <v>0.23720125707839995</v>
      </c>
      <c r="Y140">
        <f>avg!V86/avg!I86</f>
        <v>0.75144589299980857</v>
      </c>
      <c r="Z140">
        <f>avg!W86/avg!I86</f>
        <v>4.8935261043300096E-6</v>
      </c>
      <c r="AA140">
        <f t="shared" si="7"/>
        <v>1.0635272250521577E-2</v>
      </c>
      <c r="AB140">
        <f t="shared" si="8"/>
        <v>3.0320223376050879</v>
      </c>
    </row>
    <row r="141" spans="1:28" x14ac:dyDescent="0.3">
      <c r="A141">
        <v>131072</v>
      </c>
      <c r="B141">
        <v>3</v>
      </c>
      <c r="C141">
        <v>64</v>
      </c>
      <c r="D141">
        <v>0.2</v>
      </c>
      <c r="E141">
        <v>11</v>
      </c>
      <c r="F141">
        <v>4095</v>
      </c>
      <c r="G141">
        <v>913132</v>
      </c>
      <c r="H141">
        <f t="shared" si="6"/>
        <v>32.007814407814408</v>
      </c>
      <c r="I141">
        <v>10966608566.666666</v>
      </c>
      <c r="J141">
        <v>71377753833.333328</v>
      </c>
      <c r="K141">
        <f>avg!I56/avg!H56</f>
        <v>6.5086442540028413</v>
      </c>
      <c r="L141">
        <f>avg!U56/avg!N56</f>
        <v>4.7434359274448017</v>
      </c>
      <c r="M141">
        <f>avg!V56/avg!Q56</f>
        <v>7.2636681345825798</v>
      </c>
      <c r="N141">
        <f>avg!W56/avg!R56</f>
        <v>0.30752988994167169</v>
      </c>
      <c r="O141">
        <f>avg!T56/avg!K56</f>
        <v>0.25999518019379769</v>
      </c>
      <c r="P141">
        <f>avg!X141/avg!S141</f>
        <v>12.556164828946452</v>
      </c>
      <c r="Q141">
        <f>avg!K56/avg!H56</f>
        <v>1.3482937692280844E-2</v>
      </c>
      <c r="R141">
        <f>1-Q141-T141-U141</f>
        <v>0.28604280113252994</v>
      </c>
      <c r="S141">
        <f>avg!N56/avg!H56</f>
        <v>0.28026537234815807</v>
      </c>
      <c r="T141">
        <f>avg!Q56/avg!H56</f>
        <v>0.70035909643132255</v>
      </c>
      <c r="U141">
        <f>avg!R56/avg!H56</f>
        <v>1.1516474386671296E-4</v>
      </c>
      <c r="V141">
        <f>avg!T56/avg!I56</f>
        <v>5.3859124543339577E-4</v>
      </c>
      <c r="W141">
        <f>1-V141-Y141-Z141</f>
        <v>0.21785294014213658</v>
      </c>
      <c r="X141">
        <f>avg!U56/avg!I56</f>
        <v>0.20425464728654499</v>
      </c>
      <c r="Y141">
        <f>avg!V56/avg!I56</f>
        <v>0.78160302714111518</v>
      </c>
      <c r="Z141">
        <f>avg!W56/avg!I56</f>
        <v>5.4414713148148637E-6</v>
      </c>
      <c r="AA141">
        <f t="shared" si="7"/>
        <v>1.3598292855591582E-2</v>
      </c>
      <c r="AB141">
        <f t="shared" si="8"/>
        <v>3.5877552381490188</v>
      </c>
    </row>
    <row r="142" spans="1:28" x14ac:dyDescent="0.3">
      <c r="A142">
        <v>524288</v>
      </c>
      <c r="B142">
        <v>7</v>
      </c>
      <c r="C142">
        <v>512</v>
      </c>
      <c r="D142">
        <v>0.2</v>
      </c>
      <c r="E142">
        <v>10</v>
      </c>
      <c r="F142">
        <v>2047</v>
      </c>
      <c r="G142">
        <v>338104</v>
      </c>
      <c r="H142">
        <f t="shared" si="6"/>
        <v>256.12506106497312</v>
      </c>
      <c r="I142">
        <v>266681871533.33334</v>
      </c>
      <c r="J142">
        <v>1867896663300</v>
      </c>
      <c r="K142">
        <f>avg!I121/avg!H121</f>
        <v>7.0042131194003048</v>
      </c>
      <c r="L142">
        <f>avg!U121/avg!N121</f>
        <v>4.7303788029213436</v>
      </c>
      <c r="M142">
        <f>avg!V121/avg!Q121</f>
        <v>8.0006160990081803</v>
      </c>
      <c r="N142">
        <f>avg!W121/avg!R121</f>
        <v>0.45288587078282772</v>
      </c>
      <c r="O142">
        <f>avg!T121/avg!K121</f>
        <v>3.0221193720424382</v>
      </c>
      <c r="P142">
        <f>avg!X142/avg!S142</f>
        <v>10.548245584999867</v>
      </c>
      <c r="Q142">
        <f>avg!K121/avg!H121</f>
        <v>2.0462795747196386E-4</v>
      </c>
      <c r="R142">
        <f>1-Q142-T142-U142</f>
        <v>0.31286261974593166</v>
      </c>
      <c r="S142">
        <f>avg!N121/avg!H121</f>
        <v>0.30872643220910667</v>
      </c>
      <c r="T142">
        <f>avg!Q121/avg!H121</f>
        <v>0.68691657309410614</v>
      </c>
      <c r="U142">
        <f>avg!R121/avg!H121</f>
        <v>1.6179202490187614E-5</v>
      </c>
      <c r="V142">
        <f>avg!T121/avg!I121</f>
        <v>8.8291161875789112E-5</v>
      </c>
      <c r="W142">
        <f>1-V142-Y142-Z142</f>
        <v>0.21527494421966178</v>
      </c>
      <c r="X142">
        <f>avg!U121/avg!I121</f>
        <v>0.20850207524075581</v>
      </c>
      <c r="Y142">
        <f>avg!V121/avg!I121</f>
        <v>0.78463571848635827</v>
      </c>
      <c r="Z142">
        <f>avg!W121/avg!I121</f>
        <v>1.0461321041253058E-6</v>
      </c>
      <c r="AA142">
        <f t="shared" si="7"/>
        <v>6.7728689789059715E-3</v>
      </c>
      <c r="AB142">
        <f t="shared" si="8"/>
        <v>3.6448074406919058</v>
      </c>
    </row>
    <row r="143" spans="1:28" x14ac:dyDescent="0.3">
      <c r="A143">
        <v>131072</v>
      </c>
      <c r="B143">
        <v>7</v>
      </c>
      <c r="C143">
        <v>512</v>
      </c>
      <c r="D143">
        <v>0.35</v>
      </c>
      <c r="E143">
        <v>8</v>
      </c>
      <c r="F143">
        <v>511</v>
      </c>
      <c r="G143">
        <v>19505.333333333332</v>
      </c>
      <c r="H143">
        <f t="shared" si="6"/>
        <v>256.5009784735812</v>
      </c>
      <c r="I143">
        <v>16945024500</v>
      </c>
      <c r="J143">
        <v>105512770100</v>
      </c>
      <c r="K143">
        <f>avg!I58/avg!H58</f>
        <v>6.226769993752443</v>
      </c>
      <c r="L143">
        <f>avg!U58/avg!N58</f>
        <v>3.2614146426422175</v>
      </c>
      <c r="M143">
        <f>avg!V58/avg!Q58</f>
        <v>7.9148152285473587</v>
      </c>
      <c r="N143">
        <f>avg!W58/avg!R58</f>
        <v>0.33251199245065399</v>
      </c>
      <c r="O143">
        <f>avg!T58/avg!K58</f>
        <v>10.692644750099584</v>
      </c>
      <c r="P143">
        <f>avg!X143/avg!S143</f>
        <v>10.285774883725679</v>
      </c>
      <c r="Q143">
        <f>avg!K58/avg!H58</f>
        <v>1.679037603830749E-4</v>
      </c>
      <c r="R143">
        <f>1-Q143-T143-U143</f>
        <v>0.38112666838182108</v>
      </c>
      <c r="S143">
        <f>avg!N58/avg!H58</f>
        <v>0.34602427790332596</v>
      </c>
      <c r="T143">
        <f>avg!Q58/avg!H58</f>
        <v>0.61863038321366837</v>
      </c>
      <c r="U143">
        <f>avg!R58/avg!H58</f>
        <v>7.5044644127444804E-5</v>
      </c>
      <c r="V143">
        <f>avg!T58/avg!I58</f>
        <v>2.8832528964188386E-4</v>
      </c>
      <c r="W143">
        <f>1-V143-Y143-Z143</f>
        <v>0.21336977737699137</v>
      </c>
      <c r="X143">
        <f>avg!U58/avg!I58</f>
        <v>0.18123820982562439</v>
      </c>
      <c r="Y143">
        <f>avg!V58/avg!I58</f>
        <v>0.78633788991954445</v>
      </c>
      <c r="Z143">
        <f>avg!W58/avg!I58</f>
        <v>4.0074138223514741E-6</v>
      </c>
      <c r="AA143">
        <f t="shared" si="7"/>
        <v>3.213156755136698E-2</v>
      </c>
      <c r="AB143">
        <f t="shared" si="8"/>
        <v>3.6853292888345996</v>
      </c>
    </row>
    <row r="144" spans="1:28" x14ac:dyDescent="0.3">
      <c r="A144">
        <v>65536</v>
      </c>
      <c r="B144">
        <v>7</v>
      </c>
      <c r="C144">
        <v>512</v>
      </c>
      <c r="D144">
        <v>0.35</v>
      </c>
      <c r="E144">
        <v>7</v>
      </c>
      <c r="F144">
        <v>255</v>
      </c>
      <c r="G144">
        <v>7580</v>
      </c>
      <c r="H144">
        <f t="shared" si="6"/>
        <v>257.00392156862745</v>
      </c>
      <c r="I144">
        <v>7212967633.333333</v>
      </c>
      <c r="J144">
        <v>41870796900</v>
      </c>
      <c r="K144">
        <f>avg!I28/avg!H28</f>
        <v>5.8049334238659576</v>
      </c>
      <c r="L144">
        <f>avg!U28/avg!N28</f>
        <v>2.7531443074273838</v>
      </c>
      <c r="M144">
        <f>avg!V28/avg!Q28</f>
        <v>8.0379631583012028</v>
      </c>
      <c r="N144">
        <f>avg!W28/avg!R28</f>
        <v>0.26661573720397252</v>
      </c>
      <c r="O144">
        <f>avg!T28/avg!K28</f>
        <v>5.2741569107111657</v>
      </c>
      <c r="P144">
        <f>avg!X144/avg!S144</f>
        <v>12.563201098049451</v>
      </c>
      <c r="Q144">
        <f>avg!K28/avg!H28</f>
        <v>3.9671604608013653E-4</v>
      </c>
      <c r="R144">
        <f>1-Q144-T144-U144</f>
        <v>0.43031323921694742</v>
      </c>
      <c r="S144">
        <f>avg!N28/avg!H28</f>
        <v>0.36192615384396409</v>
      </c>
      <c r="T144">
        <f>avg!Q28/avg!H28</f>
        <v>0.56919325609617677</v>
      </c>
      <c r="U144">
        <f>avg!R28/avg!H28</f>
        <v>9.6788640795647741E-5</v>
      </c>
      <c r="V144">
        <f>avg!T28/avg!I28</f>
        <v>3.6044214864226765E-4</v>
      </c>
      <c r="W144">
        <f>1-V144-Y144-Z144</f>
        <v>0.21148577661773615</v>
      </c>
      <c r="X144">
        <f>avg!U28/avg!I28</f>
        <v>0.17165311940838651</v>
      </c>
      <c r="Y144">
        <f>avg!V28/avg!I28</f>
        <v>0.78814933581229896</v>
      </c>
      <c r="Z144">
        <f>avg!W28/avg!I28</f>
        <v>4.445421322595686E-6</v>
      </c>
      <c r="AA144">
        <f t="shared" si="7"/>
        <v>3.9832657209349642E-2</v>
      </c>
      <c r="AB144">
        <f t="shared" si="8"/>
        <v>3.7267250233895926</v>
      </c>
    </row>
    <row r="145" spans="1:28" x14ac:dyDescent="0.3">
      <c r="A145">
        <v>262144</v>
      </c>
      <c r="B145">
        <v>7</v>
      </c>
      <c r="C145">
        <v>512</v>
      </c>
      <c r="D145">
        <v>0.35</v>
      </c>
      <c r="E145">
        <v>9</v>
      </c>
      <c r="F145">
        <v>1023</v>
      </c>
      <c r="G145">
        <v>49661.333333333336</v>
      </c>
      <c r="H145">
        <f t="shared" si="6"/>
        <v>256.25024437927664</v>
      </c>
      <c r="I145">
        <v>40786512666.666664</v>
      </c>
      <c r="J145">
        <v>267703548200</v>
      </c>
      <c r="K145">
        <f>avg!I88/avg!H88</f>
        <v>6.5635311944378216</v>
      </c>
      <c r="L145">
        <f>avg!U88/avg!N88</f>
        <v>3.61234365464425</v>
      </c>
      <c r="M145">
        <f>avg!V88/avg!Q88</f>
        <v>8.0025537060954974</v>
      </c>
      <c r="N145">
        <f>avg!W88/avg!R88</f>
        <v>0.40327607343840011</v>
      </c>
      <c r="O145">
        <f>avg!T88/avg!K88</f>
        <v>5.5197609242736219</v>
      </c>
      <c r="P145">
        <f>avg!X145/avg!S145</f>
        <v>9.1102579584884129</v>
      </c>
      <c r="Q145">
        <f>avg!K88/avg!H88</f>
        <v>2.8578074559255039E-4</v>
      </c>
      <c r="R145">
        <f>1-Q145-T145-U145</f>
        <v>0.34726280022404127</v>
      </c>
      <c r="S145">
        <f>avg!N88/avg!H88</f>
        <v>0.32761156878509956</v>
      </c>
      <c r="T145">
        <f>avg!Q88/avg!H88</f>
        <v>0.65239608783092995</v>
      </c>
      <c r="U145">
        <f>avg!R88/avg!H88</f>
        <v>5.533119943620578E-5</v>
      </c>
      <c r="V145">
        <f>avg!T88/avg!I88</f>
        <v>2.403342569268693E-4</v>
      </c>
      <c r="W145">
        <f>1-V145-Y145-Z145</f>
        <v>0.20432548715841048</v>
      </c>
      <c r="X145">
        <f>avg!U88/avg!I88</f>
        <v>0.1803062309952603</v>
      </c>
      <c r="Y145">
        <f>avg!V88/avg!I88</f>
        <v>0.79543077892856506</v>
      </c>
      <c r="Z145">
        <f>avg!W88/avg!I88</f>
        <v>3.3996560976474946E-6</v>
      </c>
      <c r="AA145">
        <f t="shared" si="7"/>
        <v>2.4019256163150177E-2</v>
      </c>
      <c r="AB145">
        <f t="shared" si="8"/>
        <v>3.8929591701493389</v>
      </c>
    </row>
    <row r="146" spans="1:28" x14ac:dyDescent="0.3">
      <c r="A146">
        <v>131072</v>
      </c>
      <c r="B146">
        <v>6</v>
      </c>
      <c r="C146">
        <v>343</v>
      </c>
      <c r="D146">
        <v>0.2</v>
      </c>
      <c r="E146">
        <v>9</v>
      </c>
      <c r="F146">
        <v>1023</v>
      </c>
      <c r="G146">
        <v>163284</v>
      </c>
      <c r="H146">
        <f t="shared" si="6"/>
        <v>128.12512218963832</v>
      </c>
      <c r="I146">
        <v>31334839166.666668</v>
      </c>
      <c r="J146">
        <v>203969738600</v>
      </c>
      <c r="K146">
        <f>avg!I60/avg!H60</f>
        <v>6.509359678379286</v>
      </c>
      <c r="L146">
        <f>avg!U60/avg!N60</f>
        <v>3.6923518757746763</v>
      </c>
      <c r="M146">
        <f>avg!V60/avg!Q60</f>
        <v>7.6243777102479386</v>
      </c>
      <c r="N146">
        <f>avg!W60/avg!R60</f>
        <v>0.30761520403049247</v>
      </c>
      <c r="O146">
        <f>avg!T60/avg!K60</f>
        <v>1.6511260912447732</v>
      </c>
      <c r="P146">
        <f>avg!X146/avg!S146</f>
        <v>6.9142600641173031</v>
      </c>
      <c r="Q146">
        <f>avg!K60/avg!H60</f>
        <v>6.5252715115526221E-4</v>
      </c>
      <c r="R146">
        <f>1-Q146-T146-U146</f>
        <v>0.29608645563230512</v>
      </c>
      <c r="S146">
        <f>avg!N60/avg!H60</f>
        <v>0.28692397149956117</v>
      </c>
      <c r="T146">
        <f>avg!Q60/avg!H60</f>
        <v>0.70322068830362328</v>
      </c>
      <c r="U146">
        <f>avg!R60/avg!H60</f>
        <v>4.0328912916339364E-5</v>
      </c>
      <c r="V146">
        <f>avg!T60/avg!I60</f>
        <v>1.6551621937510293E-4</v>
      </c>
      <c r="W146">
        <f>1-V146-Y146-Z146</f>
        <v>0.17615399722175584</v>
      </c>
      <c r="X146">
        <f>avg!U60/avg!I60</f>
        <v>0.16275399067130703</v>
      </c>
      <c r="Y146">
        <f>avg!V60/avg!I60</f>
        <v>0.82367858072060107</v>
      </c>
      <c r="Z146">
        <f>avg!W60/avg!I60</f>
        <v>1.9058382679779212E-6</v>
      </c>
      <c r="AA146">
        <f t="shared" si="7"/>
        <v>1.3400006550448817E-2</v>
      </c>
      <c r="AB146">
        <f t="shared" si="8"/>
        <v>4.6759005967017186</v>
      </c>
    </row>
    <row r="147" spans="1:28" x14ac:dyDescent="0.3">
      <c r="A147">
        <v>1048576</v>
      </c>
      <c r="B147">
        <v>7</v>
      </c>
      <c r="C147">
        <v>512</v>
      </c>
      <c r="D147">
        <v>0.2</v>
      </c>
      <c r="E147">
        <v>11</v>
      </c>
      <c r="F147">
        <v>4095</v>
      </c>
      <c r="G147">
        <v>958536</v>
      </c>
      <c r="H147">
        <f t="shared" si="6"/>
        <v>256.06251526251526</v>
      </c>
      <c r="I147">
        <v>689438423400</v>
      </c>
      <c r="J147">
        <v>5046620688500</v>
      </c>
      <c r="K147">
        <f>avg!I151/avg!H151</f>
        <v>7.3199005410988525</v>
      </c>
      <c r="L147">
        <f>avg!U151/avg!N151</f>
        <v>4.7840669776167566</v>
      </c>
      <c r="M147">
        <f>avg!V151/avg!Q151</f>
        <v>8.1215957936815961</v>
      </c>
      <c r="N147">
        <f>avg!W151/avg!R151</f>
        <v>0.21269603246682667</v>
      </c>
      <c r="O147">
        <f>avg!T151/avg!K151</f>
        <v>5.4158007874441552</v>
      </c>
      <c r="P147">
        <f>avg!X147/avg!S147</f>
        <v>9.1234788438264278</v>
      </c>
      <c r="Q147">
        <f>avg!K151/avg!H151</f>
        <v>2.047421426033622E-4</v>
      </c>
      <c r="R147">
        <f>1-Q147-T147-U147</f>
        <v>0.24682067456313658</v>
      </c>
      <c r="S147">
        <f>avg!N151/avg!H151</f>
        <v>0.24394125560520169</v>
      </c>
      <c r="T147">
        <f>avg!Q151/avg!H151</f>
        <v>0.75294833821413032</v>
      </c>
      <c r="U147">
        <f>avg!R151/avg!H151</f>
        <v>2.6245080129757485E-5</v>
      </c>
      <c r="V147">
        <f>avg!T151/avg!I151</f>
        <v>1.5148329555961899E-4</v>
      </c>
      <c r="W147">
        <f>1-V147-Y147-Z147</f>
        <v>0.16443448281295708</v>
      </c>
      <c r="X147">
        <f>avg!U151/avg!I151</f>
        <v>0.15943267246142401</v>
      </c>
      <c r="Y147">
        <f>avg!V151/avg!I151</f>
        <v>0.8354132712821577</v>
      </c>
      <c r="Z147">
        <f>avg!W151/avg!I151</f>
        <v>7.6260932563646147E-7</v>
      </c>
      <c r="AA147">
        <f t="shared" si="7"/>
        <v>5.0018103515330758E-3</v>
      </c>
      <c r="AB147">
        <f t="shared" si="8"/>
        <v>5.0805236042395903</v>
      </c>
    </row>
    <row r="148" spans="1:28" x14ac:dyDescent="0.3">
      <c r="A148">
        <v>262144</v>
      </c>
      <c r="B148">
        <v>7</v>
      </c>
      <c r="C148">
        <v>512</v>
      </c>
      <c r="D148">
        <v>0.2</v>
      </c>
      <c r="E148">
        <v>9</v>
      </c>
      <c r="F148">
        <v>1023</v>
      </c>
      <c r="G148">
        <v>165002.66666666666</v>
      </c>
      <c r="H148">
        <f t="shared" si="6"/>
        <v>256.25024437927664</v>
      </c>
      <c r="I148">
        <v>108115478633.33333</v>
      </c>
      <c r="J148">
        <v>789040818633.33337</v>
      </c>
      <c r="K148">
        <f>avg!I91/avg!H91</f>
        <v>7.2981300051338112</v>
      </c>
      <c r="L148">
        <f>avg!U91/avg!N91</f>
        <v>4.021467679940308</v>
      </c>
      <c r="M148">
        <f>avg!V91/avg!Q91</f>
        <v>7.9576981049188449</v>
      </c>
      <c r="N148">
        <f>avg!W91/avg!R91</f>
        <v>0.36452910394554527</v>
      </c>
      <c r="O148">
        <f>avg!T91/avg!K91</f>
        <v>3.3237551722869387</v>
      </c>
      <c r="P148">
        <f>avg!X148/avg!S148</f>
        <v>12.501450081744162</v>
      </c>
      <c r="Q148">
        <f>avg!K91/avg!H91</f>
        <v>1.927590165327912E-4</v>
      </c>
      <c r="R148">
        <f>1-Q148-T148-U148</f>
        <v>0.1738913527552654</v>
      </c>
      <c r="S148">
        <f>avg!N91/avg!H91</f>
        <v>0.16543662380968377</v>
      </c>
      <c r="T148">
        <f>avg!Q91/avg!H91</f>
        <v>0.8258929692157595</v>
      </c>
      <c r="U148">
        <f>avg!R91/avg!H91</f>
        <v>2.2919012442276076E-5</v>
      </c>
      <c r="V148">
        <f>avg!T91/avg!I91</f>
        <v>8.7787389064750067E-5</v>
      </c>
      <c r="W148">
        <f>1-V148-Y148-Z148</f>
        <v>9.9378066738232906E-2</v>
      </c>
      <c r="X148">
        <f>avg!U91/avg!I91</f>
        <v>9.1160069121965198E-2</v>
      </c>
      <c r="Y148">
        <f>avg!V91/avg!I91</f>
        <v>0.90053300110725376</v>
      </c>
      <c r="Z148">
        <f>avg!W91/avg!I91</f>
        <v>1.1447654485495178E-6</v>
      </c>
      <c r="AA148">
        <f t="shared" si="7"/>
        <v>8.2179976162677082E-3</v>
      </c>
      <c r="AB148">
        <f t="shared" si="8"/>
        <v>9.0616876607119501</v>
      </c>
    </row>
    <row r="149" spans="1:28" x14ac:dyDescent="0.3">
      <c r="A149">
        <v>65536</v>
      </c>
      <c r="B149">
        <v>6</v>
      </c>
      <c r="C149">
        <v>343</v>
      </c>
      <c r="D149">
        <v>0.2</v>
      </c>
      <c r="E149">
        <v>8</v>
      </c>
      <c r="F149">
        <v>511</v>
      </c>
      <c r="G149">
        <v>56110.666666666664</v>
      </c>
      <c r="H149">
        <f t="shared" si="6"/>
        <v>128.2504892367906</v>
      </c>
      <c r="I149">
        <v>9743496533.333334</v>
      </c>
      <c r="J149">
        <v>62716126633.333336</v>
      </c>
      <c r="K149">
        <f>avg!I30/avg!H30</f>
        <v>6.4367166775064897</v>
      </c>
      <c r="L149">
        <f>avg!U30/avg!N30</f>
        <v>2.0450371689436149</v>
      </c>
      <c r="M149">
        <f>avg!V30/avg!Q30</f>
        <v>7.5935084820080192</v>
      </c>
      <c r="N149">
        <f>avg!W30/avg!R30</f>
        <v>0.19969415063081433</v>
      </c>
      <c r="O149">
        <f>avg!T30/avg!K30</f>
        <v>2.8029601771580359</v>
      </c>
      <c r="P149">
        <f>avg!X149/avg!S149</f>
        <v>10.519424500004332</v>
      </c>
      <c r="Q149">
        <f>avg!K30/avg!H30</f>
        <v>6.3494317933011977E-4</v>
      </c>
      <c r="R149">
        <f>1-Q149-T149-U149</f>
        <v>0.22437876647813665</v>
      </c>
      <c r="S149">
        <f>avg!N30/avg!H30</f>
        <v>0.19861727529873463</v>
      </c>
      <c r="T149">
        <f>avg!Q30/avg!H30</f>
        <v>0.77490575457210265</v>
      </c>
      <c r="U149">
        <f>avg!R30/avg!H30</f>
        <v>8.0535770430612279E-5</v>
      </c>
      <c r="V149">
        <f>avg!T30/avg!I30</f>
        <v>2.7649507281247656E-4</v>
      </c>
      <c r="W149">
        <f>1-V149-Y149-Z149</f>
        <v>8.5550985390121959E-2</v>
      </c>
      <c r="X149">
        <f>avg!U30/avg!I30</f>
        <v>6.3103555854748014E-2</v>
      </c>
      <c r="Y149">
        <f>avg!V30/avg!I30</f>
        <v>0.91417002097715105</v>
      </c>
      <c r="Z149">
        <f>avg!W30/avg!I30</f>
        <v>2.4985599145198912E-6</v>
      </c>
      <c r="AA149">
        <f t="shared" si="7"/>
        <v>2.2447429535373944E-2</v>
      </c>
      <c r="AB149">
        <f t="shared" si="8"/>
        <v>10.685674943525601</v>
      </c>
    </row>
    <row r="150" spans="1:28" x14ac:dyDescent="0.3">
      <c r="A150">
        <v>131072</v>
      </c>
      <c r="B150">
        <v>7</v>
      </c>
      <c r="C150">
        <v>512</v>
      </c>
      <c r="D150">
        <v>0.2</v>
      </c>
      <c r="E150">
        <v>8</v>
      </c>
      <c r="F150">
        <v>511</v>
      </c>
      <c r="G150">
        <v>56325.333333333336</v>
      </c>
      <c r="H150">
        <f t="shared" si="6"/>
        <v>256.5009784735812</v>
      </c>
      <c r="I150">
        <v>34727042866.666664</v>
      </c>
      <c r="J150">
        <v>251078806166.66666</v>
      </c>
      <c r="K150">
        <f>avg!I61/avg!H61</f>
        <v>7.230065834591084</v>
      </c>
      <c r="L150">
        <f>avg!U61/avg!N61</f>
        <v>2.1529419361795123</v>
      </c>
      <c r="M150">
        <f>avg!V61/avg!Q61</f>
        <v>7.8506953577317944</v>
      </c>
      <c r="N150">
        <f>avg!W61/avg!R61</f>
        <v>0.27709089228351552</v>
      </c>
      <c r="O150">
        <f>avg!T61/avg!K61</f>
        <v>3.4502426042660712</v>
      </c>
      <c r="P150">
        <f>avg!X150/avg!S150</f>
        <v>10.816960661554536</v>
      </c>
      <c r="Q150">
        <f>avg!K61/avg!H61</f>
        <v>2.8566018049453157E-4</v>
      </c>
      <c r="R150">
        <f>1-Q150-T150-U150</f>
        <v>0.12081991018093068</v>
      </c>
      <c r="S150">
        <f>avg!N61/avg!H61</f>
        <v>0.11252283554163764</v>
      </c>
      <c r="T150">
        <f>avg!Q61/avg!H61</f>
        <v>0.878852895244984</v>
      </c>
      <c r="U150">
        <f>avg!R61/avg!H61</f>
        <v>4.1534393590740965E-5</v>
      </c>
      <c r="V150">
        <f>avg!T61/avg!I61</f>
        <v>1.3631921861197155E-4</v>
      </c>
      <c r="W150">
        <f>1-V150-Y150-Z150</f>
        <v>4.5568379537931157E-2</v>
      </c>
      <c r="X150">
        <f>avg!U61/avg!I61</f>
        <v>3.3506628702658782E-2</v>
      </c>
      <c r="Y150">
        <f>avg!V61/avg!I61</f>
        <v>0.95429370944575487</v>
      </c>
      <c r="Z150">
        <f>avg!W61/avg!I61</f>
        <v>1.5917977019588307E-6</v>
      </c>
      <c r="AA150">
        <f t="shared" si="7"/>
        <v>1.2061750835272375E-2</v>
      </c>
      <c r="AB150">
        <f t="shared" si="8"/>
        <v>20.942015474818454</v>
      </c>
    </row>
    <row r="151" spans="1:28" x14ac:dyDescent="0.3">
      <c r="A151">
        <v>65536</v>
      </c>
      <c r="B151">
        <v>7</v>
      </c>
      <c r="C151">
        <v>512</v>
      </c>
      <c r="D151">
        <v>0.2</v>
      </c>
      <c r="E151">
        <v>7</v>
      </c>
      <c r="F151">
        <v>255</v>
      </c>
      <c r="G151">
        <v>15781.333333333334</v>
      </c>
      <c r="H151">
        <f t="shared" si="6"/>
        <v>257.00392156862745</v>
      </c>
      <c r="I151">
        <v>10202870800</v>
      </c>
      <c r="J151">
        <v>69069033200</v>
      </c>
      <c r="K151">
        <f>avg!I31/avg!H31</f>
        <v>6.7695685414344364</v>
      </c>
      <c r="L151">
        <f>avg!U31/avg!N31</f>
        <v>0.51338723973552935</v>
      </c>
      <c r="M151">
        <f>avg!V31/avg!Q31</f>
        <v>7.7791010294434288</v>
      </c>
      <c r="N151">
        <f>avg!W31/avg!R31</f>
        <v>0.23791925901670022</v>
      </c>
      <c r="O151">
        <f>avg!T31/avg!K31</f>
        <v>8.4529540926279836</v>
      </c>
      <c r="P151">
        <f>avg!X151/avg!S151</f>
        <v>12.715327235644637</v>
      </c>
      <c r="Q151">
        <f>avg!K31/avg!H31</f>
        <v>1.6069333479488276E-4</v>
      </c>
      <c r="R151">
        <f>1-Q151-T151-U151</f>
        <v>0.16097103768088489</v>
      </c>
      <c r="S151">
        <f>avg!N31/avg!H31</f>
        <v>0.1421401873153845</v>
      </c>
      <c r="T151">
        <f>avg!Q31/avg!H31</f>
        <v>0.83879842916368208</v>
      </c>
      <c r="U151">
        <f>avg!R31/avg!H31</f>
        <v>6.9839820638193975E-5</v>
      </c>
      <c r="V151">
        <f>avg!T31/avg!I31</f>
        <v>2.0065287376861676E-4</v>
      </c>
      <c r="W151">
        <f>1-V151-Y151-Z151</f>
        <v>3.5910097744546642E-2</v>
      </c>
      <c r="X151">
        <f>avg!U31/avg!I31</f>
        <v>1.077955825023285E-2</v>
      </c>
      <c r="Y151">
        <f>avg!V31/avg!I31</f>
        <v>0.96388679483258399</v>
      </c>
      <c r="Z151">
        <f>avg!W31/avg!I31</f>
        <v>2.4545491007876646E-6</v>
      </c>
      <c r="AA151">
        <f t="shared" si="7"/>
        <v>2.5130539494313792E-2</v>
      </c>
      <c r="AB151">
        <f t="shared" si="8"/>
        <v>26.841664472466139</v>
      </c>
    </row>
  </sheetData>
  <autoFilter ref="A1:Z151" xr:uid="{15A38419-2B94-417C-B249-938BBFCA0CE2}">
    <sortState xmlns:xlrd2="http://schemas.microsoft.com/office/spreadsheetml/2017/richdata2" ref="A2:Z151">
      <sortCondition ref="Y1:Y15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40790-FB30-44BF-AA70-11DBDEB836AC}">
  <dimension ref="A17:U121"/>
  <sheetViews>
    <sheetView topLeftCell="A99" workbookViewId="0">
      <selection activeCell="N142" sqref="N142"/>
    </sheetView>
  </sheetViews>
  <sheetFormatPr defaultRowHeight="14.4" x14ac:dyDescent="0.3"/>
  <sheetData>
    <row r="17" spans="1:21" x14ac:dyDescent="0.3">
      <c r="K17" t="s">
        <v>68</v>
      </c>
    </row>
    <row r="21" spans="1:21" x14ac:dyDescent="0.3">
      <c r="A21" s="7"/>
      <c r="B21" s="7"/>
      <c r="C21" s="7"/>
      <c r="D21" s="7"/>
      <c r="E21" s="7"/>
      <c r="F21" s="7"/>
      <c r="G21" s="7"/>
      <c r="H21" s="7"/>
      <c r="I21" s="7"/>
      <c r="J21" s="7"/>
      <c r="K21" s="7"/>
      <c r="L21" s="7"/>
      <c r="M21" s="7"/>
      <c r="N21" s="7"/>
      <c r="O21" s="7"/>
      <c r="P21" s="7"/>
      <c r="Q21" s="7"/>
      <c r="R21" s="7"/>
      <c r="S21" s="7"/>
      <c r="T21" s="7"/>
      <c r="U21" s="7"/>
    </row>
    <row r="22" spans="1:21" x14ac:dyDescent="0.3">
      <c r="A22" s="7"/>
      <c r="B22" s="7"/>
      <c r="C22" s="7"/>
      <c r="D22" s="7"/>
      <c r="E22" s="7"/>
      <c r="F22" s="7"/>
      <c r="G22" s="7"/>
      <c r="H22" s="7"/>
      <c r="I22" s="7"/>
      <c r="J22" s="7"/>
      <c r="K22" s="7"/>
      <c r="L22" s="7"/>
      <c r="M22" s="7"/>
      <c r="N22" s="7"/>
      <c r="O22" s="7"/>
      <c r="P22" s="7"/>
      <c r="Q22" s="7"/>
      <c r="R22" s="7"/>
      <c r="S22" s="7"/>
      <c r="T22" s="7"/>
      <c r="U22" s="7"/>
    </row>
    <row r="23" spans="1:21" x14ac:dyDescent="0.3">
      <c r="A23" s="7"/>
      <c r="B23" s="7"/>
      <c r="C23" s="7"/>
      <c r="D23" s="7"/>
      <c r="E23" s="7"/>
      <c r="F23" s="7"/>
      <c r="G23" s="7"/>
      <c r="H23" s="7"/>
      <c r="I23" s="7"/>
      <c r="J23" s="7"/>
      <c r="K23" s="7"/>
      <c r="L23" s="7"/>
      <c r="M23" s="7"/>
      <c r="N23" s="7"/>
      <c r="O23" s="7"/>
      <c r="P23" s="7"/>
      <c r="Q23" s="7"/>
      <c r="R23" s="7"/>
      <c r="S23" s="7"/>
      <c r="T23" s="7"/>
      <c r="U23" s="7"/>
    </row>
    <row r="24" spans="1:21" x14ac:dyDescent="0.3">
      <c r="A24" s="7"/>
      <c r="B24" s="7"/>
      <c r="C24" s="7"/>
      <c r="D24" s="7"/>
      <c r="E24" s="7"/>
      <c r="F24" s="7"/>
      <c r="G24" s="7"/>
      <c r="H24" s="7"/>
      <c r="I24" s="7"/>
      <c r="J24" s="7"/>
      <c r="K24" s="7"/>
      <c r="L24" s="7"/>
      <c r="M24" s="7"/>
      <c r="N24" s="7"/>
      <c r="O24" s="7"/>
      <c r="P24" s="7"/>
      <c r="Q24" s="7"/>
      <c r="R24" s="7"/>
      <c r="S24" s="7"/>
      <c r="T24" s="7"/>
      <c r="U24" s="7"/>
    </row>
    <row r="25" spans="1:21" x14ac:dyDescent="0.3">
      <c r="A25" s="7"/>
      <c r="B25" s="7"/>
      <c r="C25" s="7"/>
      <c r="D25" s="7"/>
      <c r="E25" s="7"/>
      <c r="F25" s="7"/>
      <c r="G25" s="7"/>
      <c r="H25" s="7"/>
      <c r="I25" s="7"/>
      <c r="J25" s="7"/>
      <c r="K25" s="7"/>
      <c r="L25" s="7"/>
      <c r="M25" s="7"/>
      <c r="N25" s="7"/>
      <c r="O25" s="7"/>
      <c r="P25" s="7"/>
      <c r="Q25" s="7"/>
      <c r="R25" s="7"/>
      <c r="S25" s="7"/>
      <c r="T25" s="7"/>
      <c r="U25" s="7"/>
    </row>
    <row r="26" spans="1:21" x14ac:dyDescent="0.3">
      <c r="A26" s="7"/>
      <c r="B26" s="7"/>
      <c r="C26" s="7"/>
      <c r="D26" s="7"/>
      <c r="E26" s="7"/>
      <c r="F26" s="7"/>
      <c r="G26" s="7"/>
      <c r="H26" s="7"/>
      <c r="I26" s="7"/>
      <c r="J26" s="7"/>
      <c r="K26" s="7"/>
      <c r="L26" s="7"/>
      <c r="M26" s="7"/>
      <c r="N26" s="7"/>
      <c r="O26" s="7"/>
      <c r="P26" s="7"/>
      <c r="Q26" s="7"/>
      <c r="R26" s="7"/>
      <c r="S26" s="7"/>
      <c r="T26" s="7"/>
      <c r="U26" s="7"/>
    </row>
    <row r="27" spans="1:21" x14ac:dyDescent="0.3">
      <c r="A27" s="7"/>
      <c r="B27" s="7"/>
      <c r="C27" s="7"/>
      <c r="D27" s="7"/>
      <c r="E27" s="7"/>
      <c r="F27" s="7"/>
      <c r="G27" s="7"/>
      <c r="H27" s="7"/>
      <c r="I27" s="7"/>
      <c r="J27" s="7"/>
      <c r="K27" s="7"/>
      <c r="L27" s="7"/>
      <c r="M27" s="7"/>
      <c r="N27" s="7"/>
      <c r="O27" s="7"/>
      <c r="P27" s="7"/>
      <c r="Q27" s="7"/>
      <c r="R27" s="7"/>
      <c r="S27" s="7"/>
      <c r="T27" s="7"/>
      <c r="U27" s="7"/>
    </row>
    <row r="28" spans="1:21" x14ac:dyDescent="0.3">
      <c r="A28" s="7"/>
      <c r="B28" s="7"/>
      <c r="C28" s="7"/>
      <c r="D28" s="7"/>
      <c r="E28" s="7"/>
      <c r="F28" s="7"/>
      <c r="G28" s="7"/>
      <c r="H28" s="7"/>
      <c r="I28" s="7"/>
      <c r="J28" s="7"/>
      <c r="K28" s="7"/>
      <c r="L28" s="7"/>
      <c r="M28" s="7"/>
      <c r="N28" s="7"/>
      <c r="O28" s="7"/>
      <c r="P28" s="7"/>
      <c r="Q28" s="7"/>
      <c r="R28" s="7"/>
      <c r="S28" s="7"/>
      <c r="T28" s="7"/>
      <c r="U28" s="7"/>
    </row>
    <row r="29" spans="1:21" x14ac:dyDescent="0.3">
      <c r="A29" s="7"/>
      <c r="B29" s="7"/>
      <c r="C29" s="7"/>
      <c r="D29" s="7"/>
      <c r="E29" s="7"/>
      <c r="F29" s="7"/>
      <c r="G29" s="7"/>
      <c r="H29" s="7"/>
      <c r="I29" s="7"/>
      <c r="J29" s="7"/>
      <c r="K29" s="7"/>
      <c r="L29" s="7"/>
      <c r="M29" s="7"/>
      <c r="N29" s="7"/>
      <c r="O29" s="7"/>
      <c r="P29" s="7"/>
      <c r="Q29" s="7"/>
      <c r="R29" s="7"/>
      <c r="S29" s="7"/>
      <c r="T29" s="7"/>
      <c r="U29" s="7"/>
    </row>
    <row r="30" spans="1:21" x14ac:dyDescent="0.3">
      <c r="A30" s="7"/>
      <c r="B30" s="7"/>
      <c r="C30" s="7"/>
      <c r="D30" s="7"/>
      <c r="E30" s="7"/>
      <c r="F30" s="7"/>
      <c r="G30" s="7"/>
      <c r="H30" s="7"/>
      <c r="I30" s="7"/>
      <c r="J30" s="7"/>
      <c r="K30" s="7"/>
      <c r="L30" s="7"/>
      <c r="M30" s="7"/>
      <c r="N30" s="7"/>
      <c r="O30" s="7"/>
      <c r="P30" s="7"/>
      <c r="Q30" s="7"/>
      <c r="R30" s="7"/>
      <c r="S30" s="7"/>
      <c r="T30" s="7"/>
      <c r="U30" s="7"/>
    </row>
    <row r="31" spans="1:21" x14ac:dyDescent="0.3">
      <c r="A31" s="7"/>
      <c r="B31" s="7"/>
      <c r="C31" s="7"/>
      <c r="D31" s="7"/>
      <c r="E31" s="7"/>
      <c r="F31" s="7"/>
      <c r="G31" s="7"/>
      <c r="H31" s="7"/>
      <c r="I31" s="7"/>
      <c r="J31" s="7"/>
      <c r="K31" s="7"/>
      <c r="L31" s="7"/>
      <c r="M31" s="7"/>
      <c r="N31" s="7"/>
      <c r="O31" s="7"/>
      <c r="P31" s="7"/>
      <c r="Q31" s="7"/>
      <c r="R31" s="7"/>
      <c r="S31" s="7"/>
      <c r="T31" s="7"/>
      <c r="U31" s="7"/>
    </row>
    <row r="32" spans="1:21" x14ac:dyDescent="0.3">
      <c r="A32" s="7"/>
      <c r="B32" s="7"/>
      <c r="C32" s="7"/>
      <c r="D32" s="7"/>
      <c r="E32" s="7"/>
      <c r="F32" s="7"/>
      <c r="G32" s="7"/>
      <c r="H32" s="7"/>
      <c r="I32" s="7"/>
      <c r="J32" s="7"/>
      <c r="K32" s="7"/>
      <c r="L32" s="7"/>
      <c r="M32" s="7"/>
      <c r="N32" s="7"/>
      <c r="O32" s="7"/>
      <c r="P32" s="7"/>
      <c r="Q32" s="7"/>
      <c r="R32" s="7"/>
      <c r="S32" s="7"/>
      <c r="T32" s="7"/>
      <c r="U32" s="7"/>
    </row>
    <row r="33" spans="1:21" x14ac:dyDescent="0.3">
      <c r="A33" s="7"/>
      <c r="B33" s="7"/>
      <c r="C33" s="7"/>
      <c r="D33" s="7"/>
      <c r="E33" s="7"/>
      <c r="F33" s="7"/>
      <c r="G33" s="7"/>
      <c r="H33" s="7"/>
      <c r="I33" s="7"/>
      <c r="J33" s="7"/>
      <c r="K33" s="7"/>
      <c r="L33" s="7"/>
      <c r="M33" s="7"/>
      <c r="N33" s="7"/>
      <c r="O33" s="7"/>
      <c r="P33" s="7"/>
      <c r="Q33" s="7"/>
      <c r="R33" s="7"/>
      <c r="S33" s="7"/>
      <c r="T33" s="7"/>
      <c r="U33" s="7"/>
    </row>
    <row r="34" spans="1:21" x14ac:dyDescent="0.3">
      <c r="A34" s="7"/>
      <c r="B34" s="7"/>
      <c r="C34" s="7"/>
      <c r="D34" s="7"/>
      <c r="E34" s="7"/>
      <c r="F34" s="7"/>
      <c r="G34" s="7"/>
      <c r="H34" s="7"/>
      <c r="I34" s="7"/>
      <c r="J34" s="7"/>
      <c r="K34" s="7"/>
      <c r="L34" s="7"/>
      <c r="M34" s="7"/>
      <c r="N34" s="7"/>
      <c r="O34" s="7"/>
      <c r="P34" s="7"/>
      <c r="Q34" s="7"/>
      <c r="R34" s="7"/>
      <c r="S34" s="7"/>
      <c r="T34" s="7"/>
      <c r="U34" s="7"/>
    </row>
    <row r="35" spans="1:21" x14ac:dyDescent="0.3">
      <c r="A35" s="7"/>
      <c r="B35" s="7"/>
      <c r="C35" s="7"/>
      <c r="D35" s="7"/>
      <c r="E35" s="7"/>
      <c r="F35" s="7"/>
      <c r="G35" s="7"/>
      <c r="H35" s="7"/>
      <c r="I35" s="7"/>
      <c r="J35" s="7"/>
      <c r="K35" s="7"/>
      <c r="L35" s="7"/>
      <c r="M35" s="7"/>
      <c r="N35" s="7"/>
      <c r="O35" s="7"/>
      <c r="P35" s="7"/>
      <c r="Q35" s="7"/>
      <c r="R35" s="7"/>
      <c r="S35" s="7"/>
      <c r="T35" s="7"/>
      <c r="U35" s="7"/>
    </row>
    <row r="36" spans="1:21" x14ac:dyDescent="0.3">
      <c r="A36" s="7"/>
      <c r="B36" s="7"/>
      <c r="C36" s="7"/>
      <c r="D36" s="7"/>
      <c r="E36" s="7"/>
      <c r="F36" s="7"/>
      <c r="G36" s="7"/>
      <c r="H36" s="7"/>
      <c r="I36" s="7"/>
      <c r="J36" s="7"/>
      <c r="K36" s="7"/>
      <c r="L36" s="7"/>
      <c r="M36" s="7"/>
      <c r="N36" s="7"/>
      <c r="O36" s="7"/>
      <c r="P36" s="7"/>
      <c r="Q36" s="7"/>
      <c r="R36" s="7"/>
      <c r="S36" s="7"/>
      <c r="T36" s="7"/>
      <c r="U36" s="7"/>
    </row>
    <row r="37" spans="1:21" x14ac:dyDescent="0.3">
      <c r="A37" s="7" t="s">
        <v>60</v>
      </c>
      <c r="B37" s="7"/>
      <c r="C37" s="7"/>
      <c r="D37" s="7"/>
      <c r="E37" s="7"/>
      <c r="F37" s="7"/>
      <c r="G37" s="7"/>
      <c r="H37" s="7"/>
      <c r="I37" s="7"/>
      <c r="J37" s="7"/>
      <c r="K37" s="7"/>
      <c r="L37" s="7"/>
      <c r="M37" s="7"/>
      <c r="N37" s="7"/>
      <c r="O37" s="7"/>
      <c r="P37" s="7"/>
      <c r="Q37" s="7"/>
      <c r="R37" s="7"/>
      <c r="S37" s="7"/>
      <c r="T37" s="7"/>
      <c r="U37" s="7" t="s">
        <v>62</v>
      </c>
    </row>
    <row r="38" spans="1:21" x14ac:dyDescent="0.3">
      <c r="A38" s="7" t="s">
        <v>61</v>
      </c>
      <c r="B38" s="7"/>
      <c r="C38" s="7"/>
      <c r="D38" s="7"/>
      <c r="E38" s="7"/>
      <c r="F38" s="7"/>
      <c r="G38" s="7"/>
      <c r="H38" s="7"/>
      <c r="I38" s="7"/>
      <c r="J38" s="7"/>
      <c r="K38" s="7"/>
      <c r="L38" s="7"/>
      <c r="M38" s="7"/>
      <c r="N38" s="7"/>
      <c r="O38" s="7"/>
      <c r="P38" s="7"/>
      <c r="Q38" s="7"/>
      <c r="R38" s="7"/>
      <c r="S38" s="7"/>
      <c r="T38" s="7"/>
      <c r="U38" s="7" t="s">
        <v>64</v>
      </c>
    </row>
    <row r="39" spans="1:21" x14ac:dyDescent="0.3">
      <c r="A39" s="7"/>
      <c r="B39" s="7"/>
      <c r="C39" s="7"/>
      <c r="D39" s="7"/>
      <c r="E39" s="7"/>
      <c r="F39" s="7"/>
      <c r="G39" s="7"/>
      <c r="H39" s="7"/>
      <c r="I39" s="7"/>
      <c r="J39" s="7"/>
      <c r="K39" s="7"/>
      <c r="L39" s="7"/>
      <c r="M39" s="7"/>
      <c r="N39" s="7"/>
      <c r="O39" s="7"/>
      <c r="P39" s="7"/>
      <c r="Q39" s="7"/>
      <c r="R39" s="7"/>
      <c r="S39" s="7"/>
      <c r="T39" s="7"/>
      <c r="U39" s="7" t="s">
        <v>63</v>
      </c>
    </row>
    <row r="40" spans="1:21" x14ac:dyDescent="0.3">
      <c r="A40" s="7"/>
      <c r="B40" s="7"/>
      <c r="C40" s="7"/>
      <c r="D40" s="7"/>
      <c r="E40" s="7"/>
      <c r="F40" s="7"/>
      <c r="G40" s="7"/>
      <c r="H40" s="7"/>
      <c r="I40" s="7"/>
      <c r="J40" s="7"/>
      <c r="K40" s="7"/>
      <c r="L40" s="7"/>
      <c r="M40" s="7"/>
      <c r="N40" s="7"/>
      <c r="O40" s="7"/>
      <c r="P40" s="7"/>
      <c r="Q40" s="7"/>
      <c r="R40" s="7"/>
      <c r="S40" s="7"/>
      <c r="T40" s="7"/>
      <c r="U40" s="7"/>
    </row>
    <row r="41" spans="1:21" x14ac:dyDescent="0.3">
      <c r="A41" s="7"/>
      <c r="B41" s="7"/>
      <c r="C41" s="7"/>
      <c r="D41" s="7"/>
      <c r="E41" s="7"/>
      <c r="F41" s="7"/>
      <c r="G41" s="7"/>
      <c r="H41" s="7"/>
      <c r="I41" s="7"/>
      <c r="J41" s="7"/>
      <c r="K41" s="7"/>
      <c r="L41" s="7"/>
      <c r="M41" s="7"/>
      <c r="N41" s="7"/>
      <c r="O41" s="7"/>
      <c r="P41" s="7"/>
      <c r="Q41" s="7"/>
      <c r="R41" s="7"/>
      <c r="S41" s="7"/>
      <c r="T41" s="7"/>
      <c r="U41" s="7"/>
    </row>
    <row r="42" spans="1:21" x14ac:dyDescent="0.3">
      <c r="A42" s="7"/>
      <c r="B42" s="7"/>
      <c r="C42" s="7"/>
      <c r="D42" s="7"/>
      <c r="E42" s="7"/>
      <c r="F42" s="7"/>
      <c r="G42" s="7"/>
      <c r="H42" s="7"/>
      <c r="I42" s="7"/>
      <c r="J42" s="7"/>
      <c r="K42" s="7"/>
      <c r="L42" s="7"/>
      <c r="M42" s="7"/>
      <c r="N42" s="7"/>
      <c r="O42" s="7"/>
      <c r="P42" s="7"/>
      <c r="Q42" s="7"/>
      <c r="R42" s="7"/>
      <c r="S42" s="7"/>
      <c r="T42" s="7"/>
      <c r="U42" s="7"/>
    </row>
    <row r="43" spans="1:21" x14ac:dyDescent="0.3">
      <c r="A43" s="7"/>
      <c r="B43" s="7"/>
      <c r="C43" s="7"/>
      <c r="D43" s="7"/>
      <c r="E43" s="7"/>
      <c r="F43" s="7"/>
      <c r="G43" s="7"/>
      <c r="H43" s="7"/>
      <c r="I43" s="7"/>
      <c r="J43" s="7"/>
      <c r="K43" s="7"/>
      <c r="L43" s="7"/>
      <c r="M43" s="7"/>
      <c r="N43" s="7"/>
      <c r="O43" s="7"/>
      <c r="P43" s="7"/>
      <c r="Q43" s="7"/>
      <c r="R43" s="7"/>
      <c r="S43" s="7"/>
      <c r="T43" s="7"/>
      <c r="U43" s="7"/>
    </row>
    <row r="44" spans="1:21" x14ac:dyDescent="0.3">
      <c r="A44" s="7"/>
      <c r="B44" s="7"/>
      <c r="C44" s="7"/>
      <c r="D44" s="7"/>
      <c r="E44" s="7"/>
      <c r="F44" s="7"/>
      <c r="G44" s="7"/>
      <c r="H44" s="7"/>
      <c r="I44" s="7"/>
      <c r="J44" s="7"/>
      <c r="K44" s="7"/>
      <c r="L44" s="7"/>
      <c r="M44" s="7"/>
      <c r="N44" s="7"/>
      <c r="O44" s="7"/>
      <c r="P44" s="7"/>
      <c r="Q44" s="7"/>
      <c r="R44" s="7"/>
      <c r="S44" s="7"/>
      <c r="T44" s="7"/>
      <c r="U44" s="7"/>
    </row>
    <row r="45" spans="1:21" x14ac:dyDescent="0.3">
      <c r="A45" s="7"/>
      <c r="B45" s="7"/>
      <c r="C45" s="7"/>
      <c r="D45" s="7"/>
      <c r="E45" s="7"/>
      <c r="F45" s="7"/>
      <c r="G45" s="7"/>
      <c r="H45" s="7"/>
      <c r="I45" s="7"/>
      <c r="J45" s="7"/>
      <c r="K45" s="7"/>
      <c r="L45" s="7"/>
      <c r="M45" s="7"/>
      <c r="N45" s="7"/>
      <c r="O45" s="7"/>
      <c r="P45" s="7"/>
      <c r="Q45" s="7"/>
      <c r="R45" s="7"/>
      <c r="S45" s="7"/>
      <c r="T45" s="7"/>
      <c r="U45" s="7"/>
    </row>
    <row r="46" spans="1:21" x14ac:dyDescent="0.3">
      <c r="A46" s="7"/>
      <c r="B46" s="7"/>
      <c r="C46" s="7"/>
      <c r="D46" s="7"/>
      <c r="E46" s="7"/>
      <c r="F46" s="7"/>
      <c r="G46" s="7"/>
      <c r="H46" s="7"/>
      <c r="I46" s="7"/>
      <c r="J46" s="7"/>
      <c r="K46" s="7"/>
      <c r="L46" s="7"/>
      <c r="M46" s="7"/>
      <c r="N46" s="7"/>
      <c r="O46" s="7"/>
      <c r="P46" s="7"/>
      <c r="Q46" s="7"/>
      <c r="R46" s="7"/>
      <c r="S46" s="7"/>
      <c r="T46" s="7"/>
      <c r="U46" s="7"/>
    </row>
    <row r="47" spans="1:21" x14ac:dyDescent="0.3">
      <c r="A47" s="7"/>
      <c r="B47" s="7"/>
      <c r="C47" s="7"/>
      <c r="D47" s="7"/>
      <c r="E47" s="7"/>
      <c r="F47" s="7"/>
      <c r="G47" s="7"/>
      <c r="H47" s="7"/>
      <c r="I47" s="7"/>
      <c r="J47" s="7"/>
      <c r="K47" s="7"/>
      <c r="L47" s="7"/>
      <c r="M47" s="7"/>
      <c r="N47" s="7"/>
      <c r="O47" s="7"/>
      <c r="P47" s="7"/>
      <c r="Q47" s="7"/>
      <c r="R47" s="7"/>
      <c r="S47" s="7"/>
      <c r="T47" s="7"/>
      <c r="U47" s="7"/>
    </row>
    <row r="48" spans="1:21" x14ac:dyDescent="0.3">
      <c r="A48" s="7"/>
      <c r="B48" s="7"/>
      <c r="C48" s="7"/>
      <c r="D48" s="7"/>
      <c r="E48" s="7"/>
      <c r="F48" s="7"/>
      <c r="G48" s="7"/>
      <c r="H48" s="7"/>
      <c r="I48" s="7"/>
      <c r="J48" s="7"/>
      <c r="K48" s="7"/>
      <c r="L48" s="7"/>
      <c r="M48" s="7"/>
      <c r="N48" s="7"/>
      <c r="O48" s="7"/>
      <c r="P48" s="7"/>
      <c r="Q48" s="7"/>
      <c r="R48" s="7"/>
      <c r="S48" s="7"/>
      <c r="T48" s="7"/>
      <c r="U48" s="7"/>
    </row>
    <row r="49" spans="1:21" x14ac:dyDescent="0.3">
      <c r="A49" s="7"/>
      <c r="B49" s="7"/>
      <c r="C49" s="7"/>
      <c r="D49" s="7"/>
      <c r="E49" s="7"/>
      <c r="F49" s="7"/>
      <c r="G49" s="7"/>
      <c r="H49" s="7"/>
      <c r="I49" s="7"/>
      <c r="J49" s="7"/>
      <c r="K49" s="7"/>
      <c r="L49" s="7"/>
      <c r="M49" s="7"/>
      <c r="N49" s="7"/>
      <c r="O49" s="7"/>
      <c r="P49" s="7"/>
      <c r="Q49" s="7"/>
      <c r="R49" s="7"/>
      <c r="S49" s="7"/>
      <c r="T49" s="7"/>
      <c r="U49" s="7"/>
    </row>
    <row r="50" spans="1:21" x14ac:dyDescent="0.3">
      <c r="A50" s="7"/>
      <c r="B50" s="7"/>
      <c r="C50" s="7"/>
      <c r="D50" s="7"/>
      <c r="E50" s="7"/>
      <c r="F50" s="7"/>
      <c r="G50" s="7"/>
      <c r="H50" s="7"/>
      <c r="I50" s="7"/>
      <c r="J50" s="7"/>
      <c r="K50" s="7"/>
      <c r="L50" s="7"/>
      <c r="M50" s="7"/>
      <c r="N50" s="7"/>
      <c r="O50" s="7"/>
      <c r="P50" s="7"/>
      <c r="Q50" s="7"/>
      <c r="R50" s="7"/>
      <c r="S50" s="7"/>
      <c r="T50" s="7"/>
      <c r="U50" s="7"/>
    </row>
    <row r="51" spans="1:21" x14ac:dyDescent="0.3">
      <c r="A51" s="7"/>
      <c r="B51" s="7"/>
      <c r="C51" s="7"/>
      <c r="D51" s="7"/>
      <c r="E51" s="7"/>
      <c r="F51" s="7"/>
      <c r="G51" s="7"/>
      <c r="H51" s="7"/>
      <c r="I51" s="7"/>
      <c r="J51" s="7"/>
      <c r="K51" s="7"/>
      <c r="L51" s="7"/>
      <c r="M51" s="7"/>
      <c r="N51" s="7"/>
      <c r="O51" s="7"/>
      <c r="P51" s="7"/>
      <c r="Q51" s="7"/>
      <c r="R51" s="7"/>
      <c r="S51" s="7"/>
      <c r="T51" s="7"/>
      <c r="U51" s="7"/>
    </row>
    <row r="52" spans="1:21" x14ac:dyDescent="0.3">
      <c r="A52" s="7"/>
      <c r="B52" s="7"/>
      <c r="C52" s="7"/>
      <c r="D52" s="7"/>
      <c r="E52" s="7"/>
      <c r="F52" s="7"/>
      <c r="G52" s="7"/>
      <c r="H52" s="7"/>
      <c r="I52" s="7"/>
      <c r="J52" s="7"/>
      <c r="K52" s="7"/>
      <c r="L52" s="7"/>
      <c r="M52" s="7"/>
      <c r="N52" s="7"/>
      <c r="O52" s="7"/>
      <c r="P52" s="7"/>
      <c r="Q52" s="7"/>
      <c r="R52" s="7"/>
      <c r="S52" s="7"/>
      <c r="T52" s="7"/>
      <c r="U52" s="7"/>
    </row>
    <row r="53" spans="1:21" x14ac:dyDescent="0.3">
      <c r="A53" s="7"/>
      <c r="B53" s="7"/>
      <c r="C53" s="7"/>
      <c r="D53" s="7"/>
      <c r="E53" s="7"/>
      <c r="F53" s="7"/>
      <c r="G53" s="7"/>
      <c r="H53" s="7"/>
      <c r="I53" s="7"/>
      <c r="J53" s="7"/>
      <c r="K53" s="7"/>
      <c r="L53" s="7"/>
      <c r="M53" s="7"/>
      <c r="N53" s="7"/>
      <c r="O53" s="7"/>
      <c r="P53" s="7"/>
      <c r="Q53" s="7"/>
      <c r="R53" s="7"/>
      <c r="S53" s="7"/>
      <c r="T53" s="7"/>
      <c r="U53" s="7"/>
    </row>
    <row r="54" spans="1:21" x14ac:dyDescent="0.3">
      <c r="A54" s="7"/>
      <c r="B54" s="7"/>
      <c r="C54" s="7"/>
      <c r="D54" s="7"/>
      <c r="E54" s="7"/>
      <c r="F54" s="7"/>
      <c r="G54" s="7"/>
      <c r="H54" s="7"/>
      <c r="I54" s="7"/>
      <c r="J54" s="7"/>
      <c r="K54" s="7"/>
      <c r="L54" s="7"/>
      <c r="M54" s="7"/>
      <c r="N54" s="7"/>
      <c r="O54" s="7"/>
      <c r="P54" s="7"/>
      <c r="Q54" s="7"/>
      <c r="R54" s="7"/>
      <c r="S54" s="7"/>
      <c r="T54" s="7"/>
      <c r="U54" s="7"/>
    </row>
    <row r="55" spans="1:21" x14ac:dyDescent="0.3">
      <c r="A55" s="7"/>
      <c r="B55" s="7"/>
      <c r="C55" s="7"/>
      <c r="D55" s="7"/>
      <c r="E55" s="7"/>
      <c r="F55" s="7"/>
      <c r="G55" s="7"/>
      <c r="H55" s="7"/>
      <c r="I55" s="7"/>
      <c r="J55" s="7"/>
      <c r="K55" s="7"/>
      <c r="L55" s="7"/>
      <c r="M55" s="7"/>
      <c r="N55" s="7"/>
      <c r="O55" s="7"/>
      <c r="P55" s="7"/>
      <c r="Q55" s="7"/>
      <c r="R55" s="7"/>
      <c r="S55" s="7"/>
      <c r="T55" s="7"/>
      <c r="U55" s="7"/>
    </row>
    <row r="56" spans="1:21" x14ac:dyDescent="0.3">
      <c r="A56" s="7"/>
      <c r="B56" s="7"/>
      <c r="C56" s="7"/>
      <c r="D56" s="7"/>
      <c r="E56" s="7"/>
      <c r="F56" s="7"/>
      <c r="G56" s="7"/>
      <c r="H56" s="7"/>
      <c r="I56" s="7"/>
      <c r="J56" s="7"/>
      <c r="K56" s="7"/>
      <c r="L56" s="7"/>
      <c r="M56" s="7"/>
      <c r="N56" s="7"/>
      <c r="O56" s="7"/>
      <c r="P56" s="7"/>
      <c r="Q56" s="7"/>
      <c r="R56" s="7"/>
      <c r="S56" s="7"/>
      <c r="T56" s="7"/>
      <c r="U56" s="7"/>
    </row>
    <row r="57" spans="1:21" x14ac:dyDescent="0.3">
      <c r="A57" s="7"/>
      <c r="B57" s="7"/>
      <c r="C57" s="7"/>
      <c r="D57" s="7"/>
      <c r="E57" s="7"/>
      <c r="F57" s="7"/>
      <c r="G57" s="7"/>
      <c r="H57" s="7"/>
      <c r="I57" s="7"/>
      <c r="J57" s="7"/>
      <c r="K57" s="7"/>
      <c r="L57" s="7"/>
      <c r="M57" s="7"/>
      <c r="N57" s="7"/>
      <c r="O57" s="7"/>
      <c r="P57" s="7"/>
      <c r="Q57" s="7"/>
      <c r="R57" s="7"/>
      <c r="S57" s="7"/>
      <c r="T57" s="7"/>
      <c r="U57" s="7"/>
    </row>
    <row r="58" spans="1:21" x14ac:dyDescent="0.3">
      <c r="A58" s="7"/>
      <c r="B58" s="7"/>
      <c r="C58" s="7"/>
      <c r="D58" s="7"/>
      <c r="E58" s="7"/>
      <c r="F58" s="7"/>
      <c r="G58" s="7"/>
      <c r="H58" s="7"/>
      <c r="I58" s="7"/>
      <c r="J58" s="7"/>
      <c r="K58" s="7"/>
      <c r="L58" s="7"/>
      <c r="M58" s="7"/>
      <c r="N58" s="7"/>
      <c r="O58" s="7"/>
      <c r="P58" s="7"/>
      <c r="Q58" s="7"/>
      <c r="R58" s="7"/>
      <c r="S58" s="7"/>
      <c r="T58" s="7"/>
      <c r="U58" s="7"/>
    </row>
    <row r="59" spans="1:21" x14ac:dyDescent="0.3">
      <c r="A59" s="7"/>
      <c r="B59" s="7"/>
      <c r="C59" s="7"/>
      <c r="D59" s="7"/>
      <c r="E59" s="7"/>
      <c r="F59" s="7"/>
      <c r="G59" s="7"/>
      <c r="H59" s="7"/>
      <c r="I59" s="7"/>
      <c r="J59" s="7"/>
      <c r="K59" s="7"/>
      <c r="L59" s="7"/>
      <c r="M59" s="7"/>
      <c r="N59" s="7"/>
      <c r="O59" s="7"/>
      <c r="P59" s="7"/>
      <c r="Q59" s="7"/>
      <c r="R59" s="7"/>
      <c r="S59" s="7"/>
      <c r="T59" s="7"/>
      <c r="U59" s="7"/>
    </row>
    <row r="66" spans="1:17" x14ac:dyDescent="0.3">
      <c r="A66" s="9"/>
      <c r="B66" s="9"/>
      <c r="C66" s="9"/>
      <c r="D66" s="9"/>
      <c r="E66" s="9"/>
      <c r="F66" s="9"/>
      <c r="G66" s="9"/>
      <c r="H66" s="9"/>
      <c r="I66" s="9"/>
      <c r="J66" s="9"/>
      <c r="K66" s="9"/>
      <c r="L66" s="9"/>
      <c r="M66" s="9"/>
      <c r="N66" s="9"/>
      <c r="O66" s="9"/>
      <c r="P66" s="9"/>
      <c r="Q66" s="9"/>
    </row>
    <row r="67" spans="1:17" x14ac:dyDescent="0.3">
      <c r="A67" s="9"/>
      <c r="B67" s="9"/>
      <c r="C67" s="9"/>
      <c r="D67" s="9"/>
      <c r="E67" s="9"/>
      <c r="F67" s="9"/>
      <c r="G67" s="9"/>
      <c r="H67" s="9"/>
      <c r="I67" s="9"/>
      <c r="J67" s="9"/>
      <c r="K67" s="9"/>
      <c r="L67" s="9"/>
      <c r="M67" s="9"/>
      <c r="N67" s="9"/>
      <c r="O67" s="9"/>
      <c r="P67" s="9"/>
      <c r="Q67" s="9"/>
    </row>
    <row r="68" spans="1:17" x14ac:dyDescent="0.3">
      <c r="A68" s="9"/>
      <c r="B68" s="9"/>
      <c r="C68" s="9"/>
      <c r="D68" s="9"/>
      <c r="E68" s="9"/>
      <c r="F68" s="9"/>
      <c r="G68" s="9"/>
      <c r="H68" s="9"/>
      <c r="I68" s="9"/>
      <c r="J68" s="9"/>
      <c r="K68" s="9"/>
      <c r="L68" s="9"/>
      <c r="M68" s="9"/>
      <c r="N68" s="9"/>
      <c r="O68" s="9"/>
      <c r="P68" s="9"/>
      <c r="Q68" s="9"/>
    </row>
    <row r="69" spans="1:17" x14ac:dyDescent="0.3">
      <c r="A69" s="9"/>
      <c r="B69" s="9"/>
      <c r="C69" s="9"/>
      <c r="D69" s="9"/>
      <c r="E69" s="9"/>
      <c r="F69" s="9"/>
      <c r="G69" s="9"/>
      <c r="H69" s="9"/>
      <c r="I69" s="9"/>
      <c r="J69" s="9"/>
      <c r="K69" s="9"/>
      <c r="L69" s="9"/>
      <c r="M69" s="9"/>
      <c r="N69" s="9"/>
      <c r="O69" s="9"/>
      <c r="P69" s="9"/>
      <c r="Q69" s="9"/>
    </row>
    <row r="70" spans="1:17" x14ac:dyDescent="0.3">
      <c r="A70" s="9"/>
      <c r="B70" s="9"/>
      <c r="C70" s="9"/>
      <c r="D70" s="9"/>
      <c r="E70" s="9"/>
      <c r="F70" s="9"/>
      <c r="G70" s="9"/>
      <c r="H70" s="9"/>
      <c r="I70" s="9"/>
      <c r="J70" s="9"/>
      <c r="K70" s="9"/>
      <c r="L70" s="9"/>
      <c r="M70" s="9"/>
      <c r="N70" s="9"/>
      <c r="O70" s="9"/>
      <c r="P70" s="9"/>
      <c r="Q70" s="9"/>
    </row>
    <row r="71" spans="1:17" x14ac:dyDescent="0.3">
      <c r="A71" s="9"/>
      <c r="B71" s="9"/>
      <c r="C71" s="9"/>
      <c r="D71" s="9"/>
      <c r="E71" s="9"/>
      <c r="F71" s="9"/>
      <c r="G71" s="9"/>
      <c r="H71" s="9"/>
      <c r="I71" s="9"/>
      <c r="J71" s="9"/>
      <c r="K71" s="9"/>
      <c r="L71" s="9"/>
      <c r="M71" s="9"/>
      <c r="N71" s="9"/>
      <c r="O71" s="9"/>
      <c r="P71" s="9"/>
      <c r="Q71" s="9"/>
    </row>
    <row r="72" spans="1:17" x14ac:dyDescent="0.3">
      <c r="A72" s="9"/>
      <c r="B72" s="9"/>
      <c r="C72" s="9"/>
      <c r="D72" s="9"/>
      <c r="E72" s="9"/>
      <c r="F72" s="9"/>
      <c r="G72" s="9"/>
      <c r="H72" s="9"/>
      <c r="I72" s="9"/>
      <c r="J72" s="9"/>
      <c r="K72" s="9"/>
      <c r="L72" s="9"/>
      <c r="M72" s="9"/>
      <c r="N72" s="9"/>
      <c r="O72" s="9"/>
      <c r="P72" s="9"/>
      <c r="Q72" s="9"/>
    </row>
    <row r="73" spans="1:17" x14ac:dyDescent="0.3">
      <c r="A73" s="9"/>
      <c r="B73" s="9"/>
      <c r="C73" s="9"/>
      <c r="D73" s="9"/>
      <c r="E73" s="9"/>
      <c r="F73" s="9"/>
      <c r="G73" s="9"/>
      <c r="H73" s="9"/>
      <c r="I73" s="9"/>
      <c r="J73" s="9"/>
      <c r="K73" s="9"/>
      <c r="L73" s="9"/>
      <c r="M73" s="9"/>
      <c r="N73" s="9"/>
      <c r="O73" s="9"/>
      <c r="P73" s="9"/>
      <c r="Q73" s="9"/>
    </row>
    <row r="74" spans="1:17" x14ac:dyDescent="0.3">
      <c r="A74" s="9"/>
      <c r="B74" s="9"/>
      <c r="C74" s="9"/>
      <c r="D74" s="9"/>
      <c r="E74" s="9"/>
      <c r="F74" s="9"/>
      <c r="G74" s="9"/>
      <c r="H74" s="9"/>
      <c r="I74" s="9"/>
      <c r="J74" s="9"/>
      <c r="K74" s="9"/>
      <c r="L74" s="9"/>
      <c r="M74" s="9"/>
      <c r="N74" s="9"/>
      <c r="O74" s="9"/>
      <c r="P74" s="9"/>
      <c r="Q74" s="9"/>
    </row>
    <row r="75" spans="1:17" x14ac:dyDescent="0.3">
      <c r="A75" s="9"/>
      <c r="B75" s="9"/>
      <c r="C75" s="9"/>
      <c r="D75" s="9"/>
      <c r="E75" s="9"/>
      <c r="F75" s="9"/>
      <c r="G75" s="9"/>
      <c r="H75" s="9"/>
      <c r="I75" s="9"/>
      <c r="J75" s="9"/>
      <c r="K75" s="9"/>
      <c r="L75" s="9"/>
      <c r="M75" s="9"/>
      <c r="N75" s="9"/>
      <c r="O75" s="9"/>
      <c r="P75" s="9"/>
      <c r="Q75" s="9"/>
    </row>
    <row r="76" spans="1:17" x14ac:dyDescent="0.3">
      <c r="A76" s="9"/>
      <c r="B76" s="9"/>
      <c r="C76" s="9"/>
      <c r="D76" s="9"/>
      <c r="E76" s="9"/>
      <c r="F76" s="9"/>
      <c r="G76" s="9"/>
      <c r="H76" s="9"/>
      <c r="I76" s="9"/>
      <c r="J76" s="9"/>
      <c r="K76" s="9"/>
      <c r="L76" s="9"/>
      <c r="M76" s="9"/>
      <c r="N76" s="9"/>
      <c r="O76" s="9"/>
      <c r="P76" s="9"/>
      <c r="Q76" s="9"/>
    </row>
    <row r="77" spans="1:17" x14ac:dyDescent="0.3">
      <c r="A77" s="9"/>
      <c r="B77" s="9"/>
      <c r="C77" s="9"/>
      <c r="D77" s="9"/>
      <c r="E77" s="9"/>
      <c r="F77" s="9"/>
      <c r="G77" s="9"/>
      <c r="H77" s="9"/>
      <c r="I77" s="9"/>
      <c r="J77" s="9"/>
      <c r="K77" s="9"/>
      <c r="L77" s="9"/>
      <c r="M77" s="9"/>
      <c r="N77" s="9"/>
      <c r="O77" s="9"/>
      <c r="P77" s="9"/>
      <c r="Q77" s="9"/>
    </row>
    <row r="78" spans="1:17" x14ac:dyDescent="0.3">
      <c r="A78" s="9"/>
      <c r="B78" s="9"/>
      <c r="C78" s="9"/>
      <c r="D78" s="9"/>
      <c r="E78" s="9"/>
      <c r="F78" s="9"/>
      <c r="G78" s="9"/>
      <c r="H78" s="9"/>
      <c r="I78" s="9"/>
      <c r="J78" s="9"/>
      <c r="K78" s="9"/>
      <c r="L78" s="9"/>
      <c r="M78" s="9"/>
      <c r="N78" s="9"/>
      <c r="O78" s="9"/>
      <c r="P78" s="9"/>
      <c r="Q78" s="9"/>
    </row>
    <row r="79" spans="1:17" x14ac:dyDescent="0.3">
      <c r="A79" s="9"/>
      <c r="B79" s="9"/>
      <c r="C79" s="9"/>
      <c r="D79" s="9"/>
      <c r="E79" s="9"/>
      <c r="F79" s="9"/>
      <c r="G79" s="9"/>
      <c r="H79" s="9"/>
      <c r="I79" s="9"/>
      <c r="J79" s="9"/>
      <c r="K79" s="9"/>
      <c r="L79" s="9"/>
      <c r="M79" s="9"/>
      <c r="N79" s="9"/>
      <c r="O79" s="9"/>
      <c r="P79" s="9"/>
      <c r="Q79" s="9"/>
    </row>
    <row r="80" spans="1:17" x14ac:dyDescent="0.3">
      <c r="A80" s="9"/>
      <c r="B80" s="9"/>
      <c r="C80" s="9"/>
      <c r="D80" s="9"/>
      <c r="E80" s="9"/>
      <c r="F80" s="9"/>
      <c r="G80" s="9"/>
      <c r="H80" s="9"/>
      <c r="I80" s="9"/>
      <c r="J80" s="9"/>
      <c r="K80" s="9"/>
      <c r="L80" s="9"/>
      <c r="M80" s="9"/>
      <c r="N80" s="9"/>
      <c r="O80" s="9"/>
      <c r="P80" s="9"/>
      <c r="Q80" s="9"/>
    </row>
    <row r="81" spans="1:17" x14ac:dyDescent="0.3">
      <c r="A81" s="9"/>
      <c r="B81" s="9"/>
      <c r="C81" s="9"/>
      <c r="D81" s="9"/>
      <c r="E81" s="9"/>
      <c r="F81" s="9"/>
      <c r="G81" s="9"/>
      <c r="H81" s="9"/>
      <c r="I81" s="9"/>
      <c r="J81" s="9"/>
      <c r="K81" s="9"/>
      <c r="L81" s="9"/>
      <c r="M81" s="9"/>
      <c r="N81" s="9"/>
      <c r="O81" s="9"/>
      <c r="P81" s="9"/>
      <c r="Q81" s="9"/>
    </row>
    <row r="82" spans="1:17" x14ac:dyDescent="0.3">
      <c r="A82" s="9"/>
      <c r="B82" s="9"/>
      <c r="C82" s="9"/>
      <c r="D82" s="9"/>
      <c r="E82" s="9"/>
      <c r="F82" s="9"/>
      <c r="G82" s="9"/>
      <c r="H82" s="9"/>
      <c r="I82" s="9"/>
      <c r="J82" s="9"/>
      <c r="K82" s="9"/>
      <c r="L82" s="9"/>
      <c r="M82" s="9"/>
      <c r="N82" s="9"/>
      <c r="O82" s="9"/>
      <c r="P82" s="9"/>
      <c r="Q82" s="9"/>
    </row>
    <row r="83" spans="1:17" x14ac:dyDescent="0.3">
      <c r="A83" s="9"/>
      <c r="B83" s="9"/>
      <c r="C83" s="9"/>
      <c r="D83" s="9"/>
      <c r="E83" s="9"/>
      <c r="F83" s="9"/>
      <c r="G83" s="9"/>
      <c r="H83" s="9"/>
      <c r="I83" s="9"/>
      <c r="J83" s="9"/>
      <c r="K83" s="9"/>
      <c r="L83" s="9"/>
      <c r="M83" s="9"/>
      <c r="N83" s="9"/>
      <c r="O83" s="9"/>
      <c r="P83" s="9"/>
      <c r="Q83" s="9"/>
    </row>
    <row r="84" spans="1:17" x14ac:dyDescent="0.3">
      <c r="A84" s="9"/>
      <c r="B84" s="9"/>
      <c r="C84" s="9"/>
      <c r="D84" s="9"/>
      <c r="E84" s="9"/>
      <c r="F84" s="9"/>
      <c r="G84" s="9"/>
      <c r="H84" s="9"/>
      <c r="I84" s="9"/>
      <c r="J84" s="9"/>
      <c r="K84" s="9"/>
      <c r="L84" s="9"/>
      <c r="M84" s="9"/>
      <c r="N84" s="9"/>
      <c r="O84" s="9"/>
      <c r="P84" s="9"/>
      <c r="Q84" s="9"/>
    </row>
    <row r="85" spans="1:17" x14ac:dyDescent="0.3">
      <c r="A85" s="9"/>
      <c r="B85" s="9"/>
      <c r="C85" s="9"/>
      <c r="D85" s="9"/>
      <c r="E85" s="9"/>
      <c r="F85" s="9"/>
      <c r="G85" s="9"/>
      <c r="H85" s="9"/>
      <c r="I85" s="9"/>
      <c r="J85" s="9"/>
      <c r="K85" s="9"/>
      <c r="L85" s="9"/>
      <c r="M85" s="9"/>
      <c r="N85" s="9"/>
      <c r="O85" s="9"/>
      <c r="P85" s="9"/>
      <c r="Q85" s="9"/>
    </row>
    <row r="86" spans="1:17" x14ac:dyDescent="0.3">
      <c r="A86" s="9"/>
      <c r="B86" s="9"/>
      <c r="C86" s="9"/>
      <c r="D86" s="9"/>
      <c r="E86" s="9"/>
      <c r="F86" s="9"/>
      <c r="G86" s="9"/>
      <c r="H86" s="9"/>
      <c r="I86" s="9"/>
      <c r="J86" s="9"/>
      <c r="K86" s="9"/>
      <c r="L86" s="9"/>
      <c r="M86" s="9"/>
      <c r="N86" s="9"/>
      <c r="O86" s="9"/>
      <c r="P86" s="9"/>
      <c r="Q86" s="9"/>
    </row>
    <row r="87" spans="1:17" x14ac:dyDescent="0.3">
      <c r="A87" s="8"/>
      <c r="B87" s="8"/>
      <c r="C87" s="8"/>
      <c r="D87" s="8"/>
      <c r="E87" s="8"/>
      <c r="F87" s="8"/>
      <c r="G87" s="8"/>
      <c r="H87" s="8"/>
      <c r="I87" s="8"/>
      <c r="J87" s="8"/>
      <c r="K87" s="8"/>
      <c r="L87" s="8"/>
      <c r="M87" s="8"/>
      <c r="N87" s="8"/>
      <c r="O87" s="8"/>
      <c r="P87" s="8"/>
      <c r="Q87" s="8"/>
    </row>
    <row r="88" spans="1:17" x14ac:dyDescent="0.3">
      <c r="A88" s="8"/>
      <c r="B88" s="8"/>
      <c r="C88" s="8"/>
      <c r="D88" s="8"/>
      <c r="E88" s="8"/>
      <c r="F88" s="8"/>
      <c r="G88" s="8"/>
      <c r="H88" s="8"/>
      <c r="I88" s="8"/>
      <c r="J88" s="8"/>
      <c r="K88" s="8"/>
      <c r="L88" s="8"/>
      <c r="M88" s="8"/>
      <c r="N88" s="8"/>
      <c r="O88" s="8"/>
      <c r="P88" s="8"/>
      <c r="Q88" s="8"/>
    </row>
    <row r="89" spans="1:17" x14ac:dyDescent="0.3">
      <c r="A89" s="8"/>
      <c r="B89" s="8"/>
      <c r="C89" s="8"/>
      <c r="D89" s="8"/>
      <c r="E89" s="8"/>
      <c r="F89" s="8"/>
      <c r="G89" s="8"/>
      <c r="H89" s="8"/>
      <c r="I89" s="8"/>
      <c r="J89" s="8"/>
      <c r="K89" s="8"/>
      <c r="L89" s="8"/>
      <c r="M89" s="8"/>
      <c r="N89" s="8"/>
      <c r="O89" s="8"/>
      <c r="P89" s="8"/>
      <c r="Q89" s="8"/>
    </row>
    <row r="90" spans="1:17" x14ac:dyDescent="0.3">
      <c r="A90" s="8"/>
      <c r="B90" s="8"/>
      <c r="C90" s="8"/>
      <c r="D90" s="8"/>
      <c r="E90" s="8"/>
      <c r="F90" s="8"/>
      <c r="G90" s="8"/>
      <c r="H90" s="8"/>
      <c r="I90" s="8"/>
      <c r="J90" s="8"/>
      <c r="K90" s="8"/>
      <c r="L90" s="8"/>
      <c r="M90" s="8"/>
      <c r="N90" s="8"/>
      <c r="O90" s="8"/>
      <c r="P90" s="8"/>
      <c r="Q90" s="8"/>
    </row>
    <row r="91" spans="1:17" x14ac:dyDescent="0.3">
      <c r="A91" s="8"/>
      <c r="B91" s="8"/>
      <c r="C91" s="8"/>
      <c r="D91" s="8"/>
      <c r="E91" s="8"/>
      <c r="F91" s="8"/>
      <c r="G91" s="8"/>
      <c r="H91" s="8"/>
      <c r="I91" s="8"/>
      <c r="J91" s="8"/>
      <c r="K91" s="8"/>
      <c r="L91" s="8"/>
      <c r="M91" s="8"/>
      <c r="N91" s="8"/>
      <c r="O91" s="8"/>
      <c r="P91" s="8"/>
      <c r="Q91" s="8"/>
    </row>
    <row r="92" spans="1:17" x14ac:dyDescent="0.3">
      <c r="A92" s="8"/>
      <c r="B92" s="8"/>
      <c r="C92" s="8"/>
      <c r="D92" s="8"/>
      <c r="E92" s="8"/>
      <c r="F92" s="8"/>
      <c r="G92" s="8"/>
      <c r="H92" s="8"/>
      <c r="I92" s="8"/>
      <c r="J92" s="8"/>
      <c r="K92" s="8"/>
      <c r="L92" s="8"/>
      <c r="M92" s="8"/>
      <c r="N92" s="8"/>
      <c r="O92" s="8"/>
      <c r="P92" s="8"/>
      <c r="Q92" s="8"/>
    </row>
    <row r="93" spans="1:17" x14ac:dyDescent="0.3">
      <c r="A93" s="8"/>
      <c r="B93" s="8"/>
      <c r="C93" s="8"/>
      <c r="D93" s="8"/>
      <c r="E93" s="8"/>
      <c r="F93" s="8"/>
      <c r="G93" s="8"/>
      <c r="H93" s="8"/>
      <c r="I93" s="8"/>
      <c r="J93" s="8"/>
      <c r="K93" s="8"/>
      <c r="L93" s="8"/>
      <c r="M93" s="8"/>
      <c r="N93" s="8"/>
      <c r="O93" s="8"/>
      <c r="P93" s="8"/>
      <c r="Q93" s="8"/>
    </row>
    <row r="94" spans="1:17" x14ac:dyDescent="0.3">
      <c r="A94" s="8"/>
      <c r="B94" s="8"/>
      <c r="C94" s="8"/>
      <c r="D94" s="8"/>
      <c r="E94" s="8"/>
      <c r="F94" s="8"/>
      <c r="G94" s="8"/>
      <c r="H94" s="8"/>
      <c r="I94" s="8"/>
      <c r="J94" s="8"/>
      <c r="K94" s="8"/>
      <c r="L94" s="8"/>
      <c r="M94" s="8"/>
      <c r="N94" s="8"/>
      <c r="O94" s="8"/>
      <c r="P94" s="8"/>
      <c r="Q94" s="8"/>
    </row>
    <row r="95" spans="1:17" x14ac:dyDescent="0.3">
      <c r="A95" s="8"/>
      <c r="B95" s="8"/>
      <c r="C95" s="8"/>
      <c r="D95" s="8"/>
      <c r="E95" s="8"/>
      <c r="F95" s="8"/>
      <c r="G95" s="8"/>
      <c r="H95" s="8"/>
      <c r="I95" s="8"/>
      <c r="J95" s="8"/>
      <c r="K95" s="8"/>
      <c r="L95" s="8"/>
      <c r="M95" s="8"/>
      <c r="N95" s="8"/>
      <c r="O95" s="8"/>
      <c r="P95" s="8"/>
      <c r="Q95" s="8"/>
    </row>
    <row r="96" spans="1:17" x14ac:dyDescent="0.3">
      <c r="A96" s="8"/>
      <c r="B96" s="8"/>
      <c r="C96" s="8"/>
      <c r="D96" s="8"/>
      <c r="E96" s="8"/>
      <c r="F96" s="8"/>
      <c r="G96" s="8"/>
      <c r="H96" s="8"/>
      <c r="I96" s="8"/>
      <c r="J96" s="8"/>
      <c r="K96" s="8"/>
      <c r="L96" s="8"/>
      <c r="M96" s="8"/>
      <c r="N96" s="8"/>
      <c r="O96" s="8"/>
      <c r="P96" s="8"/>
      <c r="Q96" s="8"/>
    </row>
    <row r="97" spans="1:17" x14ac:dyDescent="0.3">
      <c r="A97" s="8"/>
      <c r="B97" s="8"/>
      <c r="C97" s="8"/>
      <c r="D97" s="8"/>
      <c r="E97" s="8"/>
      <c r="F97" s="8"/>
      <c r="G97" s="8"/>
      <c r="H97" s="8"/>
      <c r="I97" s="8"/>
      <c r="J97" s="8"/>
      <c r="K97" s="8"/>
      <c r="L97" s="8"/>
      <c r="M97" s="8"/>
      <c r="N97" s="8"/>
      <c r="O97" s="8"/>
      <c r="P97" s="8"/>
      <c r="Q97" s="8"/>
    </row>
    <row r="98" spans="1:17" x14ac:dyDescent="0.3">
      <c r="A98" s="8"/>
      <c r="B98" s="8"/>
      <c r="C98" s="8"/>
      <c r="D98" s="8"/>
      <c r="E98" s="8"/>
      <c r="F98" s="8"/>
      <c r="G98" s="8"/>
      <c r="H98" s="8"/>
      <c r="I98" s="8"/>
      <c r="J98" s="8"/>
      <c r="K98" s="8"/>
      <c r="L98" s="8"/>
      <c r="M98" s="8"/>
      <c r="N98" s="8"/>
      <c r="O98" s="8"/>
      <c r="P98" s="8"/>
      <c r="Q98" s="8"/>
    </row>
    <row r="99" spans="1:17" x14ac:dyDescent="0.3">
      <c r="A99" s="8"/>
      <c r="B99" s="8"/>
      <c r="C99" s="8"/>
      <c r="D99" s="8"/>
      <c r="E99" s="8"/>
      <c r="F99" s="8"/>
      <c r="G99" s="8"/>
      <c r="H99" s="8"/>
      <c r="I99" s="8"/>
      <c r="J99" s="8"/>
      <c r="K99" s="8"/>
      <c r="L99" s="8"/>
      <c r="M99" s="8"/>
      <c r="N99" s="8"/>
      <c r="O99" s="8"/>
      <c r="P99" s="8"/>
      <c r="Q99" s="8"/>
    </row>
    <row r="100" spans="1:17" x14ac:dyDescent="0.3">
      <c r="A100" s="8"/>
      <c r="B100" s="8"/>
      <c r="C100" s="8"/>
      <c r="D100" s="8"/>
      <c r="E100" s="8"/>
      <c r="F100" s="8"/>
      <c r="G100" s="8"/>
      <c r="H100" s="8"/>
      <c r="I100" s="8"/>
      <c r="J100" s="8"/>
      <c r="K100" s="8"/>
      <c r="L100" s="8"/>
      <c r="M100" s="8"/>
      <c r="N100" s="8"/>
      <c r="O100" s="8"/>
      <c r="P100" s="8"/>
      <c r="Q100" s="8"/>
    </row>
    <row r="101" spans="1:17" x14ac:dyDescent="0.3">
      <c r="A101" s="8"/>
      <c r="B101" s="8"/>
      <c r="C101" s="8"/>
      <c r="D101" s="8"/>
      <c r="E101" s="8"/>
      <c r="F101" s="8"/>
      <c r="G101" s="8"/>
      <c r="H101" s="8"/>
      <c r="I101" s="8"/>
      <c r="J101" s="8"/>
      <c r="K101" s="8"/>
      <c r="L101" s="8"/>
      <c r="M101" s="8"/>
      <c r="N101" s="8"/>
      <c r="O101" s="8"/>
      <c r="P101" s="8"/>
      <c r="Q101" s="8"/>
    </row>
    <row r="102" spans="1:17" x14ac:dyDescent="0.3">
      <c r="A102" s="8"/>
      <c r="B102" s="8"/>
      <c r="C102" s="8"/>
      <c r="D102" s="8"/>
      <c r="E102" s="8"/>
      <c r="F102" s="8"/>
      <c r="G102" s="8"/>
      <c r="H102" s="8"/>
      <c r="I102" s="8"/>
      <c r="J102" s="8"/>
      <c r="K102" s="8"/>
      <c r="L102" s="8"/>
      <c r="M102" s="8"/>
      <c r="N102" s="8"/>
      <c r="O102" s="8"/>
      <c r="P102" s="8"/>
      <c r="Q102" s="8" t="s">
        <v>65</v>
      </c>
    </row>
    <row r="103" spans="1:17" x14ac:dyDescent="0.3">
      <c r="A103" s="8"/>
      <c r="B103" s="8"/>
      <c r="C103" s="8"/>
      <c r="D103" s="8"/>
      <c r="E103" s="8"/>
      <c r="F103" s="8"/>
      <c r="G103" s="8"/>
      <c r="H103" s="8"/>
      <c r="I103" s="8"/>
      <c r="J103" s="8"/>
      <c r="K103" s="8"/>
      <c r="L103" s="8"/>
      <c r="M103" s="8"/>
      <c r="N103" s="8"/>
      <c r="O103" s="8"/>
      <c r="P103" s="8"/>
      <c r="Q103" s="8"/>
    </row>
    <row r="104" spans="1:17" x14ac:dyDescent="0.3">
      <c r="A104" s="8"/>
      <c r="B104" s="8"/>
      <c r="C104" s="8"/>
      <c r="D104" s="8"/>
      <c r="E104" s="8"/>
      <c r="F104" s="8"/>
      <c r="G104" s="8"/>
      <c r="H104" s="8"/>
      <c r="I104" s="8"/>
      <c r="J104" s="8"/>
      <c r="K104" s="8"/>
      <c r="L104" s="8"/>
      <c r="M104" s="8"/>
      <c r="N104" s="8"/>
      <c r="O104" s="8"/>
      <c r="P104" s="8"/>
      <c r="Q104" s="8"/>
    </row>
    <row r="105" spans="1:17" x14ac:dyDescent="0.3">
      <c r="A105" s="8"/>
      <c r="B105" s="8"/>
      <c r="C105" s="8"/>
      <c r="D105" s="8"/>
      <c r="E105" s="8"/>
      <c r="F105" s="8"/>
      <c r="G105" s="8"/>
      <c r="H105" s="8"/>
      <c r="I105" s="8"/>
      <c r="J105" s="8"/>
      <c r="K105" s="8"/>
      <c r="L105" s="8"/>
      <c r="M105" s="8"/>
      <c r="N105" s="8"/>
      <c r="O105" s="8"/>
      <c r="P105" s="8"/>
      <c r="Q105" s="8"/>
    </row>
    <row r="106" spans="1:17" x14ac:dyDescent="0.3">
      <c r="A106" s="8"/>
      <c r="B106" s="8"/>
      <c r="C106" s="8"/>
      <c r="D106" s="8"/>
      <c r="E106" s="8"/>
      <c r="F106" s="8"/>
      <c r="G106" s="8"/>
      <c r="H106" s="8"/>
      <c r="I106" s="8"/>
      <c r="J106" s="8"/>
      <c r="K106" s="8"/>
      <c r="L106" s="8"/>
      <c r="M106" s="8"/>
      <c r="N106" s="8"/>
      <c r="O106" s="8"/>
      <c r="P106" s="8"/>
      <c r="Q106" s="8"/>
    </row>
    <row r="107" spans="1:17" x14ac:dyDescent="0.3">
      <c r="A107" s="8"/>
      <c r="B107" s="8"/>
      <c r="C107" s="8"/>
      <c r="D107" s="8"/>
      <c r="E107" s="8"/>
      <c r="F107" s="8"/>
      <c r="G107" s="8"/>
      <c r="H107" s="8"/>
      <c r="I107" s="8"/>
      <c r="J107" s="8"/>
      <c r="K107" s="8" t="s">
        <v>66</v>
      </c>
      <c r="L107" s="8"/>
      <c r="M107" s="8"/>
      <c r="N107" s="8"/>
      <c r="O107" s="8"/>
      <c r="P107" s="8"/>
      <c r="Q107" s="8"/>
    </row>
    <row r="108" spans="1:17" x14ac:dyDescent="0.3">
      <c r="A108" s="8"/>
      <c r="B108" s="8"/>
      <c r="C108" s="8"/>
      <c r="D108" s="8"/>
      <c r="E108" s="8"/>
      <c r="F108" s="8"/>
      <c r="G108" s="8"/>
      <c r="H108" s="8"/>
      <c r="I108" s="8"/>
      <c r="J108" s="8"/>
      <c r="K108" s="8" t="s">
        <v>67</v>
      </c>
      <c r="L108" s="8"/>
      <c r="M108" s="8"/>
      <c r="N108" s="8"/>
      <c r="O108" s="8"/>
      <c r="P108" s="8"/>
      <c r="Q108" s="8"/>
    </row>
    <row r="109" spans="1:17" x14ac:dyDescent="0.3">
      <c r="A109" s="8"/>
      <c r="B109" s="8"/>
      <c r="C109" s="8"/>
      <c r="D109" s="8"/>
      <c r="E109" s="8"/>
      <c r="F109" s="8"/>
      <c r="G109" s="8"/>
      <c r="H109" s="8"/>
      <c r="I109" s="8"/>
      <c r="J109" s="8"/>
      <c r="K109" s="8"/>
      <c r="L109" s="8"/>
      <c r="M109" s="8"/>
      <c r="N109" s="8"/>
      <c r="O109" s="8"/>
      <c r="P109" s="8"/>
      <c r="Q109" s="8"/>
    </row>
    <row r="110" spans="1:17" x14ac:dyDescent="0.3">
      <c r="A110" s="8"/>
      <c r="B110" s="8"/>
      <c r="C110" s="8"/>
      <c r="D110" s="8"/>
      <c r="E110" s="8"/>
      <c r="F110" s="8"/>
      <c r="G110" s="8"/>
      <c r="H110" s="8"/>
      <c r="I110" s="8"/>
      <c r="J110" s="8"/>
      <c r="K110" s="8"/>
      <c r="L110" s="8"/>
      <c r="M110" s="8"/>
      <c r="N110" s="8"/>
      <c r="O110" s="8"/>
      <c r="P110" s="8"/>
      <c r="Q110" s="8"/>
    </row>
    <row r="111" spans="1:17" x14ac:dyDescent="0.3">
      <c r="A111" s="8"/>
      <c r="B111" s="8"/>
      <c r="C111" s="8"/>
      <c r="D111" s="8"/>
      <c r="E111" s="8"/>
      <c r="F111" s="8"/>
      <c r="G111" s="8"/>
      <c r="H111" s="8"/>
      <c r="I111" s="8"/>
      <c r="J111" s="8"/>
      <c r="K111" s="8"/>
      <c r="L111" s="8"/>
      <c r="M111" s="8"/>
      <c r="N111" s="8"/>
      <c r="O111" s="8"/>
      <c r="P111" s="8"/>
      <c r="Q111" s="8"/>
    </row>
    <row r="112" spans="1:17" x14ac:dyDescent="0.3">
      <c r="A112" s="8"/>
      <c r="B112" s="8"/>
      <c r="C112" s="8"/>
      <c r="D112" s="8"/>
      <c r="E112" s="8"/>
      <c r="F112" s="8"/>
      <c r="G112" s="8"/>
      <c r="H112" s="8"/>
      <c r="I112" s="8"/>
      <c r="J112" s="8"/>
      <c r="K112" s="8"/>
      <c r="L112" s="8"/>
      <c r="M112" s="8"/>
      <c r="N112" s="8"/>
      <c r="O112" s="8"/>
      <c r="P112" s="8"/>
      <c r="Q112" s="8"/>
    </row>
    <row r="113" spans="1:17" x14ac:dyDescent="0.3">
      <c r="A113" s="8"/>
      <c r="B113" s="8"/>
      <c r="C113" s="8"/>
      <c r="D113" s="8"/>
      <c r="E113" s="8"/>
      <c r="F113" s="8"/>
      <c r="G113" s="8"/>
      <c r="H113" s="8"/>
      <c r="I113" s="8"/>
      <c r="J113" s="8"/>
      <c r="K113" s="8"/>
      <c r="L113" s="8"/>
      <c r="M113" s="8"/>
      <c r="N113" s="8"/>
      <c r="O113" s="8"/>
      <c r="P113" s="8"/>
      <c r="Q113" s="8"/>
    </row>
    <row r="114" spans="1:17" x14ac:dyDescent="0.3">
      <c r="A114" s="8"/>
      <c r="B114" s="8"/>
      <c r="C114" s="8"/>
      <c r="D114" s="8"/>
      <c r="E114" s="8"/>
      <c r="F114" s="8"/>
      <c r="G114" s="8"/>
      <c r="H114" s="8"/>
      <c r="I114" s="8"/>
      <c r="J114" s="8"/>
      <c r="K114" s="8"/>
      <c r="L114" s="8"/>
      <c r="M114" s="8"/>
      <c r="N114" s="8"/>
      <c r="O114" s="8"/>
      <c r="P114" s="8"/>
      <c r="Q114" s="8"/>
    </row>
    <row r="115" spans="1:17" x14ac:dyDescent="0.3">
      <c r="A115" s="8"/>
      <c r="B115" s="8"/>
      <c r="C115" s="8"/>
      <c r="D115" s="8"/>
      <c r="E115" s="8"/>
      <c r="F115" s="8"/>
      <c r="G115" s="8"/>
      <c r="H115" s="8"/>
      <c r="I115" s="8"/>
      <c r="J115" s="8"/>
      <c r="K115" s="8"/>
      <c r="L115" s="8"/>
      <c r="M115" s="8"/>
      <c r="N115" s="8"/>
      <c r="O115" s="8"/>
      <c r="P115" s="8"/>
      <c r="Q115" s="8"/>
    </row>
    <row r="116" spans="1:17" x14ac:dyDescent="0.3">
      <c r="A116" s="8"/>
      <c r="B116" s="8"/>
      <c r="C116" s="8"/>
      <c r="D116" s="8"/>
      <c r="E116" s="8"/>
      <c r="F116" s="8"/>
      <c r="G116" s="8"/>
      <c r="H116" s="8"/>
      <c r="I116" s="8"/>
      <c r="J116" s="8"/>
      <c r="K116" s="8"/>
      <c r="L116" s="8"/>
      <c r="M116" s="8"/>
      <c r="N116" s="8"/>
      <c r="O116" s="8"/>
      <c r="P116" s="8"/>
      <c r="Q116" s="8"/>
    </row>
    <row r="117" spans="1:17" x14ac:dyDescent="0.3">
      <c r="A117" s="8"/>
      <c r="B117" s="8"/>
      <c r="C117" s="8"/>
      <c r="D117" s="8"/>
      <c r="E117" s="8"/>
      <c r="F117" s="8"/>
      <c r="G117" s="8"/>
      <c r="H117" s="8"/>
      <c r="I117" s="8"/>
      <c r="J117" s="8"/>
      <c r="K117" s="8"/>
      <c r="L117" s="8"/>
      <c r="M117" s="8"/>
      <c r="N117" s="8"/>
      <c r="O117" s="8"/>
      <c r="P117" s="8"/>
      <c r="Q117" s="8"/>
    </row>
    <row r="118" spans="1:17" x14ac:dyDescent="0.3">
      <c r="A118" s="8"/>
      <c r="B118" s="8"/>
      <c r="C118" s="8"/>
      <c r="D118" s="8"/>
      <c r="E118" s="8"/>
      <c r="F118" s="8"/>
      <c r="G118" s="8"/>
      <c r="H118" s="8"/>
      <c r="I118" s="8"/>
      <c r="J118" s="8"/>
      <c r="K118" s="8"/>
      <c r="L118" s="8"/>
      <c r="M118" s="8"/>
      <c r="N118" s="8"/>
      <c r="O118" s="8"/>
      <c r="P118" s="8"/>
      <c r="Q118" s="8"/>
    </row>
    <row r="119" spans="1:17" x14ac:dyDescent="0.3">
      <c r="A119" s="8"/>
      <c r="B119" s="8"/>
      <c r="C119" s="8"/>
      <c r="D119" s="8"/>
      <c r="E119" s="8"/>
      <c r="F119" s="8"/>
      <c r="G119" s="8"/>
      <c r="H119" s="8"/>
      <c r="I119" s="8"/>
      <c r="J119" s="8"/>
      <c r="K119" s="8"/>
      <c r="L119" s="8"/>
      <c r="M119" s="8"/>
      <c r="N119" s="8"/>
      <c r="O119" s="8"/>
      <c r="P119" s="8"/>
      <c r="Q119" s="8"/>
    </row>
    <row r="120" spans="1:17" x14ac:dyDescent="0.3">
      <c r="A120" s="8"/>
      <c r="B120" s="8"/>
      <c r="C120" s="8"/>
      <c r="D120" s="8"/>
      <c r="E120" s="8"/>
      <c r="F120" s="8"/>
      <c r="G120" s="8"/>
      <c r="H120" s="8"/>
      <c r="I120" s="8"/>
      <c r="J120" s="8"/>
      <c r="K120" s="8"/>
      <c r="L120" s="8"/>
      <c r="M120" s="8"/>
      <c r="N120" s="8"/>
      <c r="O120" s="8"/>
      <c r="P120" s="8"/>
      <c r="Q120" s="8"/>
    </row>
    <row r="121" spans="1:17" x14ac:dyDescent="0.3">
      <c r="A121" s="8"/>
      <c r="B121" s="8"/>
      <c r="C121" s="8"/>
      <c r="D121" s="8"/>
      <c r="E121" s="8"/>
      <c r="F121" s="8"/>
      <c r="G121" s="8"/>
      <c r="H121" s="8"/>
      <c r="I121" s="8"/>
      <c r="J121" s="8"/>
      <c r="K121" s="8"/>
      <c r="L121" s="8"/>
      <c r="M121" s="8"/>
      <c r="N121" s="8"/>
      <c r="O121" s="8"/>
      <c r="P121" s="8"/>
      <c r="Q121" s="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B63C5-00B6-403E-A893-6DF3323C1FFD}">
  <dimension ref="A1:AC151"/>
  <sheetViews>
    <sheetView workbookViewId="0">
      <selection activeCell="I13" sqref="I13"/>
    </sheetView>
  </sheetViews>
  <sheetFormatPr defaultRowHeight="14.4" x14ac:dyDescent="0.3"/>
  <sheetData>
    <row r="1" spans="1:29" ht="43.2" x14ac:dyDescent="0.3">
      <c r="A1" s="3" t="s">
        <v>1</v>
      </c>
      <c r="B1" s="3" t="s">
        <v>2</v>
      </c>
      <c r="C1" s="3" t="s">
        <v>3</v>
      </c>
      <c r="D1" s="3" t="s">
        <v>4</v>
      </c>
      <c r="E1" s="3" t="s">
        <v>20</v>
      </c>
      <c r="F1" s="3" t="s">
        <v>21</v>
      </c>
      <c r="G1" s="3" t="s">
        <v>22</v>
      </c>
      <c r="H1" s="3" t="s">
        <v>50</v>
      </c>
      <c r="I1" s="3" t="s">
        <v>8</v>
      </c>
      <c r="J1" s="3" t="s">
        <v>9</v>
      </c>
      <c r="K1" s="6" t="s">
        <v>34</v>
      </c>
      <c r="L1" s="6" t="s">
        <v>35</v>
      </c>
      <c r="M1" s="6" t="s">
        <v>36</v>
      </c>
      <c r="N1" s="6" t="s">
        <v>37</v>
      </c>
      <c r="O1" s="6" t="s">
        <v>38</v>
      </c>
      <c r="P1" s="6" t="s">
        <v>77</v>
      </c>
      <c r="Q1" s="4" t="s">
        <v>39</v>
      </c>
      <c r="R1" s="4" t="s">
        <v>40</v>
      </c>
      <c r="S1" s="4" t="s">
        <v>47</v>
      </c>
      <c r="T1" s="4" t="s">
        <v>41</v>
      </c>
      <c r="U1" s="4" t="s">
        <v>42</v>
      </c>
      <c r="V1" s="4" t="s">
        <v>59</v>
      </c>
      <c r="W1" s="5" t="s">
        <v>59</v>
      </c>
      <c r="X1" s="5" t="s">
        <v>43</v>
      </c>
      <c r="Y1" s="5" t="s">
        <v>44</v>
      </c>
      <c r="Z1" s="5" t="s">
        <v>48</v>
      </c>
      <c r="AA1" s="5" t="s">
        <v>45</v>
      </c>
      <c r="AB1" s="5" t="s">
        <v>46</v>
      </c>
      <c r="AC1" s="3" t="s">
        <v>49</v>
      </c>
    </row>
    <row r="2" spans="1:29" x14ac:dyDescent="0.3">
      <c r="A2">
        <v>65536</v>
      </c>
      <c r="B2">
        <v>3</v>
      </c>
      <c r="C2">
        <v>64</v>
      </c>
      <c r="D2">
        <v>0.2</v>
      </c>
      <c r="E2">
        <v>10</v>
      </c>
      <c r="F2">
        <v>2047</v>
      </c>
      <c r="G2">
        <v>322162.66666666669</v>
      </c>
      <c r="H2">
        <v>32.015632633121641</v>
      </c>
      <c r="I2">
        <v>4609839300</v>
      </c>
      <c r="J2">
        <v>26278557433.333332</v>
      </c>
      <c r="K2">
        <v>5.7005365530493295</v>
      </c>
      <c r="L2">
        <v>4.5075314610990533</v>
      </c>
      <c r="M2">
        <v>7.006623056933476</v>
      </c>
      <c r="N2">
        <v>0.19608188421747744</v>
      </c>
      <c r="O2">
        <v>0.46710374993230303</v>
      </c>
      <c r="P2">
        <v>13.304144454526543</v>
      </c>
      <c r="Q2">
        <v>1.1348877172356095E-2</v>
      </c>
      <c r="R2">
        <v>0.39802913158672004</v>
      </c>
      <c r="S2">
        <v>0.32865935261561069</v>
      </c>
      <c r="T2">
        <v>0.59045774111908844</v>
      </c>
      <c r="U2">
        <v>1.6425012183541118E-4</v>
      </c>
      <c r="V2">
        <f>R2-S2</f>
        <v>6.9369778971109353E-2</v>
      </c>
      <c r="W2">
        <f>Y2-Z2</f>
        <v>1.344540953448542E-2</v>
      </c>
      <c r="X2">
        <v>9.2993054871176638E-4</v>
      </c>
      <c r="Y2">
        <v>0.27332311720515373</v>
      </c>
      <c r="Z2">
        <v>0.25987770767066831</v>
      </c>
      <c r="AA2">
        <v>0.72574130251946878</v>
      </c>
      <c r="AB2">
        <v>5.6497266656784759E-6</v>
      </c>
      <c r="AC2">
        <v>2.6552503496245956</v>
      </c>
    </row>
    <row r="3" spans="1:29" x14ac:dyDescent="0.3">
      <c r="A3">
        <v>65536</v>
      </c>
      <c r="B3">
        <v>3</v>
      </c>
      <c r="C3">
        <v>64</v>
      </c>
      <c r="D3">
        <v>0.35</v>
      </c>
      <c r="E3">
        <v>10</v>
      </c>
      <c r="F3">
        <v>2047</v>
      </c>
      <c r="G3">
        <v>86474.666666666672</v>
      </c>
      <c r="H3">
        <v>32.015632633121641</v>
      </c>
      <c r="I3">
        <v>1902845533.3333333</v>
      </c>
      <c r="J3">
        <v>8173434733.333333</v>
      </c>
      <c r="K3">
        <v>4.2953747900994452</v>
      </c>
      <c r="L3">
        <v>3.6975464968833931</v>
      </c>
      <c r="M3">
        <v>6.9830352506499134</v>
      </c>
      <c r="N3">
        <v>0.16303396858001445</v>
      </c>
      <c r="O3">
        <v>1.520420522950733</v>
      </c>
      <c r="P3">
        <v>13.502565671992119</v>
      </c>
      <c r="Q3">
        <v>8.6196171537202722E-3</v>
      </c>
      <c r="R3">
        <v>0.60809551435651654</v>
      </c>
      <c r="S3">
        <v>0.38859803403905657</v>
      </c>
      <c r="T3">
        <v>0.38282434766206108</v>
      </c>
      <c r="U3">
        <v>4.6052082770214702E-4</v>
      </c>
      <c r="V3">
        <f t="shared" ref="V3:V66" si="0">R3-S3</f>
        <v>0.21949748031745997</v>
      </c>
      <c r="W3">
        <f t="shared" ref="W3:W66" si="1">Y3-Z3</f>
        <v>4.0056819523470621E-2</v>
      </c>
      <c r="X3">
        <v>3.0510592115737291E-3</v>
      </c>
      <c r="Y3">
        <v>0.37456995741512861</v>
      </c>
      <c r="Z3">
        <v>0.33451313789165799</v>
      </c>
      <c r="AA3">
        <v>0.62236150398166756</v>
      </c>
      <c r="AB3">
        <v>1.7479391630059792E-5</v>
      </c>
      <c r="AC3">
        <v>1.6615360940223949</v>
      </c>
    </row>
    <row r="4" spans="1:29" x14ac:dyDescent="0.3">
      <c r="A4">
        <v>65536</v>
      </c>
      <c r="B4">
        <v>3</v>
      </c>
      <c r="C4">
        <v>64</v>
      </c>
      <c r="D4">
        <v>0.5</v>
      </c>
      <c r="E4">
        <v>10</v>
      </c>
      <c r="F4">
        <v>2047</v>
      </c>
      <c r="G4">
        <v>33680</v>
      </c>
      <c r="H4">
        <v>32.015632633121641</v>
      </c>
      <c r="I4">
        <v>773197800</v>
      </c>
      <c r="J4">
        <v>3516111450</v>
      </c>
      <c r="K4">
        <v>4.5474928278378446</v>
      </c>
      <c r="L4">
        <v>2.6870571385991551</v>
      </c>
      <c r="M4">
        <v>6.6428829117493731</v>
      </c>
      <c r="N4">
        <v>0.20749331599103982</v>
      </c>
      <c r="O4">
        <v>2.3321730079796463</v>
      </c>
      <c r="P4">
        <v>15.478041601196693</v>
      </c>
      <c r="Q4">
        <v>8.387569131728001E-3</v>
      </c>
      <c r="R4">
        <v>0.60605015948053653</v>
      </c>
      <c r="S4">
        <v>0.56647901093355413</v>
      </c>
      <c r="T4">
        <v>0.38466735161429583</v>
      </c>
      <c r="U4">
        <v>8.9491977343960369E-4</v>
      </c>
      <c r="V4">
        <f t="shared" si="0"/>
        <v>3.9571148546982404E-2</v>
      </c>
      <c r="W4">
        <f t="shared" si="1"/>
        <v>9.9018128392943883E-2</v>
      </c>
      <c r="X4">
        <v>4.3015488032951852E-3</v>
      </c>
      <c r="Y4">
        <v>0.43374355354976024</v>
      </c>
      <c r="Z4">
        <v>0.33472542515681636</v>
      </c>
      <c r="AA4">
        <v>0.56191406418587786</v>
      </c>
      <c r="AB4">
        <v>4.0833461066770226E-5</v>
      </c>
      <c r="AC4">
        <v>1.2954983643841373</v>
      </c>
    </row>
    <row r="5" spans="1:29" x14ac:dyDescent="0.3">
      <c r="A5">
        <v>65536</v>
      </c>
      <c r="B5">
        <v>3</v>
      </c>
      <c r="C5">
        <v>64</v>
      </c>
      <c r="D5">
        <v>0.65</v>
      </c>
      <c r="E5">
        <v>10</v>
      </c>
      <c r="F5">
        <v>2047</v>
      </c>
      <c r="G5">
        <v>11989.333333333334</v>
      </c>
      <c r="H5">
        <v>32.015632633121641</v>
      </c>
      <c r="I5">
        <v>481735066.66666669</v>
      </c>
      <c r="J5">
        <v>1722379700</v>
      </c>
      <c r="K5">
        <v>3.5753670828197959</v>
      </c>
      <c r="L5">
        <v>1.715012996780241</v>
      </c>
      <c r="M5">
        <v>5.87034299770899</v>
      </c>
      <c r="N5">
        <v>0.20679584646764326</v>
      </c>
      <c r="O5">
        <v>7.0405074695920042</v>
      </c>
      <c r="P5">
        <v>9.9231163886782383</v>
      </c>
      <c r="Q5">
        <v>5.6831375918104908E-3</v>
      </c>
      <c r="R5">
        <v>0.73882082627435874</v>
      </c>
      <c r="S5">
        <v>0.67052602633868186</v>
      </c>
      <c r="T5">
        <v>0.25400337612956275</v>
      </c>
      <c r="U5">
        <v>1.4926600042679059E-3</v>
      </c>
      <c r="V5">
        <f t="shared" si="0"/>
        <v>6.8294799935676886E-2</v>
      </c>
      <c r="W5">
        <f t="shared" si="1"/>
        <v>0.25004382018668714</v>
      </c>
      <c r="X5">
        <v>1.1191067025851889E-2</v>
      </c>
      <c r="Y5">
        <v>0.5716781651959012</v>
      </c>
      <c r="Z5">
        <v>0.32163434500921406</v>
      </c>
      <c r="AA5">
        <v>0.41704443373703637</v>
      </c>
      <c r="AB5">
        <v>8.6334041210541439E-5</v>
      </c>
      <c r="AC5">
        <v>0.72950911741420921</v>
      </c>
    </row>
    <row r="6" spans="1:29" x14ac:dyDescent="0.3">
      <c r="A6">
        <v>65536</v>
      </c>
      <c r="B6">
        <v>3</v>
      </c>
      <c r="C6">
        <v>64</v>
      </c>
      <c r="D6">
        <v>0.8</v>
      </c>
      <c r="E6">
        <v>10</v>
      </c>
      <c r="F6">
        <v>2047</v>
      </c>
      <c r="G6">
        <v>6825.333333333333</v>
      </c>
      <c r="H6">
        <v>32.015632633121641</v>
      </c>
      <c r="I6">
        <v>345786300</v>
      </c>
      <c r="J6">
        <v>1085317366.6666667</v>
      </c>
      <c r="K6">
        <v>3.1386939467141026</v>
      </c>
      <c r="L6">
        <v>1.4080600214967804</v>
      </c>
      <c r="M6">
        <v>5.4992621633717995</v>
      </c>
      <c r="N6">
        <v>0.21324693312227941</v>
      </c>
      <c r="O6">
        <v>10.305992742145678</v>
      </c>
      <c r="P6">
        <v>17.601191349118572</v>
      </c>
      <c r="Q6">
        <v>4.8080755850265517E-3</v>
      </c>
      <c r="R6">
        <v>0.7772126888774944</v>
      </c>
      <c r="S6">
        <v>0.6825149907134358</v>
      </c>
      <c r="T6">
        <v>0.21603044038085567</v>
      </c>
      <c r="U6">
        <v>1.9487951566232284E-3</v>
      </c>
      <c r="V6">
        <f t="shared" si="0"/>
        <v>9.4697698164058597E-2</v>
      </c>
      <c r="W6">
        <f t="shared" si="1"/>
        <v>0.29939086020337957</v>
      </c>
      <c r="X6">
        <v>1.5787455841257615E-2</v>
      </c>
      <c r="Y6">
        <v>0.60557619996928091</v>
      </c>
      <c r="Z6">
        <v>0.30618533976590134</v>
      </c>
      <c r="AA6">
        <v>0.37850394052172937</v>
      </c>
      <c r="AB6">
        <v>1.3240366773208979E-4</v>
      </c>
      <c r="AC6">
        <v>0.62503107047623363</v>
      </c>
    </row>
    <row r="7" spans="1:29" x14ac:dyDescent="0.3">
      <c r="A7">
        <v>65536</v>
      </c>
      <c r="B7">
        <v>3</v>
      </c>
      <c r="C7">
        <v>64</v>
      </c>
      <c r="D7">
        <v>0.95</v>
      </c>
      <c r="E7">
        <v>10</v>
      </c>
      <c r="F7">
        <v>2047</v>
      </c>
      <c r="G7">
        <v>2049.3333333333335</v>
      </c>
      <c r="H7">
        <v>32.015632633121641</v>
      </c>
      <c r="I7">
        <v>300519066.66666669</v>
      </c>
      <c r="J7">
        <v>798907066.66666663</v>
      </c>
      <c r="K7">
        <v>2.6584238914624603</v>
      </c>
      <c r="L7">
        <v>0.85952265202190503</v>
      </c>
      <c r="M7">
        <v>4.9504329778667451</v>
      </c>
      <c r="N7">
        <v>0.21571937722753706</v>
      </c>
      <c r="O7">
        <v>19.340742397137745</v>
      </c>
      <c r="P7">
        <v>14.343863158320444</v>
      </c>
      <c r="Q7">
        <v>2.4801532282144718E-3</v>
      </c>
      <c r="R7">
        <v>0.91237084014192327</v>
      </c>
      <c r="S7">
        <v>0.80037827882690082</v>
      </c>
      <c r="T7">
        <v>8.2783765688965713E-2</v>
      </c>
      <c r="U7">
        <v>2.3652409408964842E-3</v>
      </c>
      <c r="V7">
        <f t="shared" si="0"/>
        <v>0.11199256131502244</v>
      </c>
      <c r="W7">
        <f t="shared" si="1"/>
        <v>0.56882836435043005</v>
      </c>
      <c r="X7">
        <v>1.804377580504566E-2</v>
      </c>
      <c r="Y7">
        <v>0.82760698240579667</v>
      </c>
      <c r="Z7">
        <v>0.25877861805536662</v>
      </c>
      <c r="AA7">
        <v>0.15415731291566162</v>
      </c>
      <c r="AB7">
        <v>1.9192887349600782E-4</v>
      </c>
      <c r="AC7">
        <v>0.18626874373091548</v>
      </c>
    </row>
    <row r="8" spans="1:29" x14ac:dyDescent="0.3">
      <c r="A8">
        <v>65536</v>
      </c>
      <c r="B8">
        <v>4</v>
      </c>
      <c r="C8">
        <v>125</v>
      </c>
      <c r="D8">
        <v>0.2</v>
      </c>
      <c r="E8">
        <v>10</v>
      </c>
      <c r="F8">
        <v>2047</v>
      </c>
      <c r="G8">
        <v>322156</v>
      </c>
      <c r="H8">
        <v>32.015632633121641</v>
      </c>
      <c r="I8">
        <v>7578434366.666667</v>
      </c>
      <c r="J8">
        <v>45013865433.333336</v>
      </c>
      <c r="K8">
        <v>5.9397315138499298</v>
      </c>
      <c r="L8">
        <v>5.4060020189171691</v>
      </c>
      <c r="M8">
        <v>6.7340236148740367</v>
      </c>
      <c r="N8">
        <v>0.20870647957473298</v>
      </c>
      <c r="O8">
        <v>2.31660849896689</v>
      </c>
      <c r="P8">
        <v>13.090285714285709</v>
      </c>
      <c r="Q8">
        <v>7.4633621224957404E-3</v>
      </c>
      <c r="R8">
        <v>0.62103815541390339</v>
      </c>
      <c r="S8">
        <v>0.61392100376264602</v>
      </c>
      <c r="T8">
        <v>0.37140663851541089</v>
      </c>
      <c r="U8">
        <v>9.1843948189984762E-5</v>
      </c>
      <c r="V8">
        <f t="shared" si="0"/>
        <v>7.1171516512573696E-3</v>
      </c>
      <c r="W8">
        <f t="shared" si="1"/>
        <v>1.7257244166625885E-2</v>
      </c>
      <c r="X8">
        <v>2.9108534760411446E-3</v>
      </c>
      <c r="Y8">
        <v>0.57601283405445058</v>
      </c>
      <c r="Z8">
        <v>0.5587555898878247</v>
      </c>
      <c r="AA8">
        <v>0.42107308531571319</v>
      </c>
      <c r="AB8">
        <v>3.227153795130308E-6</v>
      </c>
      <c r="AC8">
        <v>0.73101337404560174</v>
      </c>
    </row>
    <row r="9" spans="1:29" x14ac:dyDescent="0.3">
      <c r="A9">
        <v>65536</v>
      </c>
      <c r="B9">
        <v>4</v>
      </c>
      <c r="C9">
        <v>125</v>
      </c>
      <c r="D9">
        <v>0.35</v>
      </c>
      <c r="E9">
        <v>10</v>
      </c>
      <c r="F9">
        <v>2047</v>
      </c>
      <c r="G9">
        <v>86525.333333333328</v>
      </c>
      <c r="H9">
        <v>32.015632633121641</v>
      </c>
      <c r="I9">
        <v>3301471000</v>
      </c>
      <c r="J9">
        <v>16211401533.333334</v>
      </c>
      <c r="K9">
        <v>4.9103570903192351</v>
      </c>
      <c r="L9">
        <v>4.9721555925927605</v>
      </c>
      <c r="M9">
        <v>6.754700722777625</v>
      </c>
      <c r="N9">
        <v>0.21829048477374061</v>
      </c>
      <c r="O9">
        <v>1.2841495158857588</v>
      </c>
      <c r="P9">
        <v>16.395846715481028</v>
      </c>
      <c r="Q9">
        <v>4.9803254367522844E-3</v>
      </c>
      <c r="R9">
        <v>0.76625376991044292</v>
      </c>
      <c r="S9">
        <v>0.62913489168918946</v>
      </c>
      <c r="T9">
        <v>0.2285530500394117</v>
      </c>
      <c r="U9">
        <v>2.1285461339304006E-4</v>
      </c>
      <c r="V9">
        <f t="shared" si="0"/>
        <v>0.13711887822125346</v>
      </c>
      <c r="W9">
        <f t="shared" si="1"/>
        <v>4.7237118791082389E-2</v>
      </c>
      <c r="X9">
        <v>1.302447537098201E-3</v>
      </c>
      <c r="Y9">
        <v>0.68428988555926762</v>
      </c>
      <c r="Z9">
        <v>0.63705276676818523</v>
      </c>
      <c r="AA9">
        <v>0.31439820442750693</v>
      </c>
      <c r="AB9">
        <v>9.4624761273468015E-6</v>
      </c>
      <c r="AC9">
        <v>0.45945177776601276</v>
      </c>
    </row>
    <row r="10" spans="1:29" x14ac:dyDescent="0.3">
      <c r="A10">
        <v>65536</v>
      </c>
      <c r="B10">
        <v>4</v>
      </c>
      <c r="C10">
        <v>125</v>
      </c>
      <c r="D10">
        <v>0.5</v>
      </c>
      <c r="E10">
        <v>10</v>
      </c>
      <c r="F10">
        <v>2047</v>
      </c>
      <c r="G10">
        <v>33692</v>
      </c>
      <c r="H10">
        <v>32.015632633121641</v>
      </c>
      <c r="I10">
        <v>1754591125</v>
      </c>
      <c r="J10">
        <v>7107518850</v>
      </c>
      <c r="K10">
        <v>4.0508120374768222</v>
      </c>
      <c r="L10">
        <v>3.9511137759617077</v>
      </c>
      <c r="M10">
        <v>6.7319451176648988</v>
      </c>
      <c r="N10">
        <v>0.21244950422328315</v>
      </c>
      <c r="O10">
        <v>3.715431413655609</v>
      </c>
      <c r="P10">
        <v>13.921045996546125</v>
      </c>
      <c r="Q10">
        <v>3.4661921591561682E-3</v>
      </c>
      <c r="R10">
        <v>0.82809429461806938</v>
      </c>
      <c r="S10">
        <v>0.62754403821574101</v>
      </c>
      <c r="T10">
        <v>0.16805153109388946</v>
      </c>
      <c r="U10">
        <v>3.8798212888487054E-4</v>
      </c>
      <c r="V10">
        <f t="shared" si="0"/>
        <v>0.20055025640232838</v>
      </c>
      <c r="W10">
        <f t="shared" si="1"/>
        <v>0.10542074749474639</v>
      </c>
      <c r="X10">
        <v>3.1792142204448742E-3</v>
      </c>
      <c r="Y10">
        <v>0.71751972208979797</v>
      </c>
      <c r="Z10">
        <v>0.61209897459505158</v>
      </c>
      <c r="AA10">
        <v>0.27928071552001582</v>
      </c>
      <c r="AB10">
        <v>2.0348169741399981E-5</v>
      </c>
      <c r="AC10">
        <v>0.38923071648344698</v>
      </c>
    </row>
    <row r="11" spans="1:29" x14ac:dyDescent="0.3">
      <c r="A11">
        <v>65536</v>
      </c>
      <c r="B11">
        <v>4</v>
      </c>
      <c r="C11">
        <v>125</v>
      </c>
      <c r="D11">
        <v>0.65</v>
      </c>
      <c r="E11">
        <v>10</v>
      </c>
      <c r="F11">
        <v>2047</v>
      </c>
      <c r="G11">
        <v>11972</v>
      </c>
      <c r="H11">
        <v>32.015632633121641</v>
      </c>
      <c r="I11">
        <v>836841933.33333337</v>
      </c>
      <c r="J11">
        <v>3728202800</v>
      </c>
      <c r="K11">
        <v>4.4550860222189312</v>
      </c>
      <c r="L11">
        <v>3.0146366029461573</v>
      </c>
      <c r="M11">
        <v>6.7265992322369392</v>
      </c>
      <c r="N11">
        <v>0.19880542154835748</v>
      </c>
      <c r="O11">
        <v>9.1630927248143852</v>
      </c>
      <c r="P11">
        <v>15.802338270898126</v>
      </c>
      <c r="Q11">
        <v>3.3584199772015884E-3</v>
      </c>
      <c r="R11">
        <v>0.86984913678242226</v>
      </c>
      <c r="S11">
        <v>0.80439085708659119</v>
      </c>
      <c r="T11">
        <v>0.12592549337672609</v>
      </c>
      <c r="U11">
        <v>8.669498636500768E-4</v>
      </c>
      <c r="V11">
        <f t="shared" si="0"/>
        <v>6.5458279695831068E-2</v>
      </c>
      <c r="W11">
        <f t="shared" si="1"/>
        <v>0.25861312229760325</v>
      </c>
      <c r="X11">
        <v>6.9075015625938239E-3</v>
      </c>
      <c r="Y11">
        <v>0.80292272906041129</v>
      </c>
      <c r="Z11">
        <v>0.54430960676280804</v>
      </c>
      <c r="AA11">
        <v>0.19013108228268413</v>
      </c>
      <c r="AB11">
        <v>3.8687094310785172E-5</v>
      </c>
      <c r="AC11">
        <v>0.23679872969242949</v>
      </c>
    </row>
    <row r="12" spans="1:29" x14ac:dyDescent="0.3">
      <c r="A12">
        <v>65536</v>
      </c>
      <c r="B12">
        <v>4</v>
      </c>
      <c r="C12">
        <v>125</v>
      </c>
      <c r="D12">
        <v>0.8</v>
      </c>
      <c r="E12">
        <v>10</v>
      </c>
      <c r="F12">
        <v>2047</v>
      </c>
      <c r="G12">
        <v>6705.333333333333</v>
      </c>
      <c r="H12">
        <v>32.015632633121641</v>
      </c>
      <c r="I12">
        <v>680044100</v>
      </c>
      <c r="J12">
        <v>2475598666.6666665</v>
      </c>
      <c r="K12">
        <v>3.6403501870932584</v>
      </c>
      <c r="L12">
        <v>2.1509680320094073</v>
      </c>
      <c r="M12">
        <v>6.2106878578872982</v>
      </c>
      <c r="N12">
        <v>0.22077863080906737</v>
      </c>
      <c r="O12">
        <v>13.821224158551171</v>
      </c>
      <c r="P12">
        <v>15.953999755122085</v>
      </c>
      <c r="Q12">
        <v>2.2951452707258252E-3</v>
      </c>
      <c r="R12">
        <v>0.90261102184402442</v>
      </c>
      <c r="S12">
        <v>0.82134741947862888</v>
      </c>
      <c r="T12">
        <v>9.4014834234034728E-2</v>
      </c>
      <c r="U12">
        <v>1.0789986512149236E-3</v>
      </c>
      <c r="V12">
        <f t="shared" si="0"/>
        <v>8.1263602365395537E-2</v>
      </c>
      <c r="W12">
        <f t="shared" si="1"/>
        <v>0.34551659962115566</v>
      </c>
      <c r="X12">
        <v>8.7139191651420082E-3</v>
      </c>
      <c r="Y12">
        <v>0.83082486714324733</v>
      </c>
      <c r="Z12">
        <v>0.48530826752209166</v>
      </c>
      <c r="AA12">
        <v>0.1603957749748344</v>
      </c>
      <c r="AB12">
        <v>6.5438716776386487E-5</v>
      </c>
      <c r="AC12">
        <v>0.1930560594874198</v>
      </c>
    </row>
    <row r="13" spans="1:29" x14ac:dyDescent="0.3">
      <c r="A13">
        <v>65536</v>
      </c>
      <c r="B13">
        <v>4</v>
      </c>
      <c r="C13">
        <v>125</v>
      </c>
      <c r="D13">
        <v>0.95</v>
      </c>
      <c r="E13">
        <v>10</v>
      </c>
      <c r="F13">
        <v>2047</v>
      </c>
      <c r="G13">
        <v>2052</v>
      </c>
      <c r="H13">
        <v>32.015632633121641</v>
      </c>
      <c r="I13">
        <v>553755933.33333337</v>
      </c>
      <c r="J13">
        <v>1644916433.3333333</v>
      </c>
      <c r="K13">
        <v>2.9704718889994735</v>
      </c>
      <c r="L13">
        <v>1.5619456610141358</v>
      </c>
      <c r="M13">
        <v>6.0013574702704711</v>
      </c>
      <c r="N13">
        <v>0.21230482405033793</v>
      </c>
      <c r="O13">
        <v>30.827991817251959</v>
      </c>
      <c r="P13">
        <v>1.7991684189692756</v>
      </c>
      <c r="Q13">
        <v>1.4124152650162726E-3</v>
      </c>
      <c r="R13">
        <v>0.95845119010914437</v>
      </c>
      <c r="S13">
        <v>0.85655503585875792</v>
      </c>
      <c r="T13">
        <v>3.8844911097416078E-2</v>
      </c>
      <c r="U13">
        <v>1.2914835284232921E-3</v>
      </c>
      <c r="V13">
        <f t="shared" si="0"/>
        <v>0.10189615425038645</v>
      </c>
      <c r="W13">
        <f t="shared" si="1"/>
        <v>0.45637232270340472</v>
      </c>
      <c r="X13">
        <v>1.4658252243938715E-2</v>
      </c>
      <c r="Y13">
        <v>0.90676959009852853</v>
      </c>
      <c r="Z13">
        <v>0.45039726739512381</v>
      </c>
      <c r="AA13">
        <v>7.8479853069739536E-2</v>
      </c>
      <c r="AB13">
        <v>9.2304587793345453E-5</v>
      </c>
      <c r="AC13">
        <v>8.6548836580648894E-2</v>
      </c>
    </row>
    <row r="14" spans="1:29" x14ac:dyDescent="0.3">
      <c r="A14">
        <v>65536</v>
      </c>
      <c r="B14">
        <v>5</v>
      </c>
      <c r="C14">
        <v>216</v>
      </c>
      <c r="D14">
        <v>0.2</v>
      </c>
      <c r="E14">
        <v>9</v>
      </c>
      <c r="F14">
        <v>1023</v>
      </c>
      <c r="G14">
        <v>161638.66666666666</v>
      </c>
      <c r="H14">
        <v>64.062561094819159</v>
      </c>
      <c r="I14">
        <v>9038576033.333334</v>
      </c>
      <c r="J14">
        <v>53978159733.333336</v>
      </c>
      <c r="K14">
        <v>5.9719760650646148</v>
      </c>
      <c r="L14">
        <v>4.0279014197058265</v>
      </c>
      <c r="M14">
        <v>7.2480987574606717</v>
      </c>
      <c r="N14">
        <v>0.21133772983360263</v>
      </c>
      <c r="O14">
        <v>0.751865922842338</v>
      </c>
      <c r="P14">
        <v>2.1293397506051006</v>
      </c>
      <c r="Q14">
        <v>2.6568381175056843E-3</v>
      </c>
      <c r="R14">
        <v>0.39973421182077723</v>
      </c>
      <c r="S14">
        <v>0.37518433075009333</v>
      </c>
      <c r="T14">
        <v>0.59752450829450521</v>
      </c>
      <c r="U14">
        <v>8.4441767211849267E-5</v>
      </c>
      <c r="V14">
        <f t="shared" si="0"/>
        <v>2.4549881070683899E-2</v>
      </c>
      <c r="W14">
        <f t="shared" si="1"/>
        <v>2.140639669281752E-2</v>
      </c>
      <c r="X14">
        <v>3.3449331030423321E-4</v>
      </c>
      <c r="Y14">
        <v>0.27445588684735156</v>
      </c>
      <c r="Z14">
        <v>0.25304949015453404</v>
      </c>
      <c r="AA14">
        <v>0.72520663159671306</v>
      </c>
      <c r="AB14">
        <v>2.9882456311379546E-6</v>
      </c>
      <c r="AC14">
        <v>2.6423431463871738</v>
      </c>
    </row>
    <row r="15" spans="1:29" x14ac:dyDescent="0.3">
      <c r="A15">
        <v>65536</v>
      </c>
      <c r="B15">
        <v>5</v>
      </c>
      <c r="C15">
        <v>216</v>
      </c>
      <c r="D15">
        <v>0.35</v>
      </c>
      <c r="E15">
        <v>9</v>
      </c>
      <c r="F15">
        <v>1023</v>
      </c>
      <c r="G15">
        <v>48737.333333333336</v>
      </c>
      <c r="H15">
        <v>64.062561094819159</v>
      </c>
      <c r="I15">
        <v>4479958533.333333</v>
      </c>
      <c r="J15">
        <v>21936738300</v>
      </c>
      <c r="K15">
        <v>4.8966386935902895</v>
      </c>
      <c r="L15">
        <v>3.7665587066260646</v>
      </c>
      <c r="M15">
        <v>7.2663413526008886</v>
      </c>
      <c r="N15">
        <v>0.2113239791329376</v>
      </c>
      <c r="O15">
        <v>2.4710966328129991</v>
      </c>
      <c r="P15">
        <v>11.379104353218892</v>
      </c>
      <c r="Q15">
        <v>1.5143220522070905E-3</v>
      </c>
      <c r="R15">
        <v>0.63514980748780137</v>
      </c>
      <c r="S15">
        <v>0.53020181228463159</v>
      </c>
      <c r="T15">
        <v>0.36317042250004161</v>
      </c>
      <c r="U15">
        <v>1.6544795994986742E-4</v>
      </c>
      <c r="V15">
        <f t="shared" si="0"/>
        <v>0.10494799520316977</v>
      </c>
      <c r="W15">
        <f t="shared" si="1"/>
        <v>5.2465619588791201E-2</v>
      </c>
      <c r="X15">
        <v>7.6420507175702904E-4</v>
      </c>
      <c r="Y15">
        <v>0.46030380763883511</v>
      </c>
      <c r="Z15">
        <v>0.4078381880500439</v>
      </c>
      <c r="AA15">
        <v>0.53892484706048271</v>
      </c>
      <c r="AB15">
        <v>7.1402289251603709E-6</v>
      </c>
      <c r="AC15">
        <v>1.1708024963446217</v>
      </c>
    </row>
    <row r="16" spans="1:29" x14ac:dyDescent="0.3">
      <c r="A16">
        <v>65536</v>
      </c>
      <c r="B16">
        <v>5</v>
      </c>
      <c r="C16">
        <v>216</v>
      </c>
      <c r="D16">
        <v>0.5</v>
      </c>
      <c r="E16">
        <v>9</v>
      </c>
      <c r="F16">
        <v>1023</v>
      </c>
      <c r="G16">
        <v>19130</v>
      </c>
      <c r="H16">
        <v>64.062561094819159</v>
      </c>
      <c r="I16">
        <v>2589492175</v>
      </c>
      <c r="J16">
        <v>10961730325</v>
      </c>
      <c r="K16">
        <v>4.2331583122084542</v>
      </c>
      <c r="L16">
        <v>3.2739499031828578</v>
      </c>
      <c r="M16">
        <v>7.2484026853723531</v>
      </c>
      <c r="N16">
        <v>0.21269291237526872</v>
      </c>
      <c r="O16">
        <v>6.2356541027032204</v>
      </c>
      <c r="P16">
        <v>2.1384794540726029</v>
      </c>
      <c r="Q16">
        <v>1.2100055872924197E-3</v>
      </c>
      <c r="R16">
        <v>0.75136059254552479</v>
      </c>
      <c r="S16">
        <v>0.60939107684308802</v>
      </c>
      <c r="T16">
        <v>0.24712850310119203</v>
      </c>
      <c r="U16">
        <v>3.0089876599067152E-4</v>
      </c>
      <c r="V16">
        <f t="shared" si="0"/>
        <v>0.14196951570243677</v>
      </c>
      <c r="W16">
        <f t="shared" si="1"/>
        <v>0.10373965298220389</v>
      </c>
      <c r="X16">
        <v>1.7823988020796342E-3</v>
      </c>
      <c r="Y16">
        <v>0.57504634880716254</v>
      </c>
      <c r="Z16">
        <v>0.47130669582495865</v>
      </c>
      <c r="AA16">
        <v>0.42315613388345236</v>
      </c>
      <c r="AB16">
        <v>1.5118507305551689E-5</v>
      </c>
      <c r="AC16">
        <v>0.73586439555910399</v>
      </c>
    </row>
    <row r="17" spans="1:29" x14ac:dyDescent="0.3">
      <c r="A17">
        <v>65536</v>
      </c>
      <c r="B17">
        <v>5</v>
      </c>
      <c r="C17">
        <v>216</v>
      </c>
      <c r="D17">
        <v>0.65</v>
      </c>
      <c r="E17">
        <v>9</v>
      </c>
      <c r="F17">
        <v>1023</v>
      </c>
      <c r="G17">
        <v>8340</v>
      </c>
      <c r="H17">
        <v>64.062561094819159</v>
      </c>
      <c r="I17">
        <v>1903746466.6666667</v>
      </c>
      <c r="J17">
        <v>5470429233.333333</v>
      </c>
      <c r="K17">
        <v>2.873507228571087</v>
      </c>
      <c r="L17">
        <v>2.2789366332914103</v>
      </c>
      <c r="M17">
        <v>7.3546520824712571</v>
      </c>
      <c r="N17">
        <v>0.2345858116930219</v>
      </c>
      <c r="O17">
        <v>12.961400548407509</v>
      </c>
      <c r="P17">
        <v>2.488328069814159</v>
      </c>
      <c r="Q17">
        <v>7.471057858299549E-4</v>
      </c>
      <c r="R17">
        <v>0.8513424774314311</v>
      </c>
      <c r="S17">
        <v>0.51454750784917191</v>
      </c>
      <c r="T17">
        <v>0.14754834125846658</v>
      </c>
      <c r="U17">
        <v>3.6207552427236722E-4</v>
      </c>
      <c r="V17">
        <f t="shared" si="0"/>
        <v>0.33679496958225918</v>
      </c>
      <c r="W17">
        <f t="shared" si="1"/>
        <v>0.21087501256833119</v>
      </c>
      <c r="X17">
        <v>3.3699366564635879E-3</v>
      </c>
      <c r="Y17">
        <v>0.61895512927970908</v>
      </c>
      <c r="Z17">
        <v>0.40808011671137789</v>
      </c>
      <c r="AA17">
        <v>0.37764537514018481</v>
      </c>
      <c r="AB17">
        <v>2.9558923642536597E-5</v>
      </c>
      <c r="AC17">
        <v>0.61013368704070448</v>
      </c>
    </row>
    <row r="18" spans="1:29" x14ac:dyDescent="0.3">
      <c r="A18">
        <v>65536</v>
      </c>
      <c r="B18">
        <v>5</v>
      </c>
      <c r="C18">
        <v>216</v>
      </c>
      <c r="D18">
        <v>0.8</v>
      </c>
      <c r="E18">
        <v>9</v>
      </c>
      <c r="F18">
        <v>1023</v>
      </c>
      <c r="G18">
        <v>4174.666666666667</v>
      </c>
      <c r="H18">
        <v>64.062561094819159</v>
      </c>
      <c r="I18">
        <v>1114748233.3333333</v>
      </c>
      <c r="J18">
        <v>3687240466.6666665</v>
      </c>
      <c r="K18">
        <v>3.3076889977578494</v>
      </c>
      <c r="L18">
        <v>1.6590208674368669</v>
      </c>
      <c r="M18">
        <v>7.221957050062108</v>
      </c>
      <c r="N18">
        <v>0.20823000294228911</v>
      </c>
      <c r="O18">
        <v>22.857608581343989</v>
      </c>
      <c r="P18">
        <v>3.093244152833992</v>
      </c>
      <c r="Q18">
        <v>8.5301772325452145E-4</v>
      </c>
      <c r="R18">
        <v>0.87058521764271612</v>
      </c>
      <c r="S18">
        <v>0.80550896888615842</v>
      </c>
      <c r="T18">
        <v>0.12785036334213223</v>
      </c>
      <c r="U18">
        <v>7.114012918970912E-4</v>
      </c>
      <c r="V18">
        <f t="shared" si="0"/>
        <v>6.5076248756557709E-2</v>
      </c>
      <c r="W18">
        <f t="shared" si="1"/>
        <v>0.31089890765102796</v>
      </c>
      <c r="X18">
        <v>5.8947335267366258E-3</v>
      </c>
      <c r="Y18">
        <v>0.71491397351591224</v>
      </c>
      <c r="Z18">
        <v>0.40401506586488428</v>
      </c>
      <c r="AA18">
        <v>0.27914650788438772</v>
      </c>
      <c r="AB18">
        <v>4.4785072963417798E-5</v>
      </c>
      <c r="AC18">
        <v>0.39046167542586802</v>
      </c>
    </row>
    <row r="19" spans="1:29" x14ac:dyDescent="0.3">
      <c r="A19">
        <v>65536</v>
      </c>
      <c r="B19">
        <v>5</v>
      </c>
      <c r="C19">
        <v>216</v>
      </c>
      <c r="D19">
        <v>0.95</v>
      </c>
      <c r="E19">
        <v>9</v>
      </c>
      <c r="F19">
        <v>1023</v>
      </c>
      <c r="G19">
        <v>3072</v>
      </c>
      <c r="H19">
        <v>64.062561094819159</v>
      </c>
      <c r="I19">
        <v>848923800</v>
      </c>
      <c r="J19">
        <v>2372989266.6666665</v>
      </c>
      <c r="K19">
        <v>2.7952912460066104</v>
      </c>
      <c r="L19">
        <v>0.82445582748788315</v>
      </c>
      <c r="M19">
        <v>7.0038363594891937</v>
      </c>
      <c r="N19">
        <v>0.20480225988700565</v>
      </c>
      <c r="O19">
        <v>47.980901930717231</v>
      </c>
      <c r="P19">
        <v>0.78387712015568345</v>
      </c>
      <c r="Q19">
        <v>5.6334070659031269E-4</v>
      </c>
      <c r="R19">
        <v>0.87293649520329941</v>
      </c>
      <c r="S19">
        <v>0.78652383170315165</v>
      </c>
      <c r="T19">
        <v>0.12566616697517491</v>
      </c>
      <c r="U19">
        <v>8.3399711493540413E-4</v>
      </c>
      <c r="V19">
        <f t="shared" si="0"/>
        <v>8.6412663500147757E-2</v>
      </c>
      <c r="W19">
        <f t="shared" si="1"/>
        <v>0.44342120777677907</v>
      </c>
      <c r="X19">
        <v>9.6696883500442306E-3</v>
      </c>
      <c r="Y19">
        <v>0.67540209972574949</v>
      </c>
      <c r="Z19">
        <v>0.23198089194897045</v>
      </c>
      <c r="AA19">
        <v>0.31486710756017183</v>
      </c>
      <c r="AB19">
        <v>6.1104364034347795E-5</v>
      </c>
      <c r="AC19">
        <v>0.46619207682064545</v>
      </c>
    </row>
    <row r="20" spans="1:29" x14ac:dyDescent="0.3">
      <c r="A20">
        <v>65536</v>
      </c>
      <c r="B20">
        <v>6</v>
      </c>
      <c r="C20">
        <v>343</v>
      </c>
      <c r="D20">
        <v>0.2</v>
      </c>
      <c r="E20">
        <v>8</v>
      </c>
      <c r="F20">
        <v>511</v>
      </c>
      <c r="G20">
        <v>56110.666666666664</v>
      </c>
      <c r="H20">
        <v>128.2504892367906</v>
      </c>
      <c r="I20">
        <v>9743496533.333334</v>
      </c>
      <c r="J20">
        <v>62716126633.333336</v>
      </c>
      <c r="K20">
        <v>6.4367166775064897</v>
      </c>
      <c r="L20">
        <v>2.0450371689436149</v>
      </c>
      <c r="M20">
        <v>7.5935084820080192</v>
      </c>
      <c r="N20">
        <v>0.19969415063081433</v>
      </c>
      <c r="O20">
        <v>2.8029601771580359</v>
      </c>
      <c r="P20">
        <v>1.6916060296800948</v>
      </c>
      <c r="Q20">
        <v>6.3494317933011977E-4</v>
      </c>
      <c r="R20">
        <v>0.22437876647813665</v>
      </c>
      <c r="S20">
        <v>0.19861727529873463</v>
      </c>
      <c r="T20">
        <v>0.77490575457210265</v>
      </c>
      <c r="U20">
        <v>8.0535770430612279E-5</v>
      </c>
      <c r="V20">
        <f t="shared" si="0"/>
        <v>2.5761491179402018E-2</v>
      </c>
      <c r="W20">
        <f t="shared" si="1"/>
        <v>2.2447429535373944E-2</v>
      </c>
      <c r="X20">
        <v>2.7649507281247656E-4</v>
      </c>
      <c r="Y20">
        <v>8.5550985390121959E-2</v>
      </c>
      <c r="Z20">
        <v>6.3103555854748014E-2</v>
      </c>
      <c r="AA20">
        <v>0.91417002097715105</v>
      </c>
      <c r="AB20">
        <v>2.4985599145198912E-6</v>
      </c>
      <c r="AC20">
        <v>10.685674943525601</v>
      </c>
    </row>
    <row r="21" spans="1:29" x14ac:dyDescent="0.3">
      <c r="A21">
        <v>65536</v>
      </c>
      <c r="B21">
        <v>6</v>
      </c>
      <c r="C21">
        <v>343</v>
      </c>
      <c r="D21">
        <v>0.35</v>
      </c>
      <c r="E21">
        <v>8</v>
      </c>
      <c r="F21">
        <v>511</v>
      </c>
      <c r="G21">
        <v>19485.333333333332</v>
      </c>
      <c r="H21">
        <v>128.2504892367906</v>
      </c>
      <c r="I21">
        <v>5971704600</v>
      </c>
      <c r="J21">
        <v>30062729400</v>
      </c>
      <c r="K21">
        <v>5.0341956633286919</v>
      </c>
      <c r="L21">
        <v>3.0201743680430346</v>
      </c>
      <c r="M21">
        <v>7.6154090971948705</v>
      </c>
      <c r="N21">
        <v>0.23831387681336394</v>
      </c>
      <c r="O21">
        <v>4.541707872130015</v>
      </c>
      <c r="P21">
        <v>3.6982596758236874</v>
      </c>
      <c r="Q21">
        <v>4.6848153428977944E-4</v>
      </c>
      <c r="R21">
        <v>0.56239178899326892</v>
      </c>
      <c r="S21">
        <v>0.48076854527153495</v>
      </c>
      <c r="T21">
        <v>0.43702545166082057</v>
      </c>
      <c r="U21">
        <v>1.14277811620711E-4</v>
      </c>
      <c r="V21">
        <f t="shared" si="0"/>
        <v>8.1623243721733962E-2</v>
      </c>
      <c r="W21">
        <f t="shared" si="1"/>
        <v>5.0039430773263949E-2</v>
      </c>
      <c r="X21">
        <v>4.2265069030403252E-4</v>
      </c>
      <c r="Y21">
        <v>0.33846779838071966</v>
      </c>
      <c r="Z21">
        <v>0.28842836760745572</v>
      </c>
      <c r="AA21">
        <v>0.66110414112964744</v>
      </c>
      <c r="AB21">
        <v>5.4097993289103465E-6</v>
      </c>
      <c r="AC21">
        <v>1.9532261098174422</v>
      </c>
    </row>
    <row r="22" spans="1:29" x14ac:dyDescent="0.3">
      <c r="A22">
        <v>65536</v>
      </c>
      <c r="B22">
        <v>6</v>
      </c>
      <c r="C22">
        <v>343</v>
      </c>
      <c r="D22">
        <v>0.5</v>
      </c>
      <c r="E22">
        <v>8</v>
      </c>
      <c r="F22">
        <v>511</v>
      </c>
      <c r="G22">
        <v>8932</v>
      </c>
      <c r="H22">
        <v>128.2504892367906</v>
      </c>
      <c r="I22">
        <v>3642004525</v>
      </c>
      <c r="J22">
        <v>15171093900</v>
      </c>
      <c r="K22">
        <v>4.1655889760323674</v>
      </c>
      <c r="L22">
        <v>2.2976922333805847</v>
      </c>
      <c r="M22">
        <v>7.6146976683215497</v>
      </c>
      <c r="N22">
        <v>0.21213847649049902</v>
      </c>
      <c r="O22">
        <v>13.239152710055826</v>
      </c>
      <c r="P22">
        <v>3.3240359456234825</v>
      </c>
      <c r="Q22">
        <v>3.8854976436362336E-4</v>
      </c>
      <c r="R22">
        <v>0.6695072543876095</v>
      </c>
      <c r="S22">
        <v>0.56233470769781646</v>
      </c>
      <c r="T22">
        <v>0.32989937045726214</v>
      </c>
      <c r="U22">
        <v>2.0482539076471906E-4</v>
      </c>
      <c r="V22">
        <f t="shared" si="0"/>
        <v>0.10717254668979304</v>
      </c>
      <c r="W22">
        <f t="shared" si="1"/>
        <v>8.5521015066685468E-2</v>
      </c>
      <c r="X22">
        <v>1.2348961204438924E-3</v>
      </c>
      <c r="Y22">
        <v>0.39569854287171735</v>
      </c>
      <c r="Z22">
        <v>0.31017752780503188</v>
      </c>
      <c r="AA22">
        <v>0.60305612998677705</v>
      </c>
      <c r="AB22">
        <v>1.043102106170472E-5</v>
      </c>
      <c r="AC22">
        <v>1.5240291905302354</v>
      </c>
    </row>
    <row r="23" spans="1:29" x14ac:dyDescent="0.3">
      <c r="A23">
        <v>65536</v>
      </c>
      <c r="B23">
        <v>6</v>
      </c>
      <c r="C23">
        <v>343</v>
      </c>
      <c r="D23">
        <v>0.65</v>
      </c>
      <c r="E23">
        <v>8</v>
      </c>
      <c r="F23">
        <v>511</v>
      </c>
      <c r="G23">
        <v>3544</v>
      </c>
      <c r="H23">
        <v>128.2504892367906</v>
      </c>
      <c r="I23">
        <v>2738328866.6666665</v>
      </c>
      <c r="J23">
        <v>7592912366.666667</v>
      </c>
      <c r="K23">
        <v>2.7728270548852754</v>
      </c>
      <c r="L23">
        <v>1.5853236942899951</v>
      </c>
      <c r="M23">
        <v>7.5522430394926623</v>
      </c>
      <c r="N23">
        <v>0.20506173381958784</v>
      </c>
      <c r="O23">
        <v>28.041624974984991</v>
      </c>
      <c r="P23">
        <v>2.4479284474593173</v>
      </c>
      <c r="Q23">
        <v>2.433114133138087E-4</v>
      </c>
      <c r="R23">
        <v>0.82391141088410291</v>
      </c>
      <c r="S23">
        <v>0.58194135094511301</v>
      </c>
      <c r="T23">
        <v>0.17556823525433385</v>
      </c>
      <c r="U23">
        <v>2.7704244824939829E-4</v>
      </c>
      <c r="V23">
        <f t="shared" si="0"/>
        <v>0.2419700599389899</v>
      </c>
      <c r="W23">
        <f t="shared" si="1"/>
        <v>0.18661387509494537</v>
      </c>
      <c r="X23">
        <v>2.4606105138287055E-3</v>
      </c>
      <c r="Y23">
        <v>0.51933041099104649</v>
      </c>
      <c r="Z23">
        <v>0.33271653589610112</v>
      </c>
      <c r="AA23">
        <v>0.47818849008973369</v>
      </c>
      <c r="AB23">
        <v>2.0488405391008263E-5</v>
      </c>
      <c r="AC23">
        <v>0.92077891063070805</v>
      </c>
    </row>
    <row r="24" spans="1:29" x14ac:dyDescent="0.3">
      <c r="A24">
        <v>65536</v>
      </c>
      <c r="B24">
        <v>6</v>
      </c>
      <c r="C24">
        <v>343</v>
      </c>
      <c r="D24">
        <v>0.8</v>
      </c>
      <c r="E24">
        <v>8</v>
      </c>
      <c r="F24">
        <v>511</v>
      </c>
      <c r="G24">
        <v>1869.3333333333333</v>
      </c>
      <c r="H24">
        <v>128.2504892367906</v>
      </c>
      <c r="I24">
        <v>1812309766.6666667</v>
      </c>
      <c r="J24">
        <v>5201829733.333333</v>
      </c>
      <c r="K24">
        <v>2.8702762789282543</v>
      </c>
      <c r="L24">
        <v>1.2116752952948722</v>
      </c>
      <c r="M24">
        <v>7.4908815615286644</v>
      </c>
      <c r="N24">
        <v>0.21065778517901748</v>
      </c>
      <c r="O24">
        <v>45.648432231962232</v>
      </c>
      <c r="P24">
        <v>4.0030772265067318</v>
      </c>
      <c r="Q24">
        <v>2.1821140841393689E-4</v>
      </c>
      <c r="R24">
        <v>0.85875247632887197</v>
      </c>
      <c r="S24">
        <v>0.80677648318877349</v>
      </c>
      <c r="T24">
        <v>0.14063169811680279</v>
      </c>
      <c r="U24">
        <v>3.9761414591136949E-4</v>
      </c>
      <c r="V24">
        <f t="shared" si="0"/>
        <v>5.1975993140098486E-2</v>
      </c>
      <c r="W24">
        <f t="shared" si="1"/>
        <v>0.28890075422947964</v>
      </c>
      <c r="X24">
        <v>3.4704006587630717E-3</v>
      </c>
      <c r="Y24">
        <v>0.62947811978877277</v>
      </c>
      <c r="Z24">
        <v>0.34057736555929313</v>
      </c>
      <c r="AA24">
        <v>0.36702229751310844</v>
      </c>
      <c r="AB24">
        <v>2.9182039355741569E-5</v>
      </c>
      <c r="AC24">
        <v>0.58305806981228547</v>
      </c>
    </row>
    <row r="25" spans="1:29" x14ac:dyDescent="0.3">
      <c r="A25">
        <v>65536</v>
      </c>
      <c r="B25">
        <v>6</v>
      </c>
      <c r="C25">
        <v>343</v>
      </c>
      <c r="D25">
        <v>0.95</v>
      </c>
      <c r="E25">
        <v>8</v>
      </c>
      <c r="F25">
        <v>511</v>
      </c>
      <c r="G25">
        <v>1024</v>
      </c>
      <c r="H25">
        <v>128.2504892367906</v>
      </c>
      <c r="I25">
        <v>1462607333.3333333</v>
      </c>
      <c r="J25">
        <v>3063577366.6666665</v>
      </c>
      <c r="K25">
        <v>2.0946000316330062</v>
      </c>
      <c r="L25">
        <v>0.54601064748678996</v>
      </c>
      <c r="M25">
        <v>7.4453124761020701</v>
      </c>
      <c r="N25">
        <v>0.27816987101484547</v>
      </c>
      <c r="O25">
        <v>98.618220547271818</v>
      </c>
      <c r="P25">
        <v>3.0862322288121149</v>
      </c>
      <c r="Q25">
        <v>1.3908950727718674E-4</v>
      </c>
      <c r="R25">
        <v>0.9025372268975359</v>
      </c>
      <c r="S25">
        <v>0.83772700898076546</v>
      </c>
      <c r="T25">
        <v>9.6855455850305694E-2</v>
      </c>
      <c r="U25">
        <v>4.6822774488117344E-4</v>
      </c>
      <c r="V25">
        <f t="shared" si="0"/>
        <v>6.4810217916770441E-2</v>
      </c>
      <c r="W25">
        <f t="shared" si="1"/>
        <v>0.43073904852476325</v>
      </c>
      <c r="X25">
        <v>6.5486295699991081E-3</v>
      </c>
      <c r="Y25">
        <v>0.6491138502448569</v>
      </c>
      <c r="Z25">
        <v>0.21837480172009366</v>
      </c>
      <c r="AA25">
        <v>0.34427533797878845</v>
      </c>
      <c r="AB25">
        <v>6.2182206355465412E-5</v>
      </c>
      <c r="AC25">
        <v>0.53037743355641209</v>
      </c>
    </row>
    <row r="26" spans="1:29" x14ac:dyDescent="0.3">
      <c r="A26">
        <v>65536</v>
      </c>
      <c r="B26">
        <v>7</v>
      </c>
      <c r="C26">
        <v>512</v>
      </c>
      <c r="D26">
        <v>0.2</v>
      </c>
      <c r="E26">
        <v>7</v>
      </c>
      <c r="F26">
        <v>255</v>
      </c>
      <c r="G26">
        <v>15781.333333333334</v>
      </c>
      <c r="H26">
        <v>257.00392156862745</v>
      </c>
      <c r="I26">
        <v>10202870800</v>
      </c>
      <c r="J26">
        <v>69069033200</v>
      </c>
      <c r="K26">
        <v>6.7695685414344364</v>
      </c>
      <c r="L26">
        <v>0.51338723973552935</v>
      </c>
      <c r="M26">
        <v>7.7791010294434288</v>
      </c>
      <c r="N26">
        <v>0.23791925901670022</v>
      </c>
      <c r="O26">
        <v>8.4529540926279836</v>
      </c>
      <c r="P26">
        <v>1.104891058597343</v>
      </c>
      <c r="Q26">
        <v>1.6069333479488276E-4</v>
      </c>
      <c r="R26">
        <v>0.16097103768088489</v>
      </c>
      <c r="S26">
        <v>0.1421401873153845</v>
      </c>
      <c r="T26">
        <v>0.83879842916368208</v>
      </c>
      <c r="U26">
        <v>6.9839820638193975E-5</v>
      </c>
      <c r="V26">
        <f t="shared" si="0"/>
        <v>1.883085036550039E-2</v>
      </c>
      <c r="W26">
        <f t="shared" si="1"/>
        <v>2.5130539494313792E-2</v>
      </c>
      <c r="X26">
        <v>2.0065287376861676E-4</v>
      </c>
      <c r="Y26">
        <v>3.5910097744546642E-2</v>
      </c>
      <c r="Z26">
        <v>1.077955825023285E-2</v>
      </c>
      <c r="AA26">
        <v>0.96388679483258399</v>
      </c>
      <c r="AB26">
        <v>2.4545491007876646E-6</v>
      </c>
      <c r="AC26">
        <v>26.841664472466139</v>
      </c>
    </row>
    <row r="27" spans="1:29" x14ac:dyDescent="0.3">
      <c r="A27">
        <v>65536</v>
      </c>
      <c r="B27">
        <v>7</v>
      </c>
      <c r="C27">
        <v>512</v>
      </c>
      <c r="D27">
        <v>0.35</v>
      </c>
      <c r="E27">
        <v>7</v>
      </c>
      <c r="F27">
        <v>255</v>
      </c>
      <c r="G27">
        <v>7580</v>
      </c>
      <c r="H27">
        <v>257.00392156862745</v>
      </c>
      <c r="I27">
        <v>7212967633.333333</v>
      </c>
      <c r="J27">
        <v>41870796900</v>
      </c>
      <c r="K27">
        <v>5.8049334238659576</v>
      </c>
      <c r="L27">
        <v>2.7531443074273838</v>
      </c>
      <c r="M27">
        <v>8.0379631583012028</v>
      </c>
      <c r="N27">
        <v>0.26661573720397252</v>
      </c>
      <c r="O27">
        <v>5.2741569107111657</v>
      </c>
      <c r="P27">
        <v>14.402306152996148</v>
      </c>
      <c r="Q27">
        <v>3.9671604608013653E-4</v>
      </c>
      <c r="R27">
        <v>0.43031323921694742</v>
      </c>
      <c r="S27">
        <v>0.36192615384396409</v>
      </c>
      <c r="T27">
        <v>0.56919325609617677</v>
      </c>
      <c r="U27">
        <v>9.6788640795647741E-5</v>
      </c>
      <c r="V27">
        <f t="shared" si="0"/>
        <v>6.8387085372983325E-2</v>
      </c>
      <c r="W27">
        <f t="shared" si="1"/>
        <v>3.9832657209349642E-2</v>
      </c>
      <c r="X27">
        <v>3.6044214864226765E-4</v>
      </c>
      <c r="Y27">
        <v>0.21148577661773615</v>
      </c>
      <c r="Z27">
        <v>0.17165311940838651</v>
      </c>
      <c r="AA27">
        <v>0.78814933581229896</v>
      </c>
      <c r="AB27">
        <v>4.445421322595686E-6</v>
      </c>
      <c r="AC27">
        <v>3.7267250233895926</v>
      </c>
    </row>
    <row r="28" spans="1:29" x14ac:dyDescent="0.3">
      <c r="A28">
        <v>65536</v>
      </c>
      <c r="B28">
        <v>7</v>
      </c>
      <c r="C28">
        <v>512</v>
      </c>
      <c r="D28">
        <v>0.5</v>
      </c>
      <c r="E28">
        <v>7</v>
      </c>
      <c r="F28">
        <v>255</v>
      </c>
      <c r="G28">
        <v>3398</v>
      </c>
      <c r="H28">
        <v>257.00392156862745</v>
      </c>
      <c r="I28">
        <v>4387986650</v>
      </c>
      <c r="J28">
        <v>21273166075</v>
      </c>
      <c r="K28">
        <v>4.8480471277185861</v>
      </c>
      <c r="L28">
        <v>2.2334264517364408</v>
      </c>
      <c r="M28">
        <v>8.0952341666432091</v>
      </c>
      <c r="N28">
        <v>0.21149100003290663</v>
      </c>
      <c r="O28">
        <v>32.64998910438004</v>
      </c>
      <c r="P28">
        <v>3.3811343462708154</v>
      </c>
      <c r="Q28">
        <v>1.3072624092874121E-4</v>
      </c>
      <c r="R28">
        <v>0.58113157659675196</v>
      </c>
      <c r="S28">
        <v>0.49215947933661103</v>
      </c>
      <c r="T28">
        <v>0.41856455967111933</v>
      </c>
      <c r="U28">
        <v>1.7313749119997893E-4</v>
      </c>
      <c r="V28">
        <f t="shared" si="0"/>
        <v>8.8972097260140937E-2</v>
      </c>
      <c r="W28">
        <f t="shared" si="1"/>
        <v>7.3465081290209372E-2</v>
      </c>
      <c r="X28">
        <v>8.8039786527168362E-4</v>
      </c>
      <c r="Y28">
        <v>0.30019596295564571</v>
      </c>
      <c r="Z28">
        <v>0.22673088166543634</v>
      </c>
      <c r="AA28">
        <v>0.69891608623658996</v>
      </c>
      <c r="AB28">
        <v>7.5529424925997998E-6</v>
      </c>
      <c r="AC28">
        <v>2.3281994846141738</v>
      </c>
    </row>
    <row r="29" spans="1:29" x14ac:dyDescent="0.3">
      <c r="A29">
        <v>65536</v>
      </c>
      <c r="B29">
        <v>7</v>
      </c>
      <c r="C29">
        <v>512</v>
      </c>
      <c r="D29">
        <v>0.65</v>
      </c>
      <c r="E29">
        <v>7</v>
      </c>
      <c r="F29">
        <v>255</v>
      </c>
      <c r="G29">
        <v>1408</v>
      </c>
      <c r="H29">
        <v>257.00392156862745</v>
      </c>
      <c r="I29">
        <v>3117396166.6666665</v>
      </c>
      <c r="J29">
        <v>11112009233.333334</v>
      </c>
      <c r="K29">
        <v>3.5645162306127602</v>
      </c>
      <c r="L29">
        <v>1.6977393421331453</v>
      </c>
      <c r="M29">
        <v>7.9939458773857535</v>
      </c>
      <c r="N29">
        <v>0.2803349282296651</v>
      </c>
      <c r="O29">
        <v>36.062956945572701</v>
      </c>
      <c r="P29">
        <v>5.2072956410954747</v>
      </c>
      <c r="Q29">
        <v>1.0530155588715948E-4</v>
      </c>
      <c r="R29">
        <v>0.75377625247822999</v>
      </c>
      <c r="S29">
        <v>0.59618254058929632</v>
      </c>
      <c r="T29">
        <v>0.24589496886210113</v>
      </c>
      <c r="U29">
        <v>2.2347710378164425E-4</v>
      </c>
      <c r="V29">
        <f t="shared" si="0"/>
        <v>0.15759371188893367</v>
      </c>
      <c r="W29">
        <f t="shared" si="1"/>
        <v>0.16350675158576261</v>
      </c>
      <c r="X29">
        <v>1.065357886056712E-3</v>
      </c>
      <c r="Y29">
        <v>0.44746184921126642</v>
      </c>
      <c r="Z29">
        <v>0.28395509762550381</v>
      </c>
      <c r="AA29">
        <v>0.55145521732332858</v>
      </c>
      <c r="AB29">
        <v>1.7575579348345692E-5</v>
      </c>
      <c r="AC29">
        <v>1.2324072282259808</v>
      </c>
    </row>
    <row r="30" spans="1:29" x14ac:dyDescent="0.3">
      <c r="A30">
        <v>65536</v>
      </c>
      <c r="B30">
        <v>7</v>
      </c>
      <c r="C30">
        <v>512</v>
      </c>
      <c r="D30">
        <v>0.8</v>
      </c>
      <c r="E30">
        <v>7</v>
      </c>
      <c r="F30">
        <v>255</v>
      </c>
      <c r="G30">
        <v>953.33333333333337</v>
      </c>
      <c r="H30">
        <v>257.00392156862745</v>
      </c>
      <c r="I30">
        <v>2871223733.3333335</v>
      </c>
      <c r="J30">
        <v>8081230066.666667</v>
      </c>
      <c r="K30">
        <v>2.8145595109318777</v>
      </c>
      <c r="L30">
        <v>1.353354283204163</v>
      </c>
      <c r="M30">
        <v>7.9258800984553108</v>
      </c>
      <c r="N30">
        <v>0.21646721803816474</v>
      </c>
      <c r="O30">
        <v>61.469694644775196</v>
      </c>
      <c r="P30">
        <v>5.6086716041119375</v>
      </c>
      <c r="Q30">
        <v>7.5658796913446148E-5</v>
      </c>
      <c r="R30">
        <v>0.81812024587147003</v>
      </c>
      <c r="S30">
        <v>0.58579604245864403</v>
      </c>
      <c r="T30">
        <v>0.18155283196786057</v>
      </c>
      <c r="U30">
        <v>2.51263363755979E-4</v>
      </c>
      <c r="V30">
        <f t="shared" si="0"/>
        <v>0.232324203412826</v>
      </c>
      <c r="W30">
        <f t="shared" si="1"/>
        <v>0.2053958476997863</v>
      </c>
      <c r="X30">
        <v>1.6523804614530175E-3</v>
      </c>
      <c r="Y30">
        <v>0.48707032644725023</v>
      </c>
      <c r="Z30">
        <v>0.28167447874746393</v>
      </c>
      <c r="AA30">
        <v>0.51125796847544269</v>
      </c>
      <c r="AB30">
        <v>1.9324615854066637E-5</v>
      </c>
      <c r="AC30">
        <v>1.0496594448785661</v>
      </c>
    </row>
    <row r="31" spans="1:29" x14ac:dyDescent="0.3">
      <c r="A31">
        <v>65536</v>
      </c>
      <c r="B31">
        <v>7</v>
      </c>
      <c r="C31">
        <v>512</v>
      </c>
      <c r="D31">
        <v>0.95</v>
      </c>
      <c r="E31">
        <v>7</v>
      </c>
      <c r="F31">
        <v>255</v>
      </c>
      <c r="G31">
        <v>256</v>
      </c>
      <c r="H31">
        <v>257.00392156862745</v>
      </c>
      <c r="I31">
        <v>1808769300</v>
      </c>
      <c r="J31">
        <v>4207049400</v>
      </c>
      <c r="K31">
        <v>2.3259181809421468</v>
      </c>
      <c r="L31">
        <v>0.96833481146443456</v>
      </c>
      <c r="M31">
        <v>7.8123542766633944</v>
      </c>
      <c r="N31">
        <v>0.26478912448383057</v>
      </c>
      <c r="O31">
        <v>113.43401856763926</v>
      </c>
      <c r="P31">
        <v>9.0342659140694206</v>
      </c>
      <c r="Q31">
        <v>5.5581070141633504E-5</v>
      </c>
      <c r="R31">
        <v>0.9213135141115012</v>
      </c>
      <c r="S31">
        <v>0.86840940227516394</v>
      </c>
      <c r="T31">
        <v>7.8233710254443922E-2</v>
      </c>
      <c r="U31">
        <v>3.9719456391333787E-4</v>
      </c>
      <c r="V31">
        <f t="shared" si="0"/>
        <v>5.2904111836337253E-2</v>
      </c>
      <c r="W31">
        <f t="shared" si="1"/>
        <v>0.37293130747010794</v>
      </c>
      <c r="X31">
        <v>2.7106646287538244E-3</v>
      </c>
      <c r="Y31">
        <v>0.7344707037034871</v>
      </c>
      <c r="Z31">
        <v>0.36153939623337916</v>
      </c>
      <c r="AA31">
        <v>0.26277341391173903</v>
      </c>
      <c r="AB31">
        <v>4.5217756020010922E-5</v>
      </c>
      <c r="AC31">
        <v>0.35777249192749722</v>
      </c>
    </row>
    <row r="32" spans="1:29" x14ac:dyDescent="0.3">
      <c r="A32">
        <v>131072</v>
      </c>
      <c r="B32">
        <v>3</v>
      </c>
      <c r="C32">
        <v>64</v>
      </c>
      <c r="D32">
        <v>0.2</v>
      </c>
      <c r="E32">
        <v>11</v>
      </c>
      <c r="F32">
        <v>4095</v>
      </c>
      <c r="G32">
        <v>913132</v>
      </c>
      <c r="H32">
        <v>32.007814407814408</v>
      </c>
      <c r="I32">
        <v>10966608566.666666</v>
      </c>
      <c r="J32">
        <v>71377753833.333328</v>
      </c>
      <c r="K32">
        <v>6.5086442540028413</v>
      </c>
      <c r="L32">
        <v>4.7434359274448017</v>
      </c>
      <c r="M32">
        <v>7.2636681345825798</v>
      </c>
      <c r="N32">
        <v>0.30752988994167169</v>
      </c>
      <c r="O32">
        <v>0.25999518019379769</v>
      </c>
      <c r="P32">
        <v>16.468526013456998</v>
      </c>
      <c r="Q32">
        <v>1.3482937692280844E-2</v>
      </c>
      <c r="R32">
        <v>0.28604280113252994</v>
      </c>
      <c r="S32">
        <v>0.28026537234815807</v>
      </c>
      <c r="T32">
        <v>0.70035909643132255</v>
      </c>
      <c r="U32">
        <v>1.1516474386671296E-4</v>
      </c>
      <c r="V32">
        <f t="shared" si="0"/>
        <v>5.7774287843718741E-3</v>
      </c>
      <c r="W32">
        <f t="shared" si="1"/>
        <v>1.3598292855591582E-2</v>
      </c>
      <c r="X32">
        <v>5.3859124543339577E-4</v>
      </c>
      <c r="Y32">
        <v>0.21785294014213658</v>
      </c>
      <c r="Z32">
        <v>0.20425464728654499</v>
      </c>
      <c r="AA32">
        <v>0.78160302714111518</v>
      </c>
      <c r="AB32">
        <v>5.4414713148148637E-6</v>
      </c>
      <c r="AC32">
        <v>3.5877552381490188</v>
      </c>
    </row>
    <row r="33" spans="1:29" x14ac:dyDescent="0.3">
      <c r="A33">
        <v>131072</v>
      </c>
      <c r="B33">
        <v>3</v>
      </c>
      <c r="C33">
        <v>64</v>
      </c>
      <c r="D33">
        <v>0.35</v>
      </c>
      <c r="E33">
        <v>11</v>
      </c>
      <c r="F33">
        <v>4095</v>
      </c>
      <c r="G33">
        <v>208205.33333333334</v>
      </c>
      <c r="H33">
        <v>32.007814407814408</v>
      </c>
      <c r="I33">
        <v>3591459666.6666665</v>
      </c>
      <c r="J33">
        <v>19060776200</v>
      </c>
      <c r="K33">
        <v>5.3072505246010007</v>
      </c>
      <c r="L33">
        <v>4.2176713035229714</v>
      </c>
      <c r="M33">
        <v>7.2462613534173324</v>
      </c>
      <c r="N33">
        <v>0.28727906397809311</v>
      </c>
      <c r="O33">
        <v>0.92054923227136531</v>
      </c>
      <c r="P33">
        <v>15.825785823097394</v>
      </c>
      <c r="Q33">
        <v>1.1340338037115642E-2</v>
      </c>
      <c r="R33">
        <v>0.49970824304584049</v>
      </c>
      <c r="S33">
        <v>0.36967263728146194</v>
      </c>
      <c r="T33">
        <v>0.48857859000504811</v>
      </c>
      <c r="U33">
        <v>3.7282891199576332E-4</v>
      </c>
      <c r="V33">
        <f t="shared" si="0"/>
        <v>0.13003560576437856</v>
      </c>
      <c r="W33">
        <f t="shared" si="1"/>
        <v>3.7152617810670918E-2</v>
      </c>
      <c r="X33">
        <v>1.9669957966699523E-3</v>
      </c>
      <c r="Y33">
        <v>0.33093141470982346</v>
      </c>
      <c r="Z33">
        <v>0.29377879689915254</v>
      </c>
      <c r="AA33">
        <v>0.66708140843358388</v>
      </c>
      <c r="AB33">
        <v>2.018105992276782E-5</v>
      </c>
      <c r="AC33">
        <v>2.015769367252465</v>
      </c>
    </row>
    <row r="34" spans="1:29" x14ac:dyDescent="0.3">
      <c r="A34">
        <v>131072</v>
      </c>
      <c r="B34">
        <v>3</v>
      </c>
      <c r="C34">
        <v>64</v>
      </c>
      <c r="D34">
        <v>0.5</v>
      </c>
      <c r="E34">
        <v>11</v>
      </c>
      <c r="F34">
        <v>4095</v>
      </c>
      <c r="G34">
        <v>82375</v>
      </c>
      <c r="H34">
        <v>32.007814407814408</v>
      </c>
      <c r="I34">
        <v>1771105025</v>
      </c>
      <c r="J34">
        <v>8581109900</v>
      </c>
      <c r="K34">
        <v>4.8450598800599076</v>
      </c>
      <c r="L34">
        <v>3.445579386051373</v>
      </c>
      <c r="M34">
        <v>7.3155844388740503</v>
      </c>
      <c r="N34">
        <v>0.30657573910393171</v>
      </c>
      <c r="O34">
        <v>2.2849760089964519</v>
      </c>
      <c r="P34">
        <v>9.4034838463531578</v>
      </c>
      <c r="Q34">
        <v>1.0116946622067203E-2</v>
      </c>
      <c r="R34">
        <v>0.59558082954453806</v>
      </c>
      <c r="S34">
        <v>0.39282303430876436</v>
      </c>
      <c r="T34">
        <v>0.39356121752294165</v>
      </c>
      <c r="U34">
        <v>7.410063104529897E-4</v>
      </c>
      <c r="V34">
        <f t="shared" si="0"/>
        <v>0.2027577952357737</v>
      </c>
      <c r="W34">
        <f t="shared" si="1"/>
        <v>0.12158414379473226</v>
      </c>
      <c r="X34">
        <v>4.7712475981690899E-3</v>
      </c>
      <c r="Y34">
        <v>0.40094146504288453</v>
      </c>
      <c r="Z34">
        <v>0.27935732124815227</v>
      </c>
      <c r="AA34">
        <v>0.5942403994849198</v>
      </c>
      <c r="AB34">
        <v>4.6887874026645432E-5</v>
      </c>
      <c r="AC34">
        <v>1.4821126056926044</v>
      </c>
    </row>
    <row r="35" spans="1:29" x14ac:dyDescent="0.3">
      <c r="A35">
        <v>131072</v>
      </c>
      <c r="B35">
        <v>3</v>
      </c>
      <c r="C35">
        <v>64</v>
      </c>
      <c r="D35">
        <v>0.65</v>
      </c>
      <c r="E35">
        <v>11</v>
      </c>
      <c r="F35">
        <v>4095</v>
      </c>
      <c r="G35">
        <v>30032</v>
      </c>
      <c r="H35">
        <v>32.007814407814408</v>
      </c>
      <c r="I35">
        <v>848914600</v>
      </c>
      <c r="J35">
        <v>3496783633.3333335</v>
      </c>
      <c r="K35">
        <v>4.1191229757779331</v>
      </c>
      <c r="L35">
        <v>1.8850653110838365</v>
      </c>
      <c r="M35">
        <v>6.6919723080840443</v>
      </c>
      <c r="N35">
        <v>0.34040990043827424</v>
      </c>
      <c r="O35">
        <v>7.3813272791631581</v>
      </c>
      <c r="P35">
        <v>14.073955771054562</v>
      </c>
      <c r="Q35">
        <v>6.4338627230583617E-3</v>
      </c>
      <c r="R35">
        <v>0.67218846277352284</v>
      </c>
      <c r="S35">
        <v>0.59854591576899097</v>
      </c>
      <c r="T35">
        <v>0.31982773453694086</v>
      </c>
      <c r="U35">
        <v>1.5499399664779788E-3</v>
      </c>
      <c r="V35">
        <f t="shared" si="0"/>
        <v>7.3642547004531878E-2</v>
      </c>
      <c r="W35">
        <f t="shared" si="1"/>
        <v>0.19482992699510177</v>
      </c>
      <c r="X35">
        <v>1.1529261618884455E-2</v>
      </c>
      <c r="Y35">
        <v>0.46874700826261206</v>
      </c>
      <c r="Z35">
        <v>0.2739170812675103</v>
      </c>
      <c r="AA35">
        <v>0.51959564098089417</v>
      </c>
      <c r="AB35">
        <v>1.2808913760930531E-4</v>
      </c>
      <c r="AC35">
        <v>1.1084777754779707</v>
      </c>
    </row>
    <row r="36" spans="1:29" x14ac:dyDescent="0.3">
      <c r="A36">
        <v>131072</v>
      </c>
      <c r="B36">
        <v>3</v>
      </c>
      <c r="C36">
        <v>64</v>
      </c>
      <c r="D36">
        <v>0.8</v>
      </c>
      <c r="E36">
        <v>11</v>
      </c>
      <c r="F36">
        <v>4095</v>
      </c>
      <c r="G36">
        <v>14613.333333333334</v>
      </c>
      <c r="H36">
        <v>32.007814407814408</v>
      </c>
      <c r="I36">
        <v>582082066.66666663</v>
      </c>
      <c r="J36">
        <v>2481475433.3333335</v>
      </c>
      <c r="K36">
        <v>4.263102362083881</v>
      </c>
      <c r="L36">
        <v>1.5696565839036278</v>
      </c>
      <c r="M36">
        <v>6.1671504285339678</v>
      </c>
      <c r="N36">
        <v>0.30306469920544837</v>
      </c>
      <c r="O36">
        <v>4.6172710857605717</v>
      </c>
      <c r="P36">
        <v>15.010540963117766</v>
      </c>
      <c r="Q36">
        <v>1.3573801907199571E-2</v>
      </c>
      <c r="R36">
        <v>0.73780066063994876</v>
      </c>
      <c r="S36">
        <v>0.62462704285340753</v>
      </c>
      <c r="T36">
        <v>0.24655704333100342</v>
      </c>
      <c r="U36">
        <v>2.0684941218483397E-3</v>
      </c>
      <c r="V36">
        <f t="shared" si="0"/>
        <v>0.11317361778654123</v>
      </c>
      <c r="W36">
        <f t="shared" si="1"/>
        <v>0.39848849064433622</v>
      </c>
      <c r="X36">
        <v>1.4701482100776521E-2</v>
      </c>
      <c r="Y36">
        <v>0.62847357357812794</v>
      </c>
      <c r="Z36">
        <v>0.22998508293379169</v>
      </c>
      <c r="AA36">
        <v>0.35667789470895828</v>
      </c>
      <c r="AB36">
        <v>1.4704961213733822E-4</v>
      </c>
      <c r="AC36">
        <v>0.56753045745147512</v>
      </c>
    </row>
    <row r="37" spans="1:29" x14ac:dyDescent="0.3">
      <c r="A37">
        <v>131072</v>
      </c>
      <c r="B37">
        <v>3</v>
      </c>
      <c r="C37">
        <v>64</v>
      </c>
      <c r="D37">
        <v>0.95</v>
      </c>
      <c r="E37">
        <v>11</v>
      </c>
      <c r="F37">
        <v>4095</v>
      </c>
      <c r="G37">
        <v>8192</v>
      </c>
      <c r="H37">
        <v>32.007814407814408</v>
      </c>
      <c r="I37">
        <v>451314833.33333331</v>
      </c>
      <c r="J37">
        <v>1395534633.3333333</v>
      </c>
      <c r="K37">
        <v>3.0921532603441277</v>
      </c>
      <c r="L37">
        <v>0.68300330977220414</v>
      </c>
      <c r="M37">
        <v>5.6221500680955092</v>
      </c>
      <c r="N37">
        <v>0.30569555085893896</v>
      </c>
      <c r="O37">
        <v>29.340235224352639</v>
      </c>
      <c r="P37">
        <v>2.9351905547335342</v>
      </c>
      <c r="Q37">
        <v>2.9891919498915946E-3</v>
      </c>
      <c r="R37">
        <v>0.79845547583375842</v>
      </c>
      <c r="S37">
        <v>0.64281202072906241</v>
      </c>
      <c r="T37">
        <v>0.19582951886137137</v>
      </c>
      <c r="U37">
        <v>2.725813354978731E-3</v>
      </c>
      <c r="V37">
        <f t="shared" si="0"/>
        <v>0.15564345510469602</v>
      </c>
      <c r="W37">
        <f t="shared" si="1"/>
        <v>0.4733241183862652</v>
      </c>
      <c r="X37">
        <v>2.836327554178221E-2</v>
      </c>
      <c r="Y37">
        <v>0.61531020405345715</v>
      </c>
      <c r="Z37">
        <v>0.14198608566719198</v>
      </c>
      <c r="AA37">
        <v>0.35605704184243464</v>
      </c>
      <c r="AB37">
        <v>2.694785623258986E-4</v>
      </c>
      <c r="AC37">
        <v>0.57866266396502175</v>
      </c>
    </row>
    <row r="38" spans="1:29" x14ac:dyDescent="0.3">
      <c r="A38">
        <v>131072</v>
      </c>
      <c r="B38">
        <v>4</v>
      </c>
      <c r="C38">
        <v>125</v>
      </c>
      <c r="D38">
        <v>0.2</v>
      </c>
      <c r="E38">
        <v>11</v>
      </c>
      <c r="F38">
        <v>4095</v>
      </c>
      <c r="G38">
        <v>915456</v>
      </c>
      <c r="H38">
        <v>32.007814407814408</v>
      </c>
      <c r="I38">
        <v>17938551333.333332</v>
      </c>
      <c r="J38">
        <v>107910102366.66667</v>
      </c>
      <c r="K38">
        <v>6.0155416321801098</v>
      </c>
      <c r="L38">
        <v>5.452136031392957</v>
      </c>
      <c r="M38">
        <v>6.7511949931598361</v>
      </c>
      <c r="N38">
        <v>0.28153533573229544</v>
      </c>
      <c r="O38">
        <v>0.293806443861511</v>
      </c>
      <c r="P38">
        <v>2.5201354014930475</v>
      </c>
      <c r="Q38">
        <v>7.8876956507859235E-3</v>
      </c>
      <c r="R38">
        <v>0.5445018581396408</v>
      </c>
      <c r="S38">
        <v>0.53019602995069059</v>
      </c>
      <c r="T38">
        <v>0.44753453706982738</v>
      </c>
      <c r="U38">
        <v>7.5909139745844218E-5</v>
      </c>
      <c r="V38">
        <f t="shared" si="0"/>
        <v>1.4305828188950209E-2</v>
      </c>
      <c r="W38">
        <f t="shared" si="1"/>
        <v>1.6807962926743303E-2</v>
      </c>
      <c r="X38">
        <v>3.8524474621239437E-4</v>
      </c>
      <c r="Y38">
        <v>0.49734671659970764</v>
      </c>
      <c r="Z38">
        <v>0.48053875367296434</v>
      </c>
      <c r="AA38">
        <v>0.50226448600554885</v>
      </c>
      <c r="AB38">
        <v>3.5526485311266675E-6</v>
      </c>
      <c r="AC38">
        <v>1.0098880101983247</v>
      </c>
    </row>
    <row r="39" spans="1:29" x14ac:dyDescent="0.3">
      <c r="A39">
        <v>131072</v>
      </c>
      <c r="B39">
        <v>4</v>
      </c>
      <c r="C39">
        <v>125</v>
      </c>
      <c r="D39">
        <v>0.35</v>
      </c>
      <c r="E39">
        <v>11</v>
      </c>
      <c r="F39">
        <v>4095</v>
      </c>
      <c r="G39">
        <v>208597.33333333334</v>
      </c>
      <c r="H39">
        <v>32.007814407814408</v>
      </c>
      <c r="I39">
        <v>6386454933.333333</v>
      </c>
      <c r="J39">
        <v>34450600466.666664</v>
      </c>
      <c r="K39">
        <v>5.3943229579302123</v>
      </c>
      <c r="L39">
        <v>5.0388452392769691</v>
      </c>
      <c r="M39">
        <v>6.812073829564838</v>
      </c>
      <c r="N39">
        <v>0.28211988680216099</v>
      </c>
      <c r="O39">
        <v>0.94770203650911145</v>
      </c>
      <c r="P39">
        <v>10.897619125059254</v>
      </c>
      <c r="Q39">
        <v>6.6276727504035009E-3</v>
      </c>
      <c r="R39">
        <v>0.70763750998676112</v>
      </c>
      <c r="S39">
        <v>0.6278058863412842</v>
      </c>
      <c r="T39">
        <v>0.28553193997329185</v>
      </c>
      <c r="U39">
        <v>2.0287728954354481E-4</v>
      </c>
      <c r="V39">
        <f t="shared" si="0"/>
        <v>7.9831623645476912E-2</v>
      </c>
      <c r="W39">
        <f t="shared" si="1"/>
        <v>5.1814344089410325E-2</v>
      </c>
      <c r="X39">
        <v>1.164383188003146E-3</v>
      </c>
      <c r="Y39">
        <v>0.63824877270112101</v>
      </c>
      <c r="Z39">
        <v>0.58643442861171069</v>
      </c>
      <c r="AA39">
        <v>0.36057623374912939</v>
      </c>
      <c r="AB39">
        <v>1.0610361746437833E-5</v>
      </c>
      <c r="AC39">
        <v>0.56494622343438483</v>
      </c>
    </row>
    <row r="40" spans="1:29" x14ac:dyDescent="0.3">
      <c r="A40">
        <v>131072</v>
      </c>
      <c r="B40">
        <v>4</v>
      </c>
      <c r="C40">
        <v>125</v>
      </c>
      <c r="D40">
        <v>0.5</v>
      </c>
      <c r="E40">
        <v>11</v>
      </c>
      <c r="F40">
        <v>4095</v>
      </c>
      <c r="G40">
        <v>81979</v>
      </c>
      <c r="H40">
        <v>32.007814407814408</v>
      </c>
      <c r="I40">
        <v>3138537375</v>
      </c>
      <c r="J40">
        <v>15131765075</v>
      </c>
      <c r="K40">
        <v>4.8212792352042646</v>
      </c>
      <c r="L40">
        <v>4.2841897691493873</v>
      </c>
      <c r="M40">
        <v>6.7953277117021065</v>
      </c>
      <c r="N40">
        <v>0.27770132764802791</v>
      </c>
      <c r="O40">
        <v>2.344693264958901</v>
      </c>
      <c r="P40">
        <v>4.420575551578783</v>
      </c>
      <c r="Q40">
        <v>5.6602559974293755E-3</v>
      </c>
      <c r="R40">
        <v>0.76560835921222703</v>
      </c>
      <c r="S40">
        <v>0.63477760878982681</v>
      </c>
      <c r="T40">
        <v>0.22832040513775942</v>
      </c>
      <c r="U40">
        <v>4.1097965258419139E-4</v>
      </c>
      <c r="V40">
        <f t="shared" si="0"/>
        <v>0.13083075042240022</v>
      </c>
      <c r="W40">
        <f t="shared" si="1"/>
        <v>0.11135505783022481</v>
      </c>
      <c r="X40">
        <v>2.7527059661280129E-3</v>
      </c>
      <c r="Y40">
        <v>0.67541857802732252</v>
      </c>
      <c r="Z40">
        <v>0.56406352019709771</v>
      </c>
      <c r="AA40">
        <v>0.32180504394990417</v>
      </c>
      <c r="AB40">
        <v>2.3672056645381141E-5</v>
      </c>
      <c r="AC40">
        <v>0.47645275747343491</v>
      </c>
    </row>
    <row r="41" spans="1:29" x14ac:dyDescent="0.3">
      <c r="A41">
        <v>131072</v>
      </c>
      <c r="B41">
        <v>4</v>
      </c>
      <c r="C41">
        <v>125</v>
      </c>
      <c r="D41">
        <v>0.65</v>
      </c>
      <c r="E41">
        <v>11</v>
      </c>
      <c r="F41">
        <v>4095</v>
      </c>
      <c r="G41">
        <v>30177.333333333332</v>
      </c>
      <c r="H41">
        <v>32.007814407814408</v>
      </c>
      <c r="I41">
        <v>2055697300</v>
      </c>
      <c r="J41">
        <v>7105879666.666667</v>
      </c>
      <c r="K41">
        <v>3.4566760712613998</v>
      </c>
      <c r="L41">
        <v>3.2196938580308037</v>
      </c>
      <c r="M41">
        <v>6.7908881640795062</v>
      </c>
      <c r="N41">
        <v>0.32527155010969022</v>
      </c>
      <c r="O41">
        <v>7.4241122135615427</v>
      </c>
      <c r="P41">
        <v>3.7592309681246316</v>
      </c>
      <c r="Q41">
        <v>2.6981436744926732E-3</v>
      </c>
      <c r="R41">
        <v>0.86767664350842577</v>
      </c>
      <c r="S41">
        <v>0.53409479758198508</v>
      </c>
      <c r="T41">
        <v>0.1290191248812102</v>
      </c>
      <c r="U41">
        <v>6.0608793587136256E-4</v>
      </c>
      <c r="V41">
        <f t="shared" si="0"/>
        <v>0.33358184592644069</v>
      </c>
      <c r="W41">
        <f t="shared" si="1"/>
        <v>0.24320225612226576</v>
      </c>
      <c r="X41">
        <v>5.794966318737267E-3</v>
      </c>
      <c r="Y41">
        <v>0.74068067293943762</v>
      </c>
      <c r="Z41">
        <v>0.49747841681717186</v>
      </c>
      <c r="AA41">
        <v>0.25346732815955836</v>
      </c>
      <c r="AB41">
        <v>5.7032582266732258E-5</v>
      </c>
      <c r="AC41">
        <v>0.34220864323846523</v>
      </c>
    </row>
    <row r="42" spans="1:29" x14ac:dyDescent="0.3">
      <c r="A42">
        <v>131072</v>
      </c>
      <c r="B42">
        <v>4</v>
      </c>
      <c r="C42">
        <v>125</v>
      </c>
      <c r="D42">
        <v>0.8</v>
      </c>
      <c r="E42">
        <v>11</v>
      </c>
      <c r="F42">
        <v>4095</v>
      </c>
      <c r="G42">
        <v>14538.666666666666</v>
      </c>
      <c r="H42">
        <v>32.007814407814408</v>
      </c>
      <c r="I42">
        <v>1160579633.3333333</v>
      </c>
      <c r="J42">
        <v>4664066133.333333</v>
      </c>
      <c r="K42">
        <v>4.0187385676737559</v>
      </c>
      <c r="L42">
        <v>2.3184144047814925</v>
      </c>
      <c r="M42">
        <v>6.7563061015938874</v>
      </c>
      <c r="N42">
        <v>0.28757214875429238</v>
      </c>
      <c r="O42">
        <v>14.514471692066264</v>
      </c>
      <c r="P42">
        <v>5.2226047166174459</v>
      </c>
      <c r="Q42">
        <v>2.5989025196576348E-3</v>
      </c>
      <c r="R42">
        <v>0.883854874930455</v>
      </c>
      <c r="S42">
        <v>0.78412737956887002</v>
      </c>
      <c r="T42">
        <v>0.11236689804626074</v>
      </c>
      <c r="U42">
        <v>1.1793245036266218E-3</v>
      </c>
      <c r="V42">
        <f t="shared" si="0"/>
        <v>9.9727495361584984E-2</v>
      </c>
      <c r="W42">
        <f t="shared" si="1"/>
        <v>0.34925395997815462</v>
      </c>
      <c r="X42">
        <v>9.3864520960480393E-3</v>
      </c>
      <c r="Y42">
        <v>0.80161785012996956</v>
      </c>
      <c r="Z42">
        <v>0.45236389015181494</v>
      </c>
      <c r="AA42">
        <v>0.1889113078899739</v>
      </c>
      <c r="AB42">
        <v>8.4389884008505769E-5</v>
      </c>
      <c r="AC42">
        <v>0.23566255150049983</v>
      </c>
    </row>
    <row r="43" spans="1:29" x14ac:dyDescent="0.3">
      <c r="A43">
        <v>131072</v>
      </c>
      <c r="B43">
        <v>4</v>
      </c>
      <c r="C43">
        <v>125</v>
      </c>
      <c r="D43">
        <v>0.95</v>
      </c>
      <c r="E43">
        <v>11</v>
      </c>
      <c r="F43">
        <v>4095</v>
      </c>
      <c r="G43">
        <v>8192</v>
      </c>
      <c r="H43">
        <v>32.007814407814408</v>
      </c>
      <c r="I43">
        <v>787174733.33333337</v>
      </c>
      <c r="J43">
        <v>3005159266.6666665</v>
      </c>
      <c r="K43">
        <v>3.8176520909673504</v>
      </c>
      <c r="L43">
        <v>1.2235802737971162</v>
      </c>
      <c r="M43">
        <v>6.7385610502455959</v>
      </c>
      <c r="N43">
        <v>0.27696521784071532</v>
      </c>
      <c r="O43">
        <v>30.123885350318467</v>
      </c>
      <c r="P43">
        <v>4.6019633415177754</v>
      </c>
      <c r="Q43">
        <v>1.7285446407875049E-3</v>
      </c>
      <c r="R43">
        <v>0.90333632829170241</v>
      </c>
      <c r="S43">
        <v>0.76423819836358231</v>
      </c>
      <c r="T43">
        <v>9.3296439646902624E-2</v>
      </c>
      <c r="U43">
        <v>1.6386874206074193E-3</v>
      </c>
      <c r="V43">
        <f t="shared" si="0"/>
        <v>0.1390981299281201</v>
      </c>
      <c r="W43">
        <f t="shared" si="1"/>
        <v>0.57662069779596159</v>
      </c>
      <c r="X43">
        <v>1.3639399123139098E-2</v>
      </c>
      <c r="Y43">
        <v>0.82156360032299125</v>
      </c>
      <c r="Z43">
        <v>0.24494290252702972</v>
      </c>
      <c r="AA43">
        <v>0.16467811611715136</v>
      </c>
      <c r="AB43">
        <v>1.1888443671837339E-4</v>
      </c>
      <c r="AC43">
        <v>0.20044475686655233</v>
      </c>
    </row>
    <row r="44" spans="1:29" x14ac:dyDescent="0.3">
      <c r="A44">
        <v>131072</v>
      </c>
      <c r="B44">
        <v>5</v>
      </c>
      <c r="C44">
        <v>216</v>
      </c>
      <c r="D44">
        <v>0.2</v>
      </c>
      <c r="E44">
        <v>10</v>
      </c>
      <c r="F44">
        <v>2047</v>
      </c>
      <c r="G44">
        <v>330368</v>
      </c>
      <c r="H44">
        <v>64.031265266243281</v>
      </c>
      <c r="I44">
        <v>27488740800</v>
      </c>
      <c r="J44">
        <v>154736375733.33334</v>
      </c>
      <c r="K44">
        <v>5.6290819888458969</v>
      </c>
      <c r="L44">
        <v>4.4833751700887197</v>
      </c>
      <c r="M44">
        <v>7.241879518352885</v>
      </c>
      <c r="N44">
        <v>0.28461459771878678</v>
      </c>
      <c r="O44">
        <v>0.65256637870382628</v>
      </c>
      <c r="P44">
        <v>2.9053504772346055</v>
      </c>
      <c r="Q44">
        <v>2.169939337490497E-3</v>
      </c>
      <c r="R44">
        <v>0.59249153748068362</v>
      </c>
      <c r="S44">
        <v>0.58359046891421573</v>
      </c>
      <c r="T44">
        <v>0.40529110740496344</v>
      </c>
      <c r="U44">
        <v>4.7415776862358133E-5</v>
      </c>
      <c r="V44">
        <f t="shared" si="0"/>
        <v>8.9010685664678846E-3</v>
      </c>
      <c r="W44">
        <f t="shared" si="1"/>
        <v>1.352406605589046E-2</v>
      </c>
      <c r="X44">
        <v>2.5155601895283025E-4</v>
      </c>
      <c r="Y44">
        <v>0.47833431806766946</v>
      </c>
      <c r="Z44">
        <v>0.464810252011779</v>
      </c>
      <c r="AA44">
        <v>0.52141172850252382</v>
      </c>
      <c r="AB44">
        <v>2.3974108538381192E-6</v>
      </c>
      <c r="AC44">
        <v>1.0900571186463779</v>
      </c>
    </row>
    <row r="45" spans="1:29" x14ac:dyDescent="0.3">
      <c r="A45">
        <v>131072</v>
      </c>
      <c r="B45">
        <v>5</v>
      </c>
      <c r="C45">
        <v>216</v>
      </c>
      <c r="D45">
        <v>0.35</v>
      </c>
      <c r="E45">
        <v>10</v>
      </c>
      <c r="F45">
        <v>2047</v>
      </c>
      <c r="G45">
        <v>89933.333333333328</v>
      </c>
      <c r="H45">
        <v>64.031265266243281</v>
      </c>
      <c r="I45">
        <v>10579840766.666666</v>
      </c>
      <c r="J45">
        <v>53815308933.333336</v>
      </c>
      <c r="K45">
        <v>5.0865896869531655</v>
      </c>
      <c r="L45">
        <v>4.1996500513509796</v>
      </c>
      <c r="M45">
        <v>7.2750593521198779</v>
      </c>
      <c r="N45">
        <v>0.29981334577694818</v>
      </c>
      <c r="O45">
        <v>3.0224365343420994</v>
      </c>
      <c r="P45">
        <v>4.103575239907145</v>
      </c>
      <c r="Q45">
        <v>1.7282081148398383E-3</v>
      </c>
      <c r="R45">
        <v>0.71340121902212739</v>
      </c>
      <c r="S45">
        <v>0.66164452323846101</v>
      </c>
      <c r="T45">
        <v>0.28474903984298466</v>
      </c>
      <c r="U45">
        <v>1.2153302004800495E-4</v>
      </c>
      <c r="V45">
        <f t="shared" si="0"/>
        <v>5.1756695783666373E-2</v>
      </c>
      <c r="W45">
        <f t="shared" si="1"/>
        <v>4.5430876736123338E-2</v>
      </c>
      <c r="X45">
        <v>1.0268961458865372E-3</v>
      </c>
      <c r="Y45">
        <v>0.59170561619892159</v>
      </c>
      <c r="Z45">
        <v>0.54627473946279825</v>
      </c>
      <c r="AA45">
        <v>0.40726032426604397</v>
      </c>
      <c r="AB45">
        <v>7.1633891478270476E-6</v>
      </c>
      <c r="AC45">
        <v>0.68828199888021646</v>
      </c>
    </row>
    <row r="46" spans="1:29" x14ac:dyDescent="0.3">
      <c r="A46">
        <v>131072</v>
      </c>
      <c r="B46">
        <v>5</v>
      </c>
      <c r="C46">
        <v>216</v>
      </c>
      <c r="D46">
        <v>0.5</v>
      </c>
      <c r="E46">
        <v>10</v>
      </c>
      <c r="F46">
        <v>2047</v>
      </c>
      <c r="G46">
        <v>34586</v>
      </c>
      <c r="H46">
        <v>64.031265266243281</v>
      </c>
      <c r="I46">
        <v>5130455750</v>
      </c>
      <c r="J46">
        <v>23321258050</v>
      </c>
      <c r="K46">
        <v>4.545650364492472</v>
      </c>
      <c r="L46">
        <v>3.6110177167472797</v>
      </c>
      <c r="M46">
        <v>7.2760335373867981</v>
      </c>
      <c r="N46">
        <v>0.29475665200864576</v>
      </c>
      <c r="O46">
        <v>6.3088915105696541</v>
      </c>
      <c r="P46">
        <v>5.0906988785421792</v>
      </c>
      <c r="Q46">
        <v>1.2143365625948532E-3</v>
      </c>
      <c r="R46">
        <v>0.77266729178981808</v>
      </c>
      <c r="S46">
        <v>0.68498386327569438</v>
      </c>
      <c r="T46">
        <v>0.22585685491976029</v>
      </c>
      <c r="U46">
        <v>2.6151672782676277E-4</v>
      </c>
      <c r="V46">
        <f t="shared" si="0"/>
        <v>8.7683428514123696E-2</v>
      </c>
      <c r="W46">
        <f t="shared" si="1"/>
        <v>9.2633883445237153E-2</v>
      </c>
      <c r="X46">
        <v>1.6853732725623694E-3</v>
      </c>
      <c r="Y46">
        <v>0.63677799212894515</v>
      </c>
      <c r="Z46">
        <v>0.54414410868370799</v>
      </c>
      <c r="AA46">
        <v>0.36151967689410308</v>
      </c>
      <c r="AB46">
        <v>1.695770438936505E-5</v>
      </c>
      <c r="AC46">
        <v>0.56773268134696575</v>
      </c>
    </row>
    <row r="47" spans="1:29" x14ac:dyDescent="0.3">
      <c r="A47">
        <v>131072</v>
      </c>
      <c r="B47">
        <v>5</v>
      </c>
      <c r="C47">
        <v>216</v>
      </c>
      <c r="D47">
        <v>0.65</v>
      </c>
      <c r="E47">
        <v>10</v>
      </c>
      <c r="F47">
        <v>2047</v>
      </c>
      <c r="G47">
        <v>12292</v>
      </c>
      <c r="H47">
        <v>64.031265266243281</v>
      </c>
      <c r="I47">
        <v>3071245433.3333335</v>
      </c>
      <c r="J47">
        <v>11406510066.666666</v>
      </c>
      <c r="K47">
        <v>3.7139689140007182</v>
      </c>
      <c r="L47">
        <v>2.8141176699960999</v>
      </c>
      <c r="M47">
        <v>7.2793222090981686</v>
      </c>
      <c r="N47">
        <v>0.2956896551724138</v>
      </c>
      <c r="O47">
        <v>14.856856716379829</v>
      </c>
      <c r="P47">
        <v>4.7869063420799201</v>
      </c>
      <c r="Q47">
        <v>8.5071894232527573E-4</v>
      </c>
      <c r="R47">
        <v>0.86304779527931574</v>
      </c>
      <c r="S47">
        <v>0.68582632433272483</v>
      </c>
      <c r="T47">
        <v>0.13569860904310882</v>
      </c>
      <c r="U47">
        <v>4.0287673525017204E-4</v>
      </c>
      <c r="V47">
        <f t="shared" si="0"/>
        <v>0.17722147094659091</v>
      </c>
      <c r="W47">
        <f t="shared" si="1"/>
        <v>0.21093900348170169</v>
      </c>
      <c r="X47">
        <v>3.4031004902574614E-3</v>
      </c>
      <c r="Y47">
        <v>0.73059762813459073</v>
      </c>
      <c r="Z47">
        <v>0.51965862465288903</v>
      </c>
      <c r="AA47">
        <v>0.26596719612474401</v>
      </c>
      <c r="AB47">
        <v>3.2075250407733537E-5</v>
      </c>
      <c r="AC47">
        <v>0.36404059619496537</v>
      </c>
    </row>
    <row r="48" spans="1:29" x14ac:dyDescent="0.3">
      <c r="A48">
        <v>131072</v>
      </c>
      <c r="B48">
        <v>5</v>
      </c>
      <c r="C48">
        <v>216</v>
      </c>
      <c r="D48">
        <v>0.8</v>
      </c>
      <c r="E48">
        <v>10</v>
      </c>
      <c r="F48">
        <v>2047</v>
      </c>
      <c r="G48">
        <v>7340</v>
      </c>
      <c r="H48">
        <v>64.031265266243281</v>
      </c>
      <c r="I48">
        <v>2538790400</v>
      </c>
      <c r="J48">
        <v>7347832033.333333</v>
      </c>
      <c r="K48">
        <v>2.894225546675036</v>
      </c>
      <c r="L48">
        <v>2.1708074981035685</v>
      </c>
      <c r="M48">
        <v>7.2037511670347705</v>
      </c>
      <c r="N48">
        <v>0.26341017468435751</v>
      </c>
      <c r="O48">
        <v>23.695867199059531</v>
      </c>
      <c r="P48">
        <v>4.8022899330330073</v>
      </c>
      <c r="Q48">
        <v>6.477756756393386E-4</v>
      </c>
      <c r="R48">
        <v>0.9001266639945279</v>
      </c>
      <c r="S48">
        <v>0.62046839313714119</v>
      </c>
      <c r="T48">
        <v>9.8694165536469647E-2</v>
      </c>
      <c r="U48">
        <v>5.3139479336301258E-4</v>
      </c>
      <c r="V48">
        <f t="shared" si="0"/>
        <v>0.2796582708573867</v>
      </c>
      <c r="W48">
        <f t="shared" si="1"/>
        <v>0.28361656751897901</v>
      </c>
      <c r="X48">
        <v>5.3035280551527401E-3</v>
      </c>
      <c r="Y48">
        <v>0.74899751949964055</v>
      </c>
      <c r="Z48">
        <v>0.46538095198066154</v>
      </c>
      <c r="AA48">
        <v>0.24565058897349773</v>
      </c>
      <c r="AB48">
        <v>4.8363471709008996E-5</v>
      </c>
      <c r="AC48">
        <v>0.32797250001255263</v>
      </c>
    </row>
    <row r="49" spans="1:29" x14ac:dyDescent="0.3">
      <c r="A49">
        <v>131072</v>
      </c>
      <c r="B49">
        <v>5</v>
      </c>
      <c r="C49">
        <v>216</v>
      </c>
      <c r="D49">
        <v>0.95</v>
      </c>
      <c r="E49">
        <v>10</v>
      </c>
      <c r="F49">
        <v>2047</v>
      </c>
      <c r="G49">
        <v>2048</v>
      </c>
      <c r="H49">
        <v>64.031265266243281</v>
      </c>
      <c r="I49">
        <v>1578618800</v>
      </c>
      <c r="J49">
        <v>5131480266.666667</v>
      </c>
      <c r="K49">
        <v>3.2506139333109849</v>
      </c>
      <c r="L49">
        <v>1.5931679912250871</v>
      </c>
      <c r="M49">
        <v>6.9645128289256331</v>
      </c>
      <c r="N49">
        <v>0.31766638834271549</v>
      </c>
      <c r="O49">
        <v>52.038582709381778</v>
      </c>
      <c r="P49">
        <v>1.5163404608062949</v>
      </c>
      <c r="Q49">
        <v>5.1608406031905865E-4</v>
      </c>
      <c r="R49">
        <v>0.95236293482209466</v>
      </c>
      <c r="S49">
        <v>0.85935544836199007</v>
      </c>
      <c r="T49">
        <v>4.6337025759480378E-2</v>
      </c>
      <c r="U49">
        <v>7.8395535810587506E-4</v>
      </c>
      <c r="V49">
        <f t="shared" si="0"/>
        <v>9.3007486460104594E-2</v>
      </c>
      <c r="W49">
        <f t="shared" si="1"/>
        <v>0.47120213031706876</v>
      </c>
      <c r="X49">
        <v>8.2619110140070822E-3</v>
      </c>
      <c r="Y49">
        <v>0.89238336607848723</v>
      </c>
      <c r="Z49">
        <v>0.42118123576141847</v>
      </c>
      <c r="AA49">
        <v>9.9278110835958389E-2</v>
      </c>
      <c r="AB49">
        <v>7.6612071547282182E-5</v>
      </c>
      <c r="AC49">
        <v>0.11125051699722813</v>
      </c>
    </row>
    <row r="50" spans="1:29" x14ac:dyDescent="0.3">
      <c r="A50">
        <v>131072</v>
      </c>
      <c r="B50">
        <v>6</v>
      </c>
      <c r="C50">
        <v>343</v>
      </c>
      <c r="D50">
        <v>0.2</v>
      </c>
      <c r="E50">
        <v>9</v>
      </c>
      <c r="F50">
        <v>1023</v>
      </c>
      <c r="G50">
        <v>163284</v>
      </c>
      <c r="H50">
        <v>128.12512218963832</v>
      </c>
      <c r="I50">
        <v>31334839166.666668</v>
      </c>
      <c r="J50">
        <v>203969738600</v>
      </c>
      <c r="K50">
        <v>6.509359678379286</v>
      </c>
      <c r="L50">
        <v>3.6923518757746763</v>
      </c>
      <c r="M50">
        <v>7.6243777102479386</v>
      </c>
      <c r="N50">
        <v>0.30761520403049247</v>
      </c>
      <c r="O50">
        <v>1.6511260912447732</v>
      </c>
      <c r="P50">
        <v>3.501160230848408</v>
      </c>
      <c r="Q50">
        <v>6.5252715115526221E-4</v>
      </c>
      <c r="R50">
        <v>0.29608645563230512</v>
      </c>
      <c r="S50">
        <v>0.28692397149956117</v>
      </c>
      <c r="T50">
        <v>0.70322068830362328</v>
      </c>
      <c r="U50">
        <v>4.0328912916339364E-5</v>
      </c>
      <c r="V50">
        <f t="shared" si="0"/>
        <v>9.1624841327439532E-3</v>
      </c>
      <c r="W50">
        <f t="shared" si="1"/>
        <v>1.3400006550448817E-2</v>
      </c>
      <c r="X50">
        <v>1.6551621937510293E-4</v>
      </c>
      <c r="Y50">
        <v>0.17615399722175584</v>
      </c>
      <c r="Z50">
        <v>0.16275399067130703</v>
      </c>
      <c r="AA50">
        <v>0.82367858072060107</v>
      </c>
      <c r="AB50">
        <v>1.9058382679779212E-6</v>
      </c>
      <c r="AC50">
        <v>4.6759005967017186</v>
      </c>
    </row>
    <row r="51" spans="1:29" x14ac:dyDescent="0.3">
      <c r="A51">
        <v>131072</v>
      </c>
      <c r="B51">
        <v>6</v>
      </c>
      <c r="C51">
        <v>343</v>
      </c>
      <c r="D51">
        <v>0.35</v>
      </c>
      <c r="E51">
        <v>9</v>
      </c>
      <c r="F51">
        <v>1023</v>
      </c>
      <c r="G51">
        <v>49461.333333333336</v>
      </c>
      <c r="H51">
        <v>128.12512218963832</v>
      </c>
      <c r="I51">
        <v>13732019666.666666</v>
      </c>
      <c r="J51">
        <v>75637879433.333328</v>
      </c>
      <c r="K51">
        <v>5.5081394630491234</v>
      </c>
      <c r="L51">
        <v>3.3568317187563794</v>
      </c>
      <c r="M51">
        <v>7.6846955783657158</v>
      </c>
      <c r="N51">
        <v>0.30481244547833675</v>
      </c>
      <c r="O51">
        <v>5.1368071994326758</v>
      </c>
      <c r="P51">
        <v>5.7024555943945821</v>
      </c>
      <c r="Q51">
        <v>4.8606105744241219E-4</v>
      </c>
      <c r="R51">
        <v>0.51645525121711278</v>
      </c>
      <c r="S51">
        <v>0.47354419266173015</v>
      </c>
      <c r="T51">
        <v>0.48295851309466281</v>
      </c>
      <c r="U51">
        <v>1.001746307820367E-4</v>
      </c>
      <c r="V51">
        <f t="shared" si="0"/>
        <v>4.2911058555382631E-2</v>
      </c>
      <c r="W51">
        <f t="shared" si="1"/>
        <v>3.7147717797621604E-2</v>
      </c>
      <c r="X51">
        <v>4.5329315932968325E-4</v>
      </c>
      <c r="Y51">
        <v>0.32574029553163258</v>
      </c>
      <c r="Z51">
        <v>0.28859257773401098</v>
      </c>
      <c r="AA51">
        <v>0.67380086779032533</v>
      </c>
      <c r="AB51">
        <v>5.5435187123347098E-6</v>
      </c>
      <c r="AC51">
        <v>2.0685216936106472</v>
      </c>
    </row>
    <row r="52" spans="1:29" x14ac:dyDescent="0.3">
      <c r="A52">
        <v>131072</v>
      </c>
      <c r="B52">
        <v>6</v>
      </c>
      <c r="C52">
        <v>343</v>
      </c>
      <c r="D52">
        <v>0.5</v>
      </c>
      <c r="E52">
        <v>9</v>
      </c>
      <c r="F52">
        <v>1023</v>
      </c>
      <c r="G52">
        <v>19149</v>
      </c>
      <c r="H52">
        <v>128.12512218963832</v>
      </c>
      <c r="I52">
        <v>7644962175</v>
      </c>
      <c r="J52">
        <v>35237188675</v>
      </c>
      <c r="K52">
        <v>4.6092037957009255</v>
      </c>
      <c r="L52">
        <v>2.7726701248311265</v>
      </c>
      <c r="M52">
        <v>7.728042895670586</v>
      </c>
      <c r="N52">
        <v>0.33342334175555</v>
      </c>
      <c r="O52">
        <v>10.343000510939442</v>
      </c>
      <c r="P52">
        <v>5.4847112059991758</v>
      </c>
      <c r="Q52">
        <v>4.2881507127927679E-4</v>
      </c>
      <c r="R52">
        <v>0.66443239465733539</v>
      </c>
      <c r="S52">
        <v>0.60034653147253803</v>
      </c>
      <c r="T52">
        <v>0.3349692439779795</v>
      </c>
      <c r="U52">
        <v>1.6954629340595789E-4</v>
      </c>
      <c r="V52">
        <f t="shared" si="0"/>
        <v>6.4085863184797365E-2</v>
      </c>
      <c r="W52">
        <f t="shared" si="1"/>
        <v>7.6258822029876439E-2</v>
      </c>
      <c r="X52">
        <v>9.622561071126654E-4</v>
      </c>
      <c r="Y52">
        <v>0.43739774452934566</v>
      </c>
      <c r="Z52">
        <v>0.36113892249946922</v>
      </c>
      <c r="AA52">
        <v>0.56162773462233362</v>
      </c>
      <c r="AB52">
        <v>1.2264741208103771E-5</v>
      </c>
      <c r="AC52">
        <v>1.2840206463036601</v>
      </c>
    </row>
    <row r="53" spans="1:29" x14ac:dyDescent="0.3">
      <c r="A53">
        <v>131072</v>
      </c>
      <c r="B53">
        <v>6</v>
      </c>
      <c r="C53">
        <v>343</v>
      </c>
      <c r="D53">
        <v>0.65</v>
      </c>
      <c r="E53">
        <v>9</v>
      </c>
      <c r="F53">
        <v>1023</v>
      </c>
      <c r="G53">
        <v>8553.3333333333339</v>
      </c>
      <c r="H53">
        <v>128.12512218963832</v>
      </c>
      <c r="I53">
        <v>4800561300</v>
      </c>
      <c r="J53">
        <v>17116030866.666666</v>
      </c>
      <c r="K53">
        <v>3.5654228322564419</v>
      </c>
      <c r="L53">
        <v>1.7806680677970275</v>
      </c>
      <c r="M53">
        <v>7.6500068213819405</v>
      </c>
      <c r="N53">
        <v>0.29532790398628378</v>
      </c>
      <c r="O53">
        <v>24.383951642672574</v>
      </c>
      <c r="P53">
        <v>4.4648953256427291</v>
      </c>
      <c r="Q53">
        <v>3.0096480592800681E-4</v>
      </c>
      <c r="R53">
        <v>0.75960129912308372</v>
      </c>
      <c r="S53">
        <v>0.63627027670007386</v>
      </c>
      <c r="T53">
        <v>0.23982234466345984</v>
      </c>
      <c r="U53">
        <v>2.7539140752839324E-4</v>
      </c>
      <c r="V53">
        <f t="shared" si="0"/>
        <v>0.12333102242300986</v>
      </c>
      <c r="W53">
        <f t="shared" si="1"/>
        <v>0.16558318078595963</v>
      </c>
      <c r="X53">
        <v>2.0583004090009766E-3</v>
      </c>
      <c r="Y53">
        <v>0.48335367183629319</v>
      </c>
      <c r="Z53">
        <v>0.31777049105033356</v>
      </c>
      <c r="AA53">
        <v>0.51456521678080802</v>
      </c>
      <c r="AB53">
        <v>2.2810973897791873E-5</v>
      </c>
      <c r="AC53">
        <v>1.0645728930245633</v>
      </c>
    </row>
    <row r="54" spans="1:29" x14ac:dyDescent="0.3">
      <c r="A54">
        <v>131072</v>
      </c>
      <c r="B54">
        <v>6</v>
      </c>
      <c r="C54">
        <v>343</v>
      </c>
      <c r="D54">
        <v>0.8</v>
      </c>
      <c r="E54">
        <v>9</v>
      </c>
      <c r="F54">
        <v>1023</v>
      </c>
      <c r="G54">
        <v>4548</v>
      </c>
      <c r="H54">
        <v>128.12512218963832</v>
      </c>
      <c r="I54">
        <v>3823524333.3333335</v>
      </c>
      <c r="J54">
        <v>10756737466.666666</v>
      </c>
      <c r="K54">
        <v>2.813304304850333</v>
      </c>
      <c r="L54">
        <v>1.2774503628942746</v>
      </c>
      <c r="M54">
        <v>7.5800874393370163</v>
      </c>
      <c r="N54">
        <v>0.32834285126305501</v>
      </c>
      <c r="O54">
        <v>39.030485537958214</v>
      </c>
      <c r="P54">
        <v>6.3757526361423817</v>
      </c>
      <c r="Q54">
        <v>2.3449569607377068E-4</v>
      </c>
      <c r="R54">
        <v>0.83853993170175545</v>
      </c>
      <c r="S54">
        <v>0.68413765380334524</v>
      </c>
      <c r="T54">
        <v>0.16088667061357789</v>
      </c>
      <c r="U54">
        <v>3.3890198859289766E-4</v>
      </c>
      <c r="V54">
        <f t="shared" si="0"/>
        <v>0.15440227789841021</v>
      </c>
      <c r="W54">
        <f t="shared" si="1"/>
        <v>0.25256905963221976</v>
      </c>
      <c r="X54">
        <v>3.2532850635962969E-3</v>
      </c>
      <c r="Y54">
        <v>0.56321867283402194</v>
      </c>
      <c r="Z54">
        <v>0.31064961320180218</v>
      </c>
      <c r="AA54">
        <v>0.43348848859761463</v>
      </c>
      <c r="AB54">
        <v>3.9553504767139374E-5</v>
      </c>
      <c r="AC54">
        <v>0.76966284945130325</v>
      </c>
    </row>
    <row r="55" spans="1:29" x14ac:dyDescent="0.3">
      <c r="A55">
        <v>131072</v>
      </c>
      <c r="B55">
        <v>6</v>
      </c>
      <c r="C55">
        <v>343</v>
      </c>
      <c r="D55">
        <v>0.95</v>
      </c>
      <c r="E55">
        <v>9</v>
      </c>
      <c r="F55">
        <v>1023</v>
      </c>
      <c r="G55">
        <v>3072</v>
      </c>
      <c r="H55">
        <v>128.12512218963832</v>
      </c>
      <c r="I55">
        <v>3317386133.3333335</v>
      </c>
      <c r="J55">
        <v>7170160733.333333</v>
      </c>
      <c r="K55">
        <v>2.1613886491195715</v>
      </c>
      <c r="L55">
        <v>0.53701430171799625</v>
      </c>
      <c r="M55">
        <v>7.5439225663538991</v>
      </c>
      <c r="N55">
        <v>0.30059870506325687</v>
      </c>
      <c r="O55">
        <v>63.366349047141419</v>
      </c>
      <c r="P55">
        <v>4.7683468376621088</v>
      </c>
      <c r="Q55">
        <v>1.6028683787830386E-4</v>
      </c>
      <c r="R55">
        <v>0.87320256076310054</v>
      </c>
      <c r="S55">
        <v>0.64675742098317079</v>
      </c>
      <c r="T55">
        <v>0.12626624793270974</v>
      </c>
      <c r="U55">
        <v>3.7090446631154902E-4</v>
      </c>
      <c r="V55">
        <f t="shared" si="0"/>
        <v>0.22644513977992975</v>
      </c>
      <c r="W55">
        <f t="shared" si="1"/>
        <v>0.39384845589375017</v>
      </c>
      <c r="X55">
        <v>4.6991973057675107E-3</v>
      </c>
      <c r="Y55">
        <v>0.55454051141633631</v>
      </c>
      <c r="Z55">
        <v>0.16069205552258611</v>
      </c>
      <c r="AA55">
        <v>0.44070870712512433</v>
      </c>
      <c r="AB55">
        <v>5.1584152771805371E-5</v>
      </c>
      <c r="AC55">
        <v>0.79472770348107236</v>
      </c>
    </row>
    <row r="56" spans="1:29" x14ac:dyDescent="0.3">
      <c r="A56">
        <v>131072</v>
      </c>
      <c r="B56">
        <v>7</v>
      </c>
      <c r="C56">
        <v>512</v>
      </c>
      <c r="D56">
        <v>0.2</v>
      </c>
      <c r="E56">
        <v>8</v>
      </c>
      <c r="F56">
        <v>511</v>
      </c>
      <c r="G56">
        <v>56325.333333333336</v>
      </c>
      <c r="H56">
        <v>256.5009784735812</v>
      </c>
      <c r="I56">
        <v>34727042866.666664</v>
      </c>
      <c r="J56">
        <v>251078806166.66666</v>
      </c>
      <c r="K56">
        <v>7.230065834591084</v>
      </c>
      <c r="L56">
        <v>2.1529419361795123</v>
      </c>
      <c r="M56">
        <v>7.8506953577317944</v>
      </c>
      <c r="N56">
        <v>0.27709089228351552</v>
      </c>
      <c r="O56">
        <v>3.4502426042660712</v>
      </c>
      <c r="P56">
        <v>15.319349482629473</v>
      </c>
      <c r="Q56">
        <v>2.8566018049453157E-4</v>
      </c>
      <c r="R56">
        <v>0.12081991018093068</v>
      </c>
      <c r="S56">
        <v>0.11252283554163764</v>
      </c>
      <c r="T56">
        <v>0.878852895244984</v>
      </c>
      <c r="U56">
        <v>4.1534393590740965E-5</v>
      </c>
      <c r="V56">
        <f t="shared" si="0"/>
        <v>8.2970746392930367E-3</v>
      </c>
      <c r="W56">
        <f t="shared" si="1"/>
        <v>1.2061750835272375E-2</v>
      </c>
      <c r="X56">
        <v>1.3631921861197155E-4</v>
      </c>
      <c r="Y56">
        <v>4.5568379537931157E-2</v>
      </c>
      <c r="Z56">
        <v>3.3506628702658782E-2</v>
      </c>
      <c r="AA56">
        <v>0.95429370944575487</v>
      </c>
      <c r="AB56">
        <v>1.5917977019588307E-6</v>
      </c>
      <c r="AC56">
        <v>20.942015474818454</v>
      </c>
    </row>
    <row r="57" spans="1:29" x14ac:dyDescent="0.3">
      <c r="A57">
        <v>131072</v>
      </c>
      <c r="B57">
        <v>7</v>
      </c>
      <c r="C57">
        <v>512</v>
      </c>
      <c r="D57">
        <v>0.35</v>
      </c>
      <c r="E57">
        <v>8</v>
      </c>
      <c r="F57">
        <v>511</v>
      </c>
      <c r="G57">
        <v>19505.333333333332</v>
      </c>
      <c r="H57">
        <v>256.5009784735812</v>
      </c>
      <c r="I57">
        <v>16945024500</v>
      </c>
      <c r="J57">
        <v>105512770100</v>
      </c>
      <c r="K57">
        <v>6.226769993752443</v>
      </c>
      <c r="L57">
        <v>3.2614146426422175</v>
      </c>
      <c r="M57">
        <v>7.9148152285473587</v>
      </c>
      <c r="N57">
        <v>0.33251199245065399</v>
      </c>
      <c r="O57">
        <v>10.692644750099584</v>
      </c>
      <c r="P57">
        <v>7.0676789489237208</v>
      </c>
      <c r="Q57">
        <v>1.679037603830749E-4</v>
      </c>
      <c r="R57">
        <v>0.38112666838182108</v>
      </c>
      <c r="S57">
        <v>0.34602427790332596</v>
      </c>
      <c r="T57">
        <v>0.61863038321366837</v>
      </c>
      <c r="U57">
        <v>7.5044644127444804E-5</v>
      </c>
      <c r="V57">
        <f t="shared" si="0"/>
        <v>3.5102390478495116E-2</v>
      </c>
      <c r="W57">
        <f t="shared" si="1"/>
        <v>3.213156755136698E-2</v>
      </c>
      <c r="X57">
        <v>2.8832528964188386E-4</v>
      </c>
      <c r="Y57">
        <v>0.21336977737699137</v>
      </c>
      <c r="Z57">
        <v>0.18123820982562439</v>
      </c>
      <c r="AA57">
        <v>0.78633788991954445</v>
      </c>
      <c r="AB57">
        <v>4.0074138223514741E-6</v>
      </c>
      <c r="AC57">
        <v>3.6853292888345996</v>
      </c>
    </row>
    <row r="58" spans="1:29" x14ac:dyDescent="0.3">
      <c r="A58">
        <v>131072</v>
      </c>
      <c r="B58">
        <v>7</v>
      </c>
      <c r="C58">
        <v>512</v>
      </c>
      <c r="D58">
        <v>0.5</v>
      </c>
      <c r="E58">
        <v>8</v>
      </c>
      <c r="F58">
        <v>511</v>
      </c>
      <c r="G58">
        <v>9150</v>
      </c>
      <c r="H58">
        <v>256.5009784735812</v>
      </c>
      <c r="I58">
        <v>9585800425</v>
      </c>
      <c r="J58">
        <v>52095753525</v>
      </c>
      <c r="K58">
        <v>5.4346795484217481</v>
      </c>
      <c r="L58">
        <v>2.403228441924969</v>
      </c>
      <c r="M58">
        <v>7.9147045300636121</v>
      </c>
      <c r="N58">
        <v>0.31686705989110708</v>
      </c>
      <c r="O58">
        <v>22.106602649723836</v>
      </c>
      <c r="P58">
        <v>5.6997793584358325</v>
      </c>
      <c r="Q58">
        <v>1.444897597062167E-4</v>
      </c>
      <c r="R58">
        <v>0.48737947984140295</v>
      </c>
      <c r="S58">
        <v>0.43573651284316195</v>
      </c>
      <c r="T58">
        <v>0.51233807634796447</v>
      </c>
      <c r="U58">
        <v>1.3795405092632105E-4</v>
      </c>
      <c r="V58">
        <f t="shared" si="0"/>
        <v>5.1642966998241002E-2</v>
      </c>
      <c r="W58">
        <f t="shared" si="1"/>
        <v>6.0585500956145427E-2</v>
      </c>
      <c r="X58">
        <v>5.8773984304318592E-4</v>
      </c>
      <c r="Y58">
        <v>0.2532692409117045</v>
      </c>
      <c r="Z58">
        <v>0.19268373995555907</v>
      </c>
      <c r="AA58">
        <v>0.74613497588333422</v>
      </c>
      <c r="AB58">
        <v>8.0433619181439804E-6</v>
      </c>
      <c r="AC58">
        <v>2.9460149728306488</v>
      </c>
    </row>
    <row r="59" spans="1:29" x14ac:dyDescent="0.3">
      <c r="A59">
        <v>131072</v>
      </c>
      <c r="B59">
        <v>7</v>
      </c>
      <c r="C59">
        <v>512</v>
      </c>
      <c r="D59">
        <v>0.65</v>
      </c>
      <c r="E59">
        <v>8</v>
      </c>
      <c r="F59">
        <v>511</v>
      </c>
      <c r="G59">
        <v>3602.6666666666665</v>
      </c>
      <c r="H59">
        <v>256.5009784735812</v>
      </c>
      <c r="I59">
        <v>5866462366.666667</v>
      </c>
      <c r="J59">
        <v>24290843600</v>
      </c>
      <c r="K59">
        <v>4.140628897241541</v>
      </c>
      <c r="L59">
        <v>1.6524445287705389</v>
      </c>
      <c r="M59">
        <v>7.9110095119494668</v>
      </c>
      <c r="N59">
        <v>0.26743815691687017</v>
      </c>
      <c r="O59">
        <v>42.365744717402507</v>
      </c>
      <c r="P59">
        <v>8.5526896105445456</v>
      </c>
      <c r="Q59">
        <v>1.3230006174476383E-4</v>
      </c>
      <c r="R59">
        <v>0.66843716961029853</v>
      </c>
      <c r="S59">
        <v>0.56696264723900525</v>
      </c>
      <c r="T59">
        <v>0.33110941687281825</v>
      </c>
      <c r="U59">
        <v>3.2111345513844623E-4</v>
      </c>
      <c r="V59">
        <f t="shared" si="0"/>
        <v>0.10147452237129329</v>
      </c>
      <c r="W59">
        <f t="shared" si="1"/>
        <v>0.13975025826878518</v>
      </c>
      <c r="X59">
        <v>1.353656843217527E-3</v>
      </c>
      <c r="Y59">
        <v>0.366014033095719</v>
      </c>
      <c r="Z59">
        <v>0.22626377482693383</v>
      </c>
      <c r="AA59">
        <v>0.63261156973568422</v>
      </c>
      <c r="AB59">
        <v>2.0740325379230552E-5</v>
      </c>
      <c r="AC59">
        <v>1.7283806426357575</v>
      </c>
    </row>
    <row r="60" spans="1:29" x14ac:dyDescent="0.3">
      <c r="A60">
        <v>131072</v>
      </c>
      <c r="B60">
        <v>7</v>
      </c>
      <c r="C60">
        <v>512</v>
      </c>
      <c r="D60">
        <v>0.8</v>
      </c>
      <c r="E60">
        <v>8</v>
      </c>
      <c r="F60">
        <v>511</v>
      </c>
      <c r="G60">
        <v>1937.3333333333333</v>
      </c>
      <c r="H60">
        <v>256.5009784735812</v>
      </c>
      <c r="I60">
        <v>4707535866.666667</v>
      </c>
      <c r="J60">
        <v>15394169366.666666</v>
      </c>
      <c r="K60">
        <v>3.270111965725083</v>
      </c>
      <c r="L60">
        <v>1.3428781659589359</v>
      </c>
      <c r="M60">
        <v>7.8382432534462962</v>
      </c>
      <c r="N60">
        <v>0.30495264149482543</v>
      </c>
      <c r="O60">
        <v>58.265224151334543</v>
      </c>
      <c r="P60">
        <v>9.5198486639438524</v>
      </c>
      <c r="Q60">
        <v>1.0929992843531246E-4</v>
      </c>
      <c r="R60">
        <v>0.77688215312305353</v>
      </c>
      <c r="S60">
        <v>0.65026000580799248</v>
      </c>
      <c r="T60">
        <v>0.2227341854347068</v>
      </c>
      <c r="U60">
        <v>2.7436151380429207E-4</v>
      </c>
      <c r="V60">
        <f t="shared" si="0"/>
        <v>0.12662214731506105</v>
      </c>
      <c r="W60">
        <f t="shared" si="1"/>
        <v>0.19711717216155256</v>
      </c>
      <c r="X60">
        <v>1.947451615344382E-3</v>
      </c>
      <c r="Y60">
        <v>0.4641477732994756</v>
      </c>
      <c r="Z60">
        <v>0.26703060113792304</v>
      </c>
      <c r="AA60">
        <v>0.53387918964063374</v>
      </c>
      <c r="AB60">
        <v>2.5585444546265345E-5</v>
      </c>
      <c r="AC60">
        <v>1.1502353783698243</v>
      </c>
    </row>
    <row r="61" spans="1:29" x14ac:dyDescent="0.3">
      <c r="A61">
        <v>131072</v>
      </c>
      <c r="B61">
        <v>7</v>
      </c>
      <c r="C61">
        <v>512</v>
      </c>
      <c r="D61">
        <v>0.95</v>
      </c>
      <c r="E61">
        <v>8</v>
      </c>
      <c r="F61">
        <v>511</v>
      </c>
      <c r="G61">
        <v>1024</v>
      </c>
      <c r="H61">
        <v>256.5009784735812</v>
      </c>
      <c r="I61">
        <v>3774035233.3333335</v>
      </c>
      <c r="J61">
        <v>9238956666.666666</v>
      </c>
      <c r="K61">
        <v>2.4480313763543116</v>
      </c>
      <c r="L61">
        <v>0.57380271350542722</v>
      </c>
      <c r="M61">
        <v>7.7801097036766622</v>
      </c>
      <c r="N61">
        <v>0.29574037550267668</v>
      </c>
      <c r="O61">
        <v>181.51799387442571</v>
      </c>
      <c r="P61">
        <v>10.510602400327963</v>
      </c>
      <c r="Q61">
        <v>4.6139827152470412E-5</v>
      </c>
      <c r="R61">
        <v>0.85103366417079118</v>
      </c>
      <c r="S61">
        <v>0.67995818127718066</v>
      </c>
      <c r="T61">
        <v>0.14857537498523793</v>
      </c>
      <c r="U61">
        <v>3.4482101681845276E-4</v>
      </c>
      <c r="V61">
        <f t="shared" si="0"/>
        <v>0.17107548289361052</v>
      </c>
      <c r="W61">
        <f t="shared" si="1"/>
        <v>0.36497065866383893</v>
      </c>
      <c r="X61">
        <v>3.4212016003250007E-3</v>
      </c>
      <c r="Y61">
        <v>0.52434845637332061</v>
      </c>
      <c r="Z61">
        <v>0.15937779770948166</v>
      </c>
      <c r="AA61">
        <v>0.47218868508601441</v>
      </c>
      <c r="AB61">
        <v>4.1656940339944592E-5</v>
      </c>
      <c r="AC61">
        <v>0.90052460219284025</v>
      </c>
    </row>
    <row r="62" spans="1:29" x14ac:dyDescent="0.3">
      <c r="A62">
        <v>262144</v>
      </c>
      <c r="B62">
        <v>3</v>
      </c>
      <c r="C62">
        <v>64</v>
      </c>
      <c r="D62">
        <v>0.2</v>
      </c>
      <c r="E62">
        <v>12</v>
      </c>
      <c r="F62">
        <v>8191</v>
      </c>
      <c r="G62">
        <v>2184828</v>
      </c>
      <c r="H62">
        <v>32.003906726895373</v>
      </c>
      <c r="I62">
        <v>27107354466.666668</v>
      </c>
      <c r="J62">
        <v>173249305700</v>
      </c>
      <c r="K62">
        <v>6.3912288420856767</v>
      </c>
      <c r="L62">
        <v>5.1027814095583333</v>
      </c>
      <c r="M62">
        <v>7.0575423572595115</v>
      </c>
      <c r="N62">
        <v>0.38733552631578949</v>
      </c>
      <c r="O62">
        <v>0.32824242946262472</v>
      </c>
      <c r="P62">
        <v>15.079158444875006</v>
      </c>
      <c r="Q62">
        <v>1.3876717496078684E-2</v>
      </c>
      <c r="R62">
        <v>0.30554181560523458</v>
      </c>
      <c r="S62">
        <v>0.29709434795280909</v>
      </c>
      <c r="T62">
        <v>0.680500721283961</v>
      </c>
      <c r="U62">
        <v>8.0745614725757182E-5</v>
      </c>
      <c r="V62">
        <f t="shared" si="0"/>
        <v>8.4474676524254888E-3</v>
      </c>
      <c r="W62">
        <f t="shared" si="1"/>
        <v>1.0635272250521577E-2</v>
      </c>
      <c r="X62">
        <v>7.1268414516557183E-4</v>
      </c>
      <c r="Y62">
        <v>0.24783652932892153</v>
      </c>
      <c r="Z62">
        <v>0.23720125707839995</v>
      </c>
      <c r="AA62">
        <v>0.75144589299980857</v>
      </c>
      <c r="AB62">
        <v>4.8935261043300096E-6</v>
      </c>
      <c r="AC62">
        <v>3.0320223376050879</v>
      </c>
    </row>
    <row r="63" spans="1:29" x14ac:dyDescent="0.3">
      <c r="A63">
        <v>262144</v>
      </c>
      <c r="B63">
        <v>3</v>
      </c>
      <c r="C63">
        <v>64</v>
      </c>
      <c r="D63">
        <v>0.35</v>
      </c>
      <c r="E63">
        <v>12</v>
      </c>
      <c r="F63">
        <v>8191</v>
      </c>
      <c r="G63">
        <v>488910.66666666669</v>
      </c>
      <c r="H63">
        <v>32.003906726895373</v>
      </c>
      <c r="I63">
        <v>7333054466.666667</v>
      </c>
      <c r="J63">
        <v>42816266233.333336</v>
      </c>
      <c r="K63">
        <v>5.838803792875142</v>
      </c>
      <c r="L63">
        <v>4.7479183221178873</v>
      </c>
      <c r="M63">
        <v>7.1023723999401254</v>
      </c>
      <c r="N63">
        <v>0.47623908018372307</v>
      </c>
      <c r="O63">
        <v>0.59645389566660612</v>
      </c>
      <c r="P63">
        <v>12.57095703116568</v>
      </c>
      <c r="Q63">
        <v>1.7900989816730939E-2</v>
      </c>
      <c r="R63">
        <v>0.42211338818457067</v>
      </c>
      <c r="S63">
        <v>0.34764800192356404</v>
      </c>
      <c r="T63">
        <v>0.55968278320983789</v>
      </c>
      <c r="U63">
        <v>3.0283878886048913E-4</v>
      </c>
      <c r="V63">
        <f t="shared" si="0"/>
        <v>7.4465386261006627E-2</v>
      </c>
      <c r="W63">
        <f t="shared" si="1"/>
        <v>3.4647950350975287E-2</v>
      </c>
      <c r="X63">
        <v>1.8286476975825543E-3</v>
      </c>
      <c r="Y63">
        <v>0.31734358057488016</v>
      </c>
      <c r="Z63">
        <v>0.28269563022390487</v>
      </c>
      <c r="AA63">
        <v>0.68080307083479163</v>
      </c>
      <c r="AB63">
        <v>2.4700892745678903E-5</v>
      </c>
      <c r="AC63">
        <v>2.1453185522186726</v>
      </c>
    </row>
    <row r="64" spans="1:29" x14ac:dyDescent="0.3">
      <c r="A64">
        <v>262144</v>
      </c>
      <c r="B64">
        <v>3</v>
      </c>
      <c r="C64">
        <v>64</v>
      </c>
      <c r="D64">
        <v>0.5</v>
      </c>
      <c r="E64">
        <v>12</v>
      </c>
      <c r="F64">
        <v>8191</v>
      </c>
      <c r="G64">
        <v>173344</v>
      </c>
      <c r="H64">
        <v>32.003906726895373</v>
      </c>
      <c r="I64">
        <v>3325234150</v>
      </c>
      <c r="J64">
        <v>17393868800</v>
      </c>
      <c r="K64">
        <v>5.2308703734442279</v>
      </c>
      <c r="L64">
        <v>3.8080922481178758</v>
      </c>
      <c r="M64">
        <v>7.1140664903105453</v>
      </c>
      <c r="N64">
        <v>0.37395499822127359</v>
      </c>
      <c r="O64">
        <v>2.1882347642305495</v>
      </c>
      <c r="P64">
        <v>12.385709610759331</v>
      </c>
      <c r="Q64">
        <v>1.1016900869973322E-2</v>
      </c>
      <c r="R64">
        <v>0.54875673191314966</v>
      </c>
      <c r="S64">
        <v>0.41691677562014695</v>
      </c>
      <c r="T64">
        <v>0.43955008401438439</v>
      </c>
      <c r="U64">
        <v>6.7628320249267255E-4</v>
      </c>
      <c r="V64">
        <f t="shared" si="0"/>
        <v>0.13183995629300271</v>
      </c>
      <c r="W64">
        <f t="shared" si="1"/>
        <v>9.4030975443484988E-2</v>
      </c>
      <c r="X64">
        <v>4.6087101680334624E-3</v>
      </c>
      <c r="Y64">
        <v>0.39754787186850576</v>
      </c>
      <c r="Z64">
        <v>0.30351689642502078</v>
      </c>
      <c r="AA64">
        <v>0.59779507046758917</v>
      </c>
      <c r="AB64">
        <v>4.8347495871648752E-5</v>
      </c>
      <c r="AC64">
        <v>1.5037058748620791</v>
      </c>
    </row>
    <row r="65" spans="1:29" x14ac:dyDescent="0.3">
      <c r="A65">
        <v>262144</v>
      </c>
      <c r="B65">
        <v>3</v>
      </c>
      <c r="C65">
        <v>64</v>
      </c>
      <c r="D65">
        <v>0.65</v>
      </c>
      <c r="E65">
        <v>12</v>
      </c>
      <c r="F65">
        <v>8191</v>
      </c>
      <c r="G65">
        <v>68510.666666666672</v>
      </c>
      <c r="H65">
        <v>32.003906726895373</v>
      </c>
      <c r="I65">
        <v>1865781533.3333333</v>
      </c>
      <c r="J65">
        <v>7753511866.666667</v>
      </c>
      <c r="K65">
        <v>4.1556375857223449</v>
      </c>
      <c r="L65">
        <v>2.6533983329422894</v>
      </c>
      <c r="M65">
        <v>7.0216486364624773</v>
      </c>
      <c r="N65">
        <v>0.39796701489498326</v>
      </c>
      <c r="O65">
        <v>7.224839526695007</v>
      </c>
      <c r="P65">
        <v>5.0370724774443261</v>
      </c>
      <c r="Q65">
        <v>6.362552700435847E-3</v>
      </c>
      <c r="R65">
        <v>0.67963242784801914</v>
      </c>
      <c r="S65">
        <v>0.39130878238227462</v>
      </c>
      <c r="T65">
        <v>0.31286435357222786</v>
      </c>
      <c r="U65">
        <v>1.140665879317132E-3</v>
      </c>
      <c r="V65">
        <f t="shared" si="0"/>
        <v>0.28832364546574452</v>
      </c>
      <c r="W65">
        <f t="shared" si="1"/>
        <v>0.21033922365914909</v>
      </c>
      <c r="X65">
        <v>1.1061701433908512E-2</v>
      </c>
      <c r="Y65">
        <v>0.46019211612650912</v>
      </c>
      <c r="Z65">
        <v>0.24985289246736003</v>
      </c>
      <c r="AA65">
        <v>0.52863694591796073</v>
      </c>
      <c r="AB65">
        <v>1.0923652162162593E-4</v>
      </c>
      <c r="AC65">
        <v>1.1487309916726947</v>
      </c>
    </row>
    <row r="66" spans="1:29" x14ac:dyDescent="0.3">
      <c r="A66">
        <v>262144</v>
      </c>
      <c r="B66">
        <v>3</v>
      </c>
      <c r="C66">
        <v>64</v>
      </c>
      <c r="D66">
        <v>0.8</v>
      </c>
      <c r="E66">
        <v>12</v>
      </c>
      <c r="F66">
        <v>8191</v>
      </c>
      <c r="G66">
        <v>32366.666666666668</v>
      </c>
      <c r="H66">
        <v>32.003906726895373</v>
      </c>
      <c r="I66">
        <v>1033676000</v>
      </c>
      <c r="J66">
        <v>4758407466.666667</v>
      </c>
      <c r="K66">
        <v>4.6033839101098089</v>
      </c>
      <c r="L66">
        <v>1.8321168439521875</v>
      </c>
      <c r="M66">
        <v>6.8837964156858114</v>
      </c>
      <c r="N66">
        <v>0.39777468706536862</v>
      </c>
      <c r="O66">
        <v>7.4685571914210547</v>
      </c>
      <c r="P66">
        <v>7.0593698455986917</v>
      </c>
      <c r="Q66">
        <v>1.0406129838234288E-2</v>
      </c>
      <c r="R66">
        <v>0.71495036484675412</v>
      </c>
      <c r="S66">
        <v>0.5881275499608517</v>
      </c>
      <c r="T66">
        <v>0.27260314966520777</v>
      </c>
      <c r="U66">
        <v>2.0403556498038715E-3</v>
      </c>
      <c r="V66">
        <f t="shared" si="0"/>
        <v>0.12682281488590241</v>
      </c>
      <c r="W66">
        <f t="shared" si="1"/>
        <v>0.34122519169999066</v>
      </c>
      <c r="X66">
        <v>1.6882966390772306E-2</v>
      </c>
      <c r="Y66">
        <v>0.57529612988726542</v>
      </c>
      <c r="Z66">
        <v>0.23407093818727473</v>
      </c>
      <c r="AA66">
        <v>0.40764459823757276</v>
      </c>
      <c r="AB66">
        <v>1.7630548438951114E-4</v>
      </c>
      <c r="AC66">
        <v>0.7085822015132528</v>
      </c>
    </row>
    <row r="67" spans="1:29" x14ac:dyDescent="0.3">
      <c r="A67">
        <v>262144</v>
      </c>
      <c r="B67">
        <v>3</v>
      </c>
      <c r="C67">
        <v>64</v>
      </c>
      <c r="D67">
        <v>0.95</v>
      </c>
      <c r="E67">
        <v>12</v>
      </c>
      <c r="F67">
        <v>8191</v>
      </c>
      <c r="G67">
        <v>24472</v>
      </c>
      <c r="H67">
        <v>32.003906726895373</v>
      </c>
      <c r="I67">
        <v>852484566.66666663</v>
      </c>
      <c r="J67">
        <v>3562095400</v>
      </c>
      <c r="K67">
        <v>4.1784866721145333</v>
      </c>
      <c r="L67">
        <v>0.73768892806209463</v>
      </c>
      <c r="M67">
        <v>6.4314462173703113</v>
      </c>
      <c r="N67">
        <v>0.40156788962057072</v>
      </c>
      <c r="O67">
        <v>25.812020657296276</v>
      </c>
      <c r="P67">
        <v>4.1926520460783401</v>
      </c>
      <c r="Q67">
        <v>3.8084364929069883E-3</v>
      </c>
      <c r="R67">
        <v>0.72596802045722275</v>
      </c>
      <c r="S67">
        <v>0.57201610336093278</v>
      </c>
      <c r="T67">
        <v>0.2677296562592707</v>
      </c>
      <c r="U67">
        <v>2.4938867905995718E-3</v>
      </c>
      <c r="V67">
        <f t="shared" ref="V67:V130" si="2">R67-S67</f>
        <v>0.15395191709628997</v>
      </c>
      <c r="W67">
        <f t="shared" ref="W67:W130" si="3">Y67-Z67</f>
        <v>0.46316360121442385</v>
      </c>
      <c r="X67">
        <v>2.3526087107792415E-2</v>
      </c>
      <c r="Y67">
        <v>0.56414991019050198</v>
      </c>
      <c r="Z67">
        <v>0.10098630897607815</v>
      </c>
      <c r="AA67">
        <v>0.41208433103728775</v>
      </c>
      <c r="AB67">
        <v>2.3967166441789665E-4</v>
      </c>
      <c r="AC67">
        <v>0.73045182422901611</v>
      </c>
    </row>
    <row r="68" spans="1:29" x14ac:dyDescent="0.3">
      <c r="A68">
        <v>262144</v>
      </c>
      <c r="B68">
        <v>4</v>
      </c>
      <c r="C68">
        <v>125</v>
      </c>
      <c r="D68">
        <v>0.2</v>
      </c>
      <c r="E68">
        <v>12</v>
      </c>
      <c r="F68">
        <v>8191</v>
      </c>
      <c r="G68">
        <v>2185224</v>
      </c>
      <c r="H68">
        <v>32.003906726895373</v>
      </c>
      <c r="I68">
        <v>46659979800</v>
      </c>
      <c r="J68">
        <v>285429887133.33331</v>
      </c>
      <c r="K68">
        <v>6.1172312623532967</v>
      </c>
      <c r="L68">
        <v>5.6498602970895409</v>
      </c>
      <c r="M68">
        <v>6.8050138923227923</v>
      </c>
      <c r="N68">
        <v>0.36637215080328855</v>
      </c>
      <c r="O68">
        <v>1.1529064364070276</v>
      </c>
      <c r="P68">
        <v>6.3739876698288889</v>
      </c>
      <c r="Q68">
        <v>7.8781167124865898E-3</v>
      </c>
      <c r="R68">
        <v>0.58272381135207141</v>
      </c>
      <c r="S68">
        <v>0.57583567649408485</v>
      </c>
      <c r="T68">
        <v>0.40934689103030147</v>
      </c>
      <c r="U68">
        <v>5.1180905140469007E-5</v>
      </c>
      <c r="V68">
        <f t="shared" si="2"/>
        <v>6.8881348579865609E-3</v>
      </c>
      <c r="W68">
        <f t="shared" si="3"/>
        <v>1.1300434813354188E-2</v>
      </c>
      <c r="X68">
        <v>1.4847781741534876E-3</v>
      </c>
      <c r="Y68">
        <v>0.54314090098857748</v>
      </c>
      <c r="Z68">
        <v>0.53184046617522329</v>
      </c>
      <c r="AA68">
        <v>0.45537125551940016</v>
      </c>
      <c r="AB68">
        <v>3.0653178688489071E-6</v>
      </c>
      <c r="AC68">
        <v>0.83840354259930217</v>
      </c>
    </row>
    <row r="69" spans="1:29" x14ac:dyDescent="0.3">
      <c r="A69">
        <v>262144</v>
      </c>
      <c r="B69">
        <v>4</v>
      </c>
      <c r="C69">
        <v>125</v>
      </c>
      <c r="D69">
        <v>0.35</v>
      </c>
      <c r="E69">
        <v>12</v>
      </c>
      <c r="F69">
        <v>8191</v>
      </c>
      <c r="G69">
        <v>489020</v>
      </c>
      <c r="H69">
        <v>32.003906726895373</v>
      </c>
      <c r="I69">
        <v>13344893733.333334</v>
      </c>
      <c r="J69">
        <v>76659003966.666672</v>
      </c>
      <c r="K69">
        <v>5.7444446916190257</v>
      </c>
      <c r="L69">
        <v>5.2768618882365903</v>
      </c>
      <c r="M69">
        <v>6.832978345891231</v>
      </c>
      <c r="N69">
        <v>0.40497199536906664</v>
      </c>
      <c r="O69">
        <v>0.97630414412191491</v>
      </c>
      <c r="P69">
        <v>3.0316403019171343</v>
      </c>
      <c r="Q69">
        <v>6.8027817841097233E-3</v>
      </c>
      <c r="R69">
        <v>0.67382415424354614</v>
      </c>
      <c r="S69">
        <v>0.62559583714132339</v>
      </c>
      <c r="T69">
        <v>0.31921340739938248</v>
      </c>
      <c r="U69">
        <v>1.5965657296154514E-4</v>
      </c>
      <c r="V69">
        <f t="shared" si="2"/>
        <v>4.8228317102222751E-2</v>
      </c>
      <c r="W69">
        <f t="shared" si="3"/>
        <v>4.4456398122285634E-2</v>
      </c>
      <c r="X69">
        <v>1.1561751229101868E-3</v>
      </c>
      <c r="Y69">
        <v>0.61913036709039881</v>
      </c>
      <c r="Z69">
        <v>0.57467396896811318</v>
      </c>
      <c r="AA69">
        <v>0.37970220231390001</v>
      </c>
      <c r="AB69">
        <v>1.1255472791017684E-5</v>
      </c>
      <c r="AC69">
        <v>0.61328311854304496</v>
      </c>
    </row>
    <row r="70" spans="1:29" x14ac:dyDescent="0.3">
      <c r="A70">
        <v>262144</v>
      </c>
      <c r="B70">
        <v>4</v>
      </c>
      <c r="C70">
        <v>125</v>
      </c>
      <c r="D70">
        <v>0.5</v>
      </c>
      <c r="E70">
        <v>12</v>
      </c>
      <c r="F70">
        <v>8191</v>
      </c>
      <c r="G70">
        <v>173785</v>
      </c>
      <c r="H70">
        <v>32.003906726895373</v>
      </c>
      <c r="I70">
        <v>6272611275</v>
      </c>
      <c r="J70">
        <v>33491168475</v>
      </c>
      <c r="K70">
        <v>5.3392705217493335</v>
      </c>
      <c r="L70">
        <v>4.6826590979233584</v>
      </c>
      <c r="M70">
        <v>6.8892380080901532</v>
      </c>
      <c r="N70">
        <v>0.37223716140880175</v>
      </c>
      <c r="O70">
        <v>2.3615475668506907</v>
      </c>
      <c r="P70">
        <v>5.247984989820325</v>
      </c>
      <c r="Q70">
        <v>5.8721875762977197E-3</v>
      </c>
      <c r="R70">
        <v>0.75363180783110151</v>
      </c>
      <c r="S70">
        <v>0.66802195948289489</v>
      </c>
      <c r="T70">
        <v>0.24013139567619707</v>
      </c>
      <c r="U70">
        <v>3.6460891640379865E-4</v>
      </c>
      <c r="V70">
        <f t="shared" si="2"/>
        <v>8.5609848348206619E-2</v>
      </c>
      <c r="W70">
        <f t="shared" si="3"/>
        <v>0.10166667975593824</v>
      </c>
      <c r="X70">
        <v>2.5972556038148203E-3</v>
      </c>
      <c r="Y70">
        <v>0.68753680816446938</v>
      </c>
      <c r="Z70">
        <v>0.58587012840853114</v>
      </c>
      <c r="AA70">
        <v>0.30984051684389613</v>
      </c>
      <c r="AB70">
        <v>2.5419387819672062E-5</v>
      </c>
      <c r="AC70">
        <v>0.45065298783214747</v>
      </c>
    </row>
    <row r="71" spans="1:29" x14ac:dyDescent="0.3">
      <c r="A71">
        <v>262144</v>
      </c>
      <c r="B71">
        <v>4</v>
      </c>
      <c r="C71">
        <v>125</v>
      </c>
      <c r="D71">
        <v>0.65</v>
      </c>
      <c r="E71">
        <v>12</v>
      </c>
      <c r="F71">
        <v>8191</v>
      </c>
      <c r="G71">
        <v>68812</v>
      </c>
      <c r="H71">
        <v>32.003906726895373</v>
      </c>
      <c r="I71">
        <v>3326574600</v>
      </c>
      <c r="J71">
        <v>14779837433.333334</v>
      </c>
      <c r="K71">
        <v>4.4429598642800112</v>
      </c>
      <c r="L71">
        <v>3.4865765878312831</v>
      </c>
      <c r="M71">
        <v>6.8610167101396771</v>
      </c>
      <c r="N71">
        <v>0.40552555372935745</v>
      </c>
      <c r="O71">
        <v>6.7656356533078243</v>
      </c>
      <c r="P71">
        <v>6.8867755592812498</v>
      </c>
      <c r="Q71">
        <v>3.8652071713648028E-3</v>
      </c>
      <c r="R71">
        <v>0.81529354549872413</v>
      </c>
      <c r="S71">
        <v>0.62362672802628061</v>
      </c>
      <c r="T71">
        <v>0.18020109935307027</v>
      </c>
      <c r="U71">
        <v>6.4014797684080191E-4</v>
      </c>
      <c r="V71">
        <f t="shared" si="2"/>
        <v>0.19166681747244352</v>
      </c>
      <c r="W71">
        <f t="shared" si="3"/>
        <v>0.22639515365170138</v>
      </c>
      <c r="X71">
        <v>5.8858473280952173E-3</v>
      </c>
      <c r="Y71">
        <v>0.71578115215308769</v>
      </c>
      <c r="Z71">
        <v>0.48938599850138631</v>
      </c>
      <c r="AA71">
        <v>0.27827457182022275</v>
      </c>
      <c r="AB71">
        <v>5.8428698594413719E-5</v>
      </c>
      <c r="AC71">
        <v>0.38877046564185974</v>
      </c>
    </row>
    <row r="72" spans="1:29" x14ac:dyDescent="0.3">
      <c r="A72">
        <v>262144</v>
      </c>
      <c r="B72">
        <v>4</v>
      </c>
      <c r="C72">
        <v>125</v>
      </c>
      <c r="D72">
        <v>0.8</v>
      </c>
      <c r="E72">
        <v>12</v>
      </c>
      <c r="F72">
        <v>8191</v>
      </c>
      <c r="G72">
        <v>32648</v>
      </c>
      <c r="H72">
        <v>32.003906726895373</v>
      </c>
      <c r="I72">
        <v>2659528400</v>
      </c>
      <c r="J72">
        <v>9585861366.666666</v>
      </c>
      <c r="K72">
        <v>3.6043463069116561</v>
      </c>
      <c r="L72">
        <v>2.6809579131995762</v>
      </c>
      <c r="M72">
        <v>6.7141290865077776</v>
      </c>
      <c r="N72">
        <v>0.39551839567124714</v>
      </c>
      <c r="O72">
        <v>15.064172712560413</v>
      </c>
      <c r="P72">
        <v>6.3168207248505031</v>
      </c>
      <c r="Q72">
        <v>2.2769199732303414E-3</v>
      </c>
      <c r="R72">
        <v>0.88742259717925931</v>
      </c>
      <c r="S72">
        <v>0.58609627932531194</v>
      </c>
      <c r="T72">
        <v>0.10948050037743534</v>
      </c>
      <c r="U72">
        <v>8.1998247007502027E-4</v>
      </c>
      <c r="V72">
        <f t="shared" si="2"/>
        <v>0.30132631785394737</v>
      </c>
      <c r="W72">
        <f t="shared" si="3"/>
        <v>0.35050916185967101</v>
      </c>
      <c r="X72">
        <v>9.516265311034942E-3</v>
      </c>
      <c r="Y72">
        <v>0.78645491294938097</v>
      </c>
      <c r="Z72">
        <v>0.43594575108970995</v>
      </c>
      <c r="AA72">
        <v>0.20393884199750981</v>
      </c>
      <c r="AB72">
        <v>8.9979742074369876E-5</v>
      </c>
      <c r="AC72">
        <v>0.25931409244135023</v>
      </c>
    </row>
    <row r="73" spans="1:29" x14ac:dyDescent="0.3">
      <c r="A73">
        <v>262144</v>
      </c>
      <c r="B73">
        <v>4</v>
      </c>
      <c r="C73">
        <v>125</v>
      </c>
      <c r="D73">
        <v>0.95</v>
      </c>
      <c r="E73">
        <v>12</v>
      </c>
      <c r="F73">
        <v>8191</v>
      </c>
      <c r="G73">
        <v>24481.333333333332</v>
      </c>
      <c r="H73">
        <v>32.003906726895373</v>
      </c>
      <c r="I73">
        <v>1528670700</v>
      </c>
      <c r="J73">
        <v>6202387133.333333</v>
      </c>
      <c r="K73">
        <v>4.0573729406426988</v>
      </c>
      <c r="L73">
        <v>1.1608981449330658</v>
      </c>
      <c r="M73">
        <v>6.8040649649880924</v>
      </c>
      <c r="N73">
        <v>0.39037834361746104</v>
      </c>
      <c r="O73">
        <v>26.862074811276539</v>
      </c>
      <c r="P73">
        <v>3.7307646138797508</v>
      </c>
      <c r="Q73">
        <v>2.1866274622345631E-3</v>
      </c>
      <c r="R73">
        <v>0.85510380576623424</v>
      </c>
      <c r="S73">
        <v>0.7082409137123733</v>
      </c>
      <c r="T73">
        <v>0.14128543184611309</v>
      </c>
      <c r="U73">
        <v>1.4241349254180992E-3</v>
      </c>
      <c r="V73">
        <f t="shared" si="2"/>
        <v>0.14686289205386094</v>
      </c>
      <c r="W73">
        <f t="shared" si="3"/>
        <v>0.54581347373060352</v>
      </c>
      <c r="X73">
        <v>1.4476694978310879E-2</v>
      </c>
      <c r="Y73">
        <v>0.74845581766168812</v>
      </c>
      <c r="Z73">
        <v>0.20264234393108455</v>
      </c>
      <c r="AA73">
        <v>0.23693046484779781</v>
      </c>
      <c r="AB73">
        <v>1.3702251220328534E-4</v>
      </c>
      <c r="AC73">
        <v>0.3165590529952878</v>
      </c>
    </row>
    <row r="74" spans="1:29" x14ac:dyDescent="0.3">
      <c r="A74">
        <v>262144</v>
      </c>
      <c r="B74">
        <v>5</v>
      </c>
      <c r="C74">
        <v>216</v>
      </c>
      <c r="D74">
        <v>0.2</v>
      </c>
      <c r="E74">
        <v>11</v>
      </c>
      <c r="F74">
        <v>4095</v>
      </c>
      <c r="G74">
        <v>939801.33333333337</v>
      </c>
      <c r="H74">
        <v>64.015628815628816</v>
      </c>
      <c r="I74">
        <v>64974061366.666664</v>
      </c>
      <c r="J74">
        <v>383511019233.33331</v>
      </c>
      <c r="K74">
        <v>5.902524964063339</v>
      </c>
      <c r="L74">
        <v>4.5175324949317091</v>
      </c>
      <c r="M74">
        <v>7.2971265023876306</v>
      </c>
      <c r="N74">
        <v>0.25670743359449649</v>
      </c>
      <c r="O74">
        <v>0.5570197337567131</v>
      </c>
      <c r="P74">
        <v>6.3406946366397001</v>
      </c>
      <c r="Q74">
        <v>2.1998691528102984E-3</v>
      </c>
      <c r="R74">
        <v>0.51144545532516428</v>
      </c>
      <c r="S74">
        <v>0.50536743139233065</v>
      </c>
      <c r="T74">
        <v>0.48630098230055696</v>
      </c>
      <c r="U74">
        <v>5.3693221468474198E-5</v>
      </c>
      <c r="V74">
        <f t="shared" si="2"/>
        <v>6.0780239328336316E-3</v>
      </c>
      <c r="W74">
        <f t="shared" si="3"/>
        <v>1.1803801124279423E-2</v>
      </c>
      <c r="X74">
        <v>2.0760107534631165E-4</v>
      </c>
      <c r="Y74">
        <v>0.3985897625721041</v>
      </c>
      <c r="Z74">
        <v>0.38678596144782468</v>
      </c>
      <c r="AA74">
        <v>0.60120030117410161</v>
      </c>
      <c r="AB74">
        <v>2.335178447954299E-6</v>
      </c>
      <c r="AC74">
        <v>1.5083184708371573</v>
      </c>
    </row>
    <row r="75" spans="1:29" x14ac:dyDescent="0.3">
      <c r="A75">
        <v>262144</v>
      </c>
      <c r="B75">
        <v>5</v>
      </c>
      <c r="C75">
        <v>216</v>
      </c>
      <c r="D75">
        <v>0.35</v>
      </c>
      <c r="E75">
        <v>11</v>
      </c>
      <c r="F75">
        <v>4095</v>
      </c>
      <c r="G75">
        <v>213698.66666666666</v>
      </c>
      <c r="H75">
        <v>64.015628815628816</v>
      </c>
      <c r="I75">
        <v>22049402800</v>
      </c>
      <c r="J75">
        <v>116624434800</v>
      </c>
      <c r="K75">
        <v>5.2892332666715127</v>
      </c>
      <c r="L75">
        <v>4.1994607877731394</v>
      </c>
      <c r="M75">
        <v>7.3636166191531665</v>
      </c>
      <c r="N75">
        <v>0.40480100086011417</v>
      </c>
      <c r="O75">
        <v>1.7656201952354824</v>
      </c>
      <c r="P75">
        <v>8.0851413032148578</v>
      </c>
      <c r="Q75">
        <v>2.0058109389399577E-3</v>
      </c>
      <c r="R75">
        <v>0.67325754207426125</v>
      </c>
      <c r="S75">
        <v>0.64075892945877577</v>
      </c>
      <c r="T75">
        <v>0.32463997770195085</v>
      </c>
      <c r="U75">
        <v>9.6669284847932478E-5</v>
      </c>
      <c r="V75">
        <f t="shared" si="2"/>
        <v>3.2498612615485478E-2</v>
      </c>
      <c r="W75">
        <f t="shared" si="3"/>
        <v>3.8623046200034761E-2</v>
      </c>
      <c r="X75">
        <v>6.695678036989438E-4</v>
      </c>
      <c r="Y75">
        <v>0.54736256722534904</v>
      </c>
      <c r="Z75">
        <v>0.50873952102531428</v>
      </c>
      <c r="AA75">
        <v>0.45196046657854128</v>
      </c>
      <c r="AB75">
        <v>7.3983924107586192E-6</v>
      </c>
      <c r="AC75">
        <v>0.82570583675384812</v>
      </c>
    </row>
    <row r="76" spans="1:29" x14ac:dyDescent="0.3">
      <c r="A76">
        <v>262144</v>
      </c>
      <c r="B76">
        <v>5</v>
      </c>
      <c r="C76">
        <v>216</v>
      </c>
      <c r="D76">
        <v>0.5</v>
      </c>
      <c r="E76">
        <v>11</v>
      </c>
      <c r="F76">
        <v>4095</v>
      </c>
      <c r="G76">
        <v>85347</v>
      </c>
      <c r="H76">
        <v>64.015628815628816</v>
      </c>
      <c r="I76">
        <v>10228422725</v>
      </c>
      <c r="J76">
        <v>50344894800</v>
      </c>
      <c r="K76">
        <v>4.922058478962601</v>
      </c>
      <c r="L76">
        <v>3.6652375544608962</v>
      </c>
      <c r="M76">
        <v>7.3721385068440854</v>
      </c>
      <c r="N76">
        <v>0.3829661165730337</v>
      </c>
      <c r="O76">
        <v>5.8279536711308602</v>
      </c>
      <c r="P76">
        <v>7.0014940419970282</v>
      </c>
      <c r="Q76">
        <v>1.4257036878576996E-3</v>
      </c>
      <c r="R76">
        <v>0.71913578200298722</v>
      </c>
      <c r="S76">
        <v>0.65917106002284431</v>
      </c>
      <c r="T76">
        <v>0.27921576246742386</v>
      </c>
      <c r="U76">
        <v>2.2275184173129684E-4</v>
      </c>
      <c r="V76">
        <f t="shared" si="2"/>
        <v>5.996472198014291E-2</v>
      </c>
      <c r="W76">
        <f t="shared" si="3"/>
        <v>8.9236737266953192E-2</v>
      </c>
      <c r="X76">
        <v>1.6881016503782623E-3</v>
      </c>
      <c r="Y76">
        <v>0.5800920439106767</v>
      </c>
      <c r="Z76">
        <v>0.49085530664372351</v>
      </c>
      <c r="AA76">
        <v>0.41820252298948096</v>
      </c>
      <c r="AB76">
        <v>1.7331449464067606E-5</v>
      </c>
      <c r="AC76">
        <v>0.72092442463126816</v>
      </c>
    </row>
    <row r="77" spans="1:29" x14ac:dyDescent="0.3">
      <c r="A77">
        <v>262144</v>
      </c>
      <c r="B77">
        <v>5</v>
      </c>
      <c r="C77">
        <v>216</v>
      </c>
      <c r="D77">
        <v>0.65</v>
      </c>
      <c r="E77">
        <v>11</v>
      </c>
      <c r="F77">
        <v>4095</v>
      </c>
      <c r="G77">
        <v>30738.666666666668</v>
      </c>
      <c r="H77">
        <v>64.015628815628816</v>
      </c>
      <c r="I77">
        <v>5467417733.333333</v>
      </c>
      <c r="J77">
        <v>22518939500</v>
      </c>
      <c r="K77">
        <v>4.1187523248330296</v>
      </c>
      <c r="L77">
        <v>2.7760260126153584</v>
      </c>
      <c r="M77">
        <v>7.3642522785884843</v>
      </c>
      <c r="N77">
        <v>0.39600765902272078</v>
      </c>
      <c r="O77">
        <v>13.829390387190207</v>
      </c>
      <c r="P77">
        <v>8.1525949799775272</v>
      </c>
      <c r="Q77">
        <v>1.1156089213401486E-3</v>
      </c>
      <c r="R77">
        <v>0.8094293959564044</v>
      </c>
      <c r="S77">
        <v>0.67839934942596791</v>
      </c>
      <c r="T77">
        <v>0.18905061775293167</v>
      </c>
      <c r="U77">
        <v>4.0437736932386829E-4</v>
      </c>
      <c r="V77">
        <f t="shared" si="2"/>
        <v>0.13103004653043648</v>
      </c>
      <c r="W77">
        <f t="shared" si="3"/>
        <v>0.20095729197194212</v>
      </c>
      <c r="X77">
        <v>3.7458409916091596E-3</v>
      </c>
      <c r="Y77">
        <v>0.65819630330874745</v>
      </c>
      <c r="Z77">
        <v>0.45723901133680533</v>
      </c>
      <c r="AA77">
        <v>0.33801897583439339</v>
      </c>
      <c r="AB77">
        <v>3.887986525001914E-5</v>
      </c>
      <c r="AC77">
        <v>0.5135534401138</v>
      </c>
    </row>
    <row r="78" spans="1:29" x14ac:dyDescent="0.3">
      <c r="A78">
        <v>262144</v>
      </c>
      <c r="B78">
        <v>5</v>
      </c>
      <c r="C78">
        <v>216</v>
      </c>
      <c r="D78">
        <v>0.8</v>
      </c>
      <c r="E78">
        <v>11</v>
      </c>
      <c r="F78">
        <v>4095</v>
      </c>
      <c r="G78">
        <v>15148</v>
      </c>
      <c r="H78">
        <v>64.015628815628816</v>
      </c>
      <c r="I78">
        <v>4099699100</v>
      </c>
      <c r="J78">
        <v>14573172300</v>
      </c>
      <c r="K78">
        <v>3.5546931480898194</v>
      </c>
      <c r="L78">
        <v>2.1622353304630555</v>
      </c>
      <c r="M78">
        <v>7.26273284671041</v>
      </c>
      <c r="N78">
        <v>0.40470549175256176</v>
      </c>
      <c r="O78">
        <v>27.564015411527645</v>
      </c>
      <c r="P78">
        <v>7.3247807176561981</v>
      </c>
      <c r="Q78">
        <v>7.3437909951326271E-4</v>
      </c>
      <c r="R78">
        <v>0.87321243486706945</v>
      </c>
      <c r="S78">
        <v>0.6988042285022007</v>
      </c>
      <c r="T78">
        <v>0.12551442291622492</v>
      </c>
      <c r="U78">
        <v>5.3876311719234875E-4</v>
      </c>
      <c r="V78">
        <f t="shared" si="2"/>
        <v>0.17440820636486876</v>
      </c>
      <c r="W78">
        <f t="shared" si="3"/>
        <v>0.31273466107307324</v>
      </c>
      <c r="X78">
        <v>5.6945665838315793E-3</v>
      </c>
      <c r="Y78">
        <v>0.73780065945788154</v>
      </c>
      <c r="Z78">
        <v>0.4250659983848083</v>
      </c>
      <c r="AA78">
        <v>0.25644343522011792</v>
      </c>
      <c r="AB78">
        <v>6.133873816890232E-5</v>
      </c>
      <c r="AC78">
        <v>0.34757821361741054</v>
      </c>
    </row>
    <row r="79" spans="1:29" x14ac:dyDescent="0.3">
      <c r="A79">
        <v>262144</v>
      </c>
      <c r="B79">
        <v>5</v>
      </c>
      <c r="C79">
        <v>216</v>
      </c>
      <c r="D79">
        <v>0.95</v>
      </c>
      <c r="E79">
        <v>11</v>
      </c>
      <c r="F79">
        <v>4095</v>
      </c>
      <c r="G79">
        <v>8192</v>
      </c>
      <c r="H79">
        <v>64.015628815628816</v>
      </c>
      <c r="I79">
        <v>3202193366.6666665</v>
      </c>
      <c r="J79">
        <v>8728428933.333334</v>
      </c>
      <c r="K79">
        <v>2.7257657280138643</v>
      </c>
      <c r="L79">
        <v>1.0626006890497057</v>
      </c>
      <c r="M79">
        <v>7.1375484558526949</v>
      </c>
      <c r="N79">
        <v>0.39744518236590287</v>
      </c>
      <c r="O79">
        <v>61.320660318074161</v>
      </c>
      <c r="P79">
        <v>2.7167331572757729</v>
      </c>
      <c r="Q79">
        <v>4.3068396421323753E-4</v>
      </c>
      <c r="R79">
        <v>0.91047714264101132</v>
      </c>
      <c r="S79">
        <v>0.63357599027358347</v>
      </c>
      <c r="T79">
        <v>8.8416626016577946E-2</v>
      </c>
      <c r="U79">
        <v>6.7554737819757534E-4</v>
      </c>
      <c r="V79">
        <f t="shared" si="2"/>
        <v>0.27690115236742785</v>
      </c>
      <c r="W79">
        <f t="shared" si="3"/>
        <v>0.51169884455876957</v>
      </c>
      <c r="X79">
        <v>9.688956318782806E-3</v>
      </c>
      <c r="Y79">
        <v>0.7586893606221643</v>
      </c>
      <c r="Z79">
        <v>0.24699051606339478</v>
      </c>
      <c r="AA79">
        <v>0.23152318117821796</v>
      </c>
      <c r="AB79">
        <v>9.8501880834851114E-5</v>
      </c>
      <c r="AC79">
        <v>0.30516202440002194</v>
      </c>
    </row>
    <row r="80" spans="1:29" x14ac:dyDescent="0.3">
      <c r="A80">
        <v>262144</v>
      </c>
      <c r="B80">
        <v>6</v>
      </c>
      <c r="C80">
        <v>343</v>
      </c>
      <c r="D80">
        <v>0.2</v>
      </c>
      <c r="E80">
        <v>10</v>
      </c>
      <c r="F80">
        <v>2047</v>
      </c>
      <c r="G80">
        <v>335345.33333333331</v>
      </c>
      <c r="H80">
        <v>128.06253053248656</v>
      </c>
      <c r="I80">
        <v>87298514966.666672</v>
      </c>
      <c r="J80">
        <v>530170751166.66669</v>
      </c>
      <c r="K80">
        <v>6.0730786929090677</v>
      </c>
      <c r="L80">
        <v>4.2805084833216922</v>
      </c>
      <c r="M80">
        <v>7.6683420863834906</v>
      </c>
      <c r="N80">
        <v>0.38438081834308246</v>
      </c>
      <c r="O80">
        <v>1.2758544935177552</v>
      </c>
      <c r="P80">
        <v>5.2951737805981969</v>
      </c>
      <c r="Q80">
        <v>6.5872598201650433E-4</v>
      </c>
      <c r="R80">
        <v>0.4812878254501381</v>
      </c>
      <c r="S80">
        <v>0.47575410359720099</v>
      </c>
      <c r="T80">
        <v>0.51802740345126042</v>
      </c>
      <c r="U80">
        <v>2.6045116584951879E-5</v>
      </c>
      <c r="V80">
        <f t="shared" si="2"/>
        <v>5.5337218529371013E-3</v>
      </c>
      <c r="W80">
        <f t="shared" si="3"/>
        <v>1.0430858903156592E-2</v>
      </c>
      <c r="X80">
        <v>1.3838755376806657E-4</v>
      </c>
      <c r="Y80">
        <v>0.34575822405004819</v>
      </c>
      <c r="Z80">
        <v>0.3353273651468916</v>
      </c>
      <c r="AA80">
        <v>0.65410173993356158</v>
      </c>
      <c r="AB80">
        <v>1.6484626221711783E-6</v>
      </c>
      <c r="AC80">
        <v>1.8917893904929386</v>
      </c>
    </row>
    <row r="81" spans="1:29" x14ac:dyDescent="0.3">
      <c r="A81">
        <v>262144</v>
      </c>
      <c r="B81">
        <v>6</v>
      </c>
      <c r="C81">
        <v>343</v>
      </c>
      <c r="D81">
        <v>0.35</v>
      </c>
      <c r="E81">
        <v>10</v>
      </c>
      <c r="F81">
        <v>2047</v>
      </c>
      <c r="G81">
        <v>91962.666666666672</v>
      </c>
      <c r="H81">
        <v>128.06253053248656</v>
      </c>
      <c r="I81">
        <v>32085534633.333332</v>
      </c>
      <c r="J81">
        <v>173415773600</v>
      </c>
      <c r="K81">
        <v>5.4047961357589518</v>
      </c>
      <c r="L81">
        <v>3.8381267224777909</v>
      </c>
      <c r="M81">
        <v>7.7108508188073399</v>
      </c>
      <c r="N81">
        <v>0.40243526736595031</v>
      </c>
      <c r="O81">
        <v>4.6278535575532436</v>
      </c>
      <c r="P81">
        <v>8.0453524294312331</v>
      </c>
      <c r="Q81">
        <v>5.1288117385990593E-4</v>
      </c>
      <c r="R81">
        <v>0.61573078000521475</v>
      </c>
      <c r="S81">
        <v>0.59088710068234596</v>
      </c>
      <c r="T81">
        <v>0.38368552290052282</v>
      </c>
      <c r="U81">
        <v>7.0815920402527311E-5</v>
      </c>
      <c r="V81">
        <f t="shared" si="2"/>
        <v>2.4843679322868795E-2</v>
      </c>
      <c r="W81">
        <f t="shared" si="3"/>
        <v>3.2554918637459018E-2</v>
      </c>
      <c r="X81">
        <v>4.3915420775003059E-4</v>
      </c>
      <c r="Y81">
        <v>0.45216363543837018</v>
      </c>
      <c r="Z81">
        <v>0.41960871680091116</v>
      </c>
      <c r="AA81">
        <v>0.54739193747713388</v>
      </c>
      <c r="AB81">
        <v>5.2728767459709325E-6</v>
      </c>
      <c r="AC81">
        <v>1.2106058395130346</v>
      </c>
    </row>
    <row r="82" spans="1:29" x14ac:dyDescent="0.3">
      <c r="A82">
        <v>262144</v>
      </c>
      <c r="B82">
        <v>6</v>
      </c>
      <c r="C82">
        <v>343</v>
      </c>
      <c r="D82">
        <v>0.5</v>
      </c>
      <c r="E82">
        <v>10</v>
      </c>
      <c r="F82">
        <v>2047</v>
      </c>
      <c r="G82">
        <v>34838</v>
      </c>
      <c r="H82">
        <v>128.06253053248656</v>
      </c>
      <c r="I82">
        <v>15698883925</v>
      </c>
      <c r="J82">
        <v>73392390175</v>
      </c>
      <c r="K82">
        <v>4.675006868362459</v>
      </c>
      <c r="L82">
        <v>3.0879960284363421</v>
      </c>
      <c r="M82">
        <v>7.6923511098439423</v>
      </c>
      <c r="N82">
        <v>0.38928415061295973</v>
      </c>
      <c r="O82">
        <v>11.427539998406514</v>
      </c>
      <c r="P82">
        <v>7.9443413639284817</v>
      </c>
      <c r="Q82">
        <v>4.1973206703609664E-4</v>
      </c>
      <c r="R82">
        <v>0.70225805876834024</v>
      </c>
      <c r="S82">
        <v>0.65786336782536592</v>
      </c>
      <c r="T82">
        <v>0.29717672111522414</v>
      </c>
      <c r="U82">
        <v>1.4548804939966458E-4</v>
      </c>
      <c r="V82">
        <f t="shared" si="2"/>
        <v>4.4394690942974324E-2</v>
      </c>
      <c r="W82">
        <f t="shared" si="3"/>
        <v>7.5440868757617074E-2</v>
      </c>
      <c r="X82">
        <v>1.0259888637016992E-3</v>
      </c>
      <c r="Y82">
        <v>0.50998129282549964</v>
      </c>
      <c r="Z82">
        <v>0.43454042406788257</v>
      </c>
      <c r="AA82">
        <v>0.48898060363517792</v>
      </c>
      <c r="AB82">
        <v>1.2114675620727595E-5</v>
      </c>
      <c r="AC82">
        <v>0.95882066757004059</v>
      </c>
    </row>
    <row r="83" spans="1:29" x14ac:dyDescent="0.3">
      <c r="A83">
        <v>262144</v>
      </c>
      <c r="B83">
        <v>6</v>
      </c>
      <c r="C83">
        <v>343</v>
      </c>
      <c r="D83">
        <v>0.65</v>
      </c>
      <c r="E83">
        <v>10</v>
      </c>
      <c r="F83">
        <v>2047</v>
      </c>
      <c r="G83">
        <v>12394.666666666666</v>
      </c>
      <c r="H83">
        <v>128.06253053248656</v>
      </c>
      <c r="I83">
        <v>9224016333.333334</v>
      </c>
      <c r="J83">
        <v>33344478733.333332</v>
      </c>
      <c r="K83">
        <v>3.6149631059123952</v>
      </c>
      <c r="L83">
        <v>2.194072786297677</v>
      </c>
      <c r="M83">
        <v>7.7201998336194029</v>
      </c>
      <c r="N83">
        <v>0.42143280601578836</v>
      </c>
      <c r="O83">
        <v>27.778802597141134</v>
      </c>
      <c r="P83">
        <v>6.2860006745048667</v>
      </c>
      <c r="Q83">
        <v>2.8719232175398356E-4</v>
      </c>
      <c r="R83">
        <v>0.81889833672960033</v>
      </c>
      <c r="S83">
        <v>0.73235932402403592</v>
      </c>
      <c r="T83">
        <v>0.18058283649324267</v>
      </c>
      <c r="U83">
        <v>2.3163445540299525E-4</v>
      </c>
      <c r="V83">
        <f t="shared" si="2"/>
        <v>8.6539012705564411E-2</v>
      </c>
      <c r="W83">
        <f t="shared" si="3"/>
        <v>0.16760956173172026</v>
      </c>
      <c r="X83">
        <v>2.2068990968041944E-3</v>
      </c>
      <c r="Y83">
        <v>0.61210916395572146</v>
      </c>
      <c r="Z83">
        <v>0.4444996022240012</v>
      </c>
      <c r="AA83">
        <v>0.38565693297657611</v>
      </c>
      <c r="AB83">
        <v>2.7003970898282512E-5</v>
      </c>
      <c r="AC83">
        <v>0.63004600435041624</v>
      </c>
    </row>
    <row r="84" spans="1:29" x14ac:dyDescent="0.3">
      <c r="A84">
        <v>262144</v>
      </c>
      <c r="B84">
        <v>6</v>
      </c>
      <c r="C84">
        <v>343</v>
      </c>
      <c r="D84">
        <v>0.8</v>
      </c>
      <c r="E84">
        <v>10</v>
      </c>
      <c r="F84">
        <v>2047</v>
      </c>
      <c r="G84">
        <v>7661.333333333333</v>
      </c>
      <c r="H84">
        <v>128.06253053248656</v>
      </c>
      <c r="I84">
        <v>7254045133.333333</v>
      </c>
      <c r="J84">
        <v>22012803366.666668</v>
      </c>
      <c r="K84">
        <v>3.0345556116703514</v>
      </c>
      <c r="L84">
        <v>1.5721977037482886</v>
      </c>
      <c r="M84">
        <v>7.6578655295097242</v>
      </c>
      <c r="N84">
        <v>0.40549440635149764</v>
      </c>
      <c r="O84">
        <v>45.637695777113819</v>
      </c>
      <c r="P84">
        <v>7.8556197894447015</v>
      </c>
      <c r="Q84">
        <v>2.4146067945152112E-4</v>
      </c>
      <c r="R84">
        <v>0.85719926179670758</v>
      </c>
      <c r="S84">
        <v>0.74686769479432624</v>
      </c>
      <c r="T84">
        <v>0.14225368251316001</v>
      </c>
      <c r="U84">
        <v>3.0559501068079927E-4</v>
      </c>
      <c r="V84">
        <f t="shared" si="2"/>
        <v>0.11033156700238134</v>
      </c>
      <c r="W84">
        <f t="shared" si="3"/>
        <v>0.25039209567524107</v>
      </c>
      <c r="X84">
        <v>3.6314078373004318E-3</v>
      </c>
      <c r="Y84">
        <v>0.63734288024599195</v>
      </c>
      <c r="Z84">
        <v>0.38695078457075088</v>
      </c>
      <c r="AA84">
        <v>0.35898487659078271</v>
      </c>
      <c r="AB84">
        <v>4.0835325924964993E-5</v>
      </c>
      <c r="AC84">
        <v>0.56325235241072613</v>
      </c>
    </row>
    <row r="85" spans="1:29" x14ac:dyDescent="0.3">
      <c r="A85">
        <v>262144</v>
      </c>
      <c r="B85">
        <v>6</v>
      </c>
      <c r="C85">
        <v>343</v>
      </c>
      <c r="D85">
        <v>0.95</v>
      </c>
      <c r="E85">
        <v>10</v>
      </c>
      <c r="F85">
        <v>2047</v>
      </c>
      <c r="G85">
        <v>2048</v>
      </c>
      <c r="H85">
        <v>128.06253053248656</v>
      </c>
      <c r="I85">
        <v>5852622566.666667</v>
      </c>
      <c r="J85">
        <v>13190028333.333334</v>
      </c>
      <c r="K85">
        <v>2.2536953618804176</v>
      </c>
      <c r="L85">
        <v>1.1231910310173769</v>
      </c>
      <c r="M85">
        <v>7.4916516255545549</v>
      </c>
      <c r="N85">
        <v>0.41662466133198917</v>
      </c>
      <c r="O85">
        <v>94.31510673940123</v>
      </c>
      <c r="P85">
        <v>7.0823929163230011</v>
      </c>
      <c r="Q85">
        <v>1.32595827681285E-4</v>
      </c>
      <c r="R85">
        <v>0.9509554397656157</v>
      </c>
      <c r="S85">
        <v>0.81463682517666991</v>
      </c>
      <c r="T85">
        <v>4.8550394305568206E-2</v>
      </c>
      <c r="U85">
        <v>3.6157010113477506E-4</v>
      </c>
      <c r="V85">
        <f t="shared" si="2"/>
        <v>0.13631861458894579</v>
      </c>
      <c r="W85">
        <f t="shared" si="3"/>
        <v>0.42699804663042806</v>
      </c>
      <c r="X85">
        <v>5.5490151208924619E-3</v>
      </c>
      <c r="Y85">
        <v>0.83299470041573076</v>
      </c>
      <c r="Z85">
        <v>0.4059966537853027</v>
      </c>
      <c r="AA85">
        <v>0.16138944356576437</v>
      </c>
      <c r="AB85">
        <v>6.684089761242615E-5</v>
      </c>
      <c r="AC85">
        <v>0.19374606283235438</v>
      </c>
    </row>
    <row r="86" spans="1:29" x14ac:dyDescent="0.3">
      <c r="A86">
        <v>262144</v>
      </c>
      <c r="B86">
        <v>7</v>
      </c>
      <c r="C86">
        <v>512</v>
      </c>
      <c r="D86">
        <v>0.2</v>
      </c>
      <c r="E86">
        <v>9</v>
      </c>
      <c r="F86">
        <v>1023</v>
      </c>
      <c r="G86">
        <v>165002.66666666666</v>
      </c>
      <c r="H86">
        <v>256.25024437927664</v>
      </c>
      <c r="I86">
        <v>108115478633.33333</v>
      </c>
      <c r="J86">
        <v>789040818633.33337</v>
      </c>
      <c r="K86">
        <v>7.2981300051338112</v>
      </c>
      <c r="L86">
        <v>4.021467679940308</v>
      </c>
      <c r="M86">
        <v>7.9576981049188449</v>
      </c>
      <c r="N86">
        <v>0.36452910394554527</v>
      </c>
      <c r="O86">
        <v>3.3237551722869387</v>
      </c>
      <c r="P86">
        <v>8.0464893797432104</v>
      </c>
      <c r="Q86">
        <v>1.927590165327912E-4</v>
      </c>
      <c r="R86">
        <v>0.1738913527552654</v>
      </c>
      <c r="S86">
        <v>0.16543662380968377</v>
      </c>
      <c r="T86">
        <v>0.8258929692157595</v>
      </c>
      <c r="U86">
        <v>2.2919012442276076E-5</v>
      </c>
      <c r="V86">
        <f t="shared" si="2"/>
        <v>8.4547289455816355E-3</v>
      </c>
      <c r="W86">
        <f t="shared" si="3"/>
        <v>8.2179976162677082E-3</v>
      </c>
      <c r="X86">
        <v>8.7787389064750067E-5</v>
      </c>
      <c r="Y86">
        <v>9.9378066738232906E-2</v>
      </c>
      <c r="Z86">
        <v>9.1160069121965198E-2</v>
      </c>
      <c r="AA86">
        <v>0.90053300110725376</v>
      </c>
      <c r="AB86">
        <v>1.1447654485495178E-6</v>
      </c>
      <c r="AC86">
        <v>9.0616876607119501</v>
      </c>
    </row>
    <row r="87" spans="1:29" x14ac:dyDescent="0.3">
      <c r="A87">
        <v>262144</v>
      </c>
      <c r="B87">
        <v>7</v>
      </c>
      <c r="C87">
        <v>512</v>
      </c>
      <c r="D87">
        <v>0.35</v>
      </c>
      <c r="E87">
        <v>9</v>
      </c>
      <c r="F87">
        <v>1023</v>
      </c>
      <c r="G87">
        <v>49661.333333333336</v>
      </c>
      <c r="H87">
        <v>256.25024437927664</v>
      </c>
      <c r="I87">
        <v>40786512666.666664</v>
      </c>
      <c r="J87">
        <v>267703548200</v>
      </c>
      <c r="K87">
        <v>6.5635311944378216</v>
      </c>
      <c r="L87">
        <v>3.61234365464425</v>
      </c>
      <c r="M87">
        <v>8.0025537060954974</v>
      </c>
      <c r="N87">
        <v>0.40327607343840011</v>
      </c>
      <c r="O87">
        <v>5.5197609242736219</v>
      </c>
      <c r="P87">
        <v>10.035717148929423</v>
      </c>
      <c r="Q87">
        <v>2.8578074559255039E-4</v>
      </c>
      <c r="R87">
        <v>0.34726280022404127</v>
      </c>
      <c r="S87">
        <v>0.32761156878509956</v>
      </c>
      <c r="T87">
        <v>0.65239608783092995</v>
      </c>
      <c r="U87">
        <v>5.533119943620578E-5</v>
      </c>
      <c r="V87">
        <f t="shared" si="2"/>
        <v>1.9651231438941708E-2</v>
      </c>
      <c r="W87">
        <f t="shared" si="3"/>
        <v>2.4019256163150177E-2</v>
      </c>
      <c r="X87">
        <v>2.403342569268693E-4</v>
      </c>
      <c r="Y87">
        <v>0.20432548715841048</v>
      </c>
      <c r="Z87">
        <v>0.1803062309952603</v>
      </c>
      <c r="AA87">
        <v>0.79543077892856506</v>
      </c>
      <c r="AB87">
        <v>3.3996560976474946E-6</v>
      </c>
      <c r="AC87">
        <v>3.8929591701493389</v>
      </c>
    </row>
    <row r="88" spans="1:29" x14ac:dyDescent="0.3">
      <c r="A88">
        <v>262144</v>
      </c>
      <c r="B88">
        <v>7</v>
      </c>
      <c r="C88">
        <v>512</v>
      </c>
      <c r="D88">
        <v>0.5</v>
      </c>
      <c r="E88">
        <v>9</v>
      </c>
      <c r="F88">
        <v>1023</v>
      </c>
      <c r="G88">
        <v>19290</v>
      </c>
      <c r="H88">
        <v>256.25024437927664</v>
      </c>
      <c r="I88">
        <v>20777299250</v>
      </c>
      <c r="J88">
        <v>117048215825</v>
      </c>
      <c r="K88">
        <v>5.6334663334552495</v>
      </c>
      <c r="L88">
        <v>2.9323702573920207</v>
      </c>
      <c r="M88">
        <v>7.9671155654164636</v>
      </c>
      <c r="N88">
        <v>0.39583515713910533</v>
      </c>
      <c r="O88">
        <v>20.819639089960866</v>
      </c>
      <c r="P88">
        <v>8.0224558742725804</v>
      </c>
      <c r="Q88">
        <v>1.534258597156221E-4</v>
      </c>
      <c r="R88">
        <v>0.50209281170169406</v>
      </c>
      <c r="S88">
        <v>0.46286652486848118</v>
      </c>
      <c r="T88">
        <v>0.4976438058955136</v>
      </c>
      <c r="U88">
        <v>1.0995654307669463E-4</v>
      </c>
      <c r="V88">
        <f t="shared" si="2"/>
        <v>3.9226286833212887E-2</v>
      </c>
      <c r="W88">
        <f t="shared" si="3"/>
        <v>5.4699323094103219E-2</v>
      </c>
      <c r="X88">
        <v>5.6701697272539355E-4</v>
      </c>
      <c r="Y88">
        <v>0.29563375854217128</v>
      </c>
      <c r="Z88">
        <v>0.24093443544806806</v>
      </c>
      <c r="AA88">
        <v>0.70379149839552879</v>
      </c>
      <c r="AB88">
        <v>7.7260895745054806E-6</v>
      </c>
      <c r="AC88">
        <v>2.3806195268972812</v>
      </c>
    </row>
    <row r="89" spans="1:29" x14ac:dyDescent="0.3">
      <c r="A89">
        <v>262144</v>
      </c>
      <c r="B89">
        <v>7</v>
      </c>
      <c r="C89">
        <v>512</v>
      </c>
      <c r="D89">
        <v>0.65</v>
      </c>
      <c r="E89">
        <v>9</v>
      </c>
      <c r="F89">
        <v>1023</v>
      </c>
      <c r="G89">
        <v>8620</v>
      </c>
      <c r="H89">
        <v>256.25024437927664</v>
      </c>
      <c r="I89">
        <v>12011351833.333334</v>
      </c>
      <c r="J89">
        <v>55476573833.333336</v>
      </c>
      <c r="K89">
        <v>4.6186786136242697</v>
      </c>
      <c r="L89">
        <v>1.8397030800500114</v>
      </c>
      <c r="M89">
        <v>7.9780971730290897</v>
      </c>
      <c r="N89">
        <v>0.40484587550954976</v>
      </c>
      <c r="O89">
        <v>44.650796054339366</v>
      </c>
      <c r="P89">
        <v>11.462974081185957</v>
      </c>
      <c r="Q89">
        <v>1.2828975078866712E-4</v>
      </c>
      <c r="R89">
        <v>0.61536103256542973</v>
      </c>
      <c r="S89">
        <v>0.54855387010213152</v>
      </c>
      <c r="T89">
        <v>0.38432890796874081</v>
      </c>
      <c r="U89">
        <v>1.8176971504081741E-4</v>
      </c>
      <c r="V89">
        <f t="shared" si="2"/>
        <v>6.6807162463298209E-2</v>
      </c>
      <c r="W89">
        <f t="shared" si="3"/>
        <v>0.11637249780532744</v>
      </c>
      <c r="X89">
        <v>1.2402334038635039E-3</v>
      </c>
      <c r="Y89">
        <v>0.33487140816972411</v>
      </c>
      <c r="Z89">
        <v>0.21849891036439667</v>
      </c>
      <c r="AA89">
        <v>0.66387242557513981</v>
      </c>
      <c r="AB89">
        <v>1.5932851272601569E-5</v>
      </c>
      <c r="AC89">
        <v>1.9824697163714464</v>
      </c>
    </row>
    <row r="90" spans="1:29" x14ac:dyDescent="0.3">
      <c r="A90">
        <v>262144</v>
      </c>
      <c r="B90">
        <v>7</v>
      </c>
      <c r="C90">
        <v>512</v>
      </c>
      <c r="D90">
        <v>0.8</v>
      </c>
      <c r="E90">
        <v>9</v>
      </c>
      <c r="F90">
        <v>1023</v>
      </c>
      <c r="G90">
        <v>4768</v>
      </c>
      <c r="H90">
        <v>256.25024437927664</v>
      </c>
      <c r="I90">
        <v>9007365933.333334</v>
      </c>
      <c r="J90">
        <v>33945890333.333332</v>
      </c>
      <c r="K90">
        <v>3.7686811643469067</v>
      </c>
      <c r="L90">
        <v>1.2333152209482887</v>
      </c>
      <c r="M90">
        <v>7.9594258661467583</v>
      </c>
      <c r="N90">
        <v>0.40354961999736416</v>
      </c>
      <c r="O90">
        <v>67.438752860021168</v>
      </c>
      <c r="P90">
        <v>11.447526391280224</v>
      </c>
      <c r="Q90">
        <v>1.0836686410038823E-4</v>
      </c>
      <c r="R90">
        <v>0.7148219632304047</v>
      </c>
      <c r="S90">
        <v>0.62627361225818667</v>
      </c>
      <c r="T90">
        <v>0.28481695451490818</v>
      </c>
      <c r="U90">
        <v>2.5271539058673676E-4</v>
      </c>
      <c r="V90">
        <f t="shared" si="2"/>
        <v>8.8548350972218026E-2</v>
      </c>
      <c r="W90">
        <f t="shared" si="3"/>
        <v>0.19155211336284386</v>
      </c>
      <c r="X90">
        <v>1.9391733732795206E-3</v>
      </c>
      <c r="Y90">
        <v>0.39650253097402433</v>
      </c>
      <c r="Z90">
        <v>0.20495041761118046</v>
      </c>
      <c r="AA90">
        <v>0.60153123493957361</v>
      </c>
      <c r="AB90">
        <v>2.7060713122553638E-5</v>
      </c>
      <c r="AC90">
        <v>1.5170930522483377</v>
      </c>
    </row>
    <row r="91" spans="1:29" x14ac:dyDescent="0.3">
      <c r="A91">
        <v>262144</v>
      </c>
      <c r="B91">
        <v>7</v>
      </c>
      <c r="C91">
        <v>512</v>
      </c>
      <c r="D91">
        <v>0.95</v>
      </c>
      <c r="E91">
        <v>9</v>
      </c>
      <c r="F91">
        <v>1023</v>
      </c>
      <c r="G91">
        <v>3072</v>
      </c>
      <c r="H91">
        <v>256.25024437927664</v>
      </c>
      <c r="I91">
        <v>7257784200</v>
      </c>
      <c r="J91">
        <v>22127609266.666668</v>
      </c>
      <c r="K91">
        <v>3.0488105814260318</v>
      </c>
      <c r="L91">
        <v>0.51754364588721902</v>
      </c>
      <c r="M91">
        <v>7.9107231067130188</v>
      </c>
      <c r="N91">
        <v>0.42553639673798566</v>
      </c>
      <c r="O91">
        <v>164.4414350761501</v>
      </c>
      <c r="P91">
        <v>7.0937832982504867</v>
      </c>
      <c r="Q91">
        <v>5.8502703896872548E-5</v>
      </c>
      <c r="R91">
        <v>0.77126032947264178</v>
      </c>
      <c r="S91">
        <v>0.66114865562779712</v>
      </c>
      <c r="T91">
        <v>0.22837592314561608</v>
      </c>
      <c r="U91">
        <v>3.0524467784534017E-4</v>
      </c>
      <c r="V91">
        <f t="shared" si="2"/>
        <v>0.11011167384484466</v>
      </c>
      <c r="W91">
        <f t="shared" si="3"/>
        <v>0.29200516673379806</v>
      </c>
      <c r="X91">
        <v>3.1554169495623683E-3</v>
      </c>
      <c r="Y91">
        <v>0.40423689663910345</v>
      </c>
      <c r="Z91">
        <v>0.1122317299053054</v>
      </c>
      <c r="AA91">
        <v>0.59256508201960023</v>
      </c>
      <c r="AB91">
        <v>4.2604391733971901E-5</v>
      </c>
      <c r="AC91">
        <v>1.465885689669326</v>
      </c>
    </row>
    <row r="92" spans="1:29" x14ac:dyDescent="0.3">
      <c r="A92">
        <v>524288</v>
      </c>
      <c r="B92">
        <v>3</v>
      </c>
      <c r="C92">
        <v>64</v>
      </c>
      <c r="D92">
        <v>0.2</v>
      </c>
      <c r="E92">
        <v>13</v>
      </c>
      <c r="F92">
        <v>16383</v>
      </c>
      <c r="G92">
        <v>3668836</v>
      </c>
      <c r="H92">
        <v>32.001953244216566</v>
      </c>
      <c r="I92">
        <v>57816268666.666664</v>
      </c>
      <c r="J92">
        <v>351953982466.66669</v>
      </c>
      <c r="K92">
        <v>6.08745584215783</v>
      </c>
      <c r="L92">
        <v>5.1159750564410347</v>
      </c>
      <c r="M92">
        <v>7.0553945100520288</v>
      </c>
      <c r="N92">
        <v>0.28147945455374651</v>
      </c>
      <c r="O92">
        <v>0.37019078931497856</v>
      </c>
      <c r="P92">
        <v>10.256635592811477</v>
      </c>
      <c r="Q92">
        <v>1.3503341729547565E-2</v>
      </c>
      <c r="R92">
        <v>0.44965681170500527</v>
      </c>
      <c r="S92">
        <v>0.43704869205037944</v>
      </c>
      <c r="T92">
        <v>0.53672607063089273</v>
      </c>
      <c r="U92">
        <v>1.1377593455442986E-4</v>
      </c>
      <c r="V92">
        <f t="shared" si="2"/>
        <v>1.2608119654625827E-2</v>
      </c>
      <c r="W92">
        <f t="shared" si="3"/>
        <v>9.8038698387512557E-3</v>
      </c>
      <c r="X92">
        <v>8.2116615920768048E-4</v>
      </c>
      <c r="Y92">
        <v>0.37710513081797614</v>
      </c>
      <c r="Z92">
        <v>0.36730126097922489</v>
      </c>
      <c r="AA92">
        <v>0.62206844210777545</v>
      </c>
      <c r="AB92">
        <v>5.2609150407194607E-6</v>
      </c>
      <c r="AC92">
        <v>1.6495889110775319</v>
      </c>
    </row>
    <row r="93" spans="1:29" x14ac:dyDescent="0.3">
      <c r="A93">
        <v>524288</v>
      </c>
      <c r="B93">
        <v>3</v>
      </c>
      <c r="C93">
        <v>64</v>
      </c>
      <c r="D93">
        <v>0.35</v>
      </c>
      <c r="E93">
        <v>13</v>
      </c>
      <c r="F93">
        <v>16383</v>
      </c>
      <c r="G93">
        <v>828461.33333333337</v>
      </c>
      <c r="H93">
        <v>32.001953244216566</v>
      </c>
      <c r="I93">
        <v>14586128233.333334</v>
      </c>
      <c r="J93">
        <v>85210016133.333328</v>
      </c>
      <c r="K93">
        <v>5.8418529420716938</v>
      </c>
      <c r="L93">
        <v>4.8286714248884506</v>
      </c>
      <c r="M93">
        <v>7.1299708516039866</v>
      </c>
      <c r="N93">
        <v>0.40269703019532993</v>
      </c>
      <c r="O93">
        <v>1.0697724697444846</v>
      </c>
      <c r="P93">
        <v>8.1574670081262486</v>
      </c>
      <c r="Q93">
        <v>1.2494028373035442E-2</v>
      </c>
      <c r="R93">
        <v>0.51023986495552709</v>
      </c>
      <c r="S93">
        <v>0.4604087225367805</v>
      </c>
      <c r="T93">
        <v>0.47695361113272533</v>
      </c>
      <c r="U93">
        <v>3.1249553871214996E-4</v>
      </c>
      <c r="V93">
        <f t="shared" si="2"/>
        <v>4.9831142418746588E-2</v>
      </c>
      <c r="W93">
        <f t="shared" si="3"/>
        <v>3.5011758813249139E-2</v>
      </c>
      <c r="X93">
        <v>2.2879329079687331E-3</v>
      </c>
      <c r="Y93">
        <v>0.41556951408846976</v>
      </c>
      <c r="Z93">
        <v>0.38055775527522062</v>
      </c>
      <c r="AA93">
        <v>0.5821210117174942</v>
      </c>
      <c r="AB93">
        <v>2.1541286067369848E-5</v>
      </c>
      <c r="AC93">
        <v>1.4007789117889133</v>
      </c>
    </row>
    <row r="94" spans="1:29" x14ac:dyDescent="0.3">
      <c r="A94">
        <v>524288</v>
      </c>
      <c r="B94">
        <v>3</v>
      </c>
      <c r="C94">
        <v>64</v>
      </c>
      <c r="D94">
        <v>0.5</v>
      </c>
      <c r="E94">
        <v>13</v>
      </c>
      <c r="F94">
        <v>16383</v>
      </c>
      <c r="G94">
        <v>301964</v>
      </c>
      <c r="H94">
        <v>32.001953244216566</v>
      </c>
      <c r="I94">
        <v>6220332250</v>
      </c>
      <c r="J94">
        <v>33449059200</v>
      </c>
      <c r="K94">
        <v>5.3773750107962481</v>
      </c>
      <c r="L94">
        <v>4.1813966936108589</v>
      </c>
      <c r="M94">
        <v>7.1176502996320998</v>
      </c>
      <c r="N94">
        <v>0.44867716203887809</v>
      </c>
      <c r="O94">
        <v>3.4061512530397682</v>
      </c>
      <c r="P94">
        <v>3.2359328062730204</v>
      </c>
      <c r="Q94">
        <v>1.104008551954761E-2</v>
      </c>
      <c r="R94">
        <v>0.57953491953745717</v>
      </c>
      <c r="S94">
        <v>0.46835855512380387</v>
      </c>
      <c r="T94">
        <v>0.40873774869501545</v>
      </c>
      <c r="U94">
        <v>6.8724624797976029E-4</v>
      </c>
      <c r="V94">
        <f t="shared" si="2"/>
        <v>0.11117636441365331</v>
      </c>
      <c r="W94">
        <f t="shared" si="3"/>
        <v>8.7741171805513773E-2</v>
      </c>
      <c r="X94">
        <v>6.9930404798948728E-3</v>
      </c>
      <c r="Y94">
        <v>0.4519324193727996</v>
      </c>
      <c r="Z94">
        <v>0.36419124756728583</v>
      </c>
      <c r="AA94">
        <v>0.54101719772734291</v>
      </c>
      <c r="AB94">
        <v>5.7342419962591952E-5</v>
      </c>
      <c r="AC94">
        <v>1.1971196898823431</v>
      </c>
    </row>
    <row r="95" spans="1:29" x14ac:dyDescent="0.3">
      <c r="A95">
        <v>524288</v>
      </c>
      <c r="B95">
        <v>3</v>
      </c>
      <c r="C95">
        <v>64</v>
      </c>
      <c r="D95">
        <v>0.65</v>
      </c>
      <c r="E95">
        <v>13</v>
      </c>
      <c r="F95">
        <v>16383</v>
      </c>
      <c r="G95">
        <v>101557.33333333333</v>
      </c>
      <c r="H95">
        <v>32.001953244216566</v>
      </c>
      <c r="I95">
        <v>3170636066.6666665</v>
      </c>
      <c r="J95">
        <v>14638244133.333334</v>
      </c>
      <c r="K95">
        <v>4.6168162556488932</v>
      </c>
      <c r="L95">
        <v>3.1896994044529614</v>
      </c>
      <c r="M95">
        <v>7.1068511329481971</v>
      </c>
      <c r="N95">
        <v>0.4365706523910351</v>
      </c>
      <c r="O95">
        <v>17.674655594265314</v>
      </c>
      <c r="P95">
        <v>8.244756968802287</v>
      </c>
      <c r="Q95">
        <v>8.7783542738564292E-3</v>
      </c>
      <c r="R95">
        <v>0.7166701104201153</v>
      </c>
      <c r="S95">
        <v>0.48765278243538979</v>
      </c>
      <c r="T95">
        <v>0.27323576356634727</v>
      </c>
      <c r="U95">
        <v>1.3157717396810034E-3</v>
      </c>
      <c r="V95">
        <f t="shared" si="2"/>
        <v>0.22901732798472552</v>
      </c>
      <c r="W95">
        <f t="shared" si="3"/>
        <v>0.20875332716361955</v>
      </c>
      <c r="X95">
        <v>3.3606359855673396E-2</v>
      </c>
      <c r="Y95">
        <v>0.54566640829627377</v>
      </c>
      <c r="Z95">
        <v>0.33691308113265422</v>
      </c>
      <c r="AA95">
        <v>0.4206028111878008</v>
      </c>
      <c r="AB95">
        <v>1.2442066025204789E-4</v>
      </c>
      <c r="AC95">
        <v>0.77080576116283717</v>
      </c>
    </row>
    <row r="96" spans="1:29" x14ac:dyDescent="0.3">
      <c r="A96">
        <v>524288</v>
      </c>
      <c r="B96">
        <v>3</v>
      </c>
      <c r="C96">
        <v>64</v>
      </c>
      <c r="D96">
        <v>0.8</v>
      </c>
      <c r="E96">
        <v>13</v>
      </c>
      <c r="F96">
        <v>16383</v>
      </c>
      <c r="G96">
        <v>54798.666666666664</v>
      </c>
      <c r="H96">
        <v>32.001953244216566</v>
      </c>
      <c r="I96">
        <v>2516766966.6666665</v>
      </c>
      <c r="J96">
        <v>9091529466.666666</v>
      </c>
      <c r="K96">
        <v>3.6123842958364745</v>
      </c>
      <c r="L96">
        <v>2.3736771084020893</v>
      </c>
      <c r="M96">
        <v>6.964357122613559</v>
      </c>
      <c r="N96">
        <v>0.41898724624556638</v>
      </c>
      <c r="O96">
        <v>13.296768492522455</v>
      </c>
      <c r="P96">
        <v>9.3878271380449672</v>
      </c>
      <c r="Q96">
        <v>5.9203600746560977E-3</v>
      </c>
      <c r="R96">
        <v>0.80338455120378038</v>
      </c>
      <c r="S96">
        <v>0.44373979850260015</v>
      </c>
      <c r="T96">
        <v>0.18894005932929112</v>
      </c>
      <c r="U96">
        <v>1.7550293922723001E-3</v>
      </c>
      <c r="V96">
        <f t="shared" si="2"/>
        <v>0.35964475270118024</v>
      </c>
      <c r="W96">
        <f t="shared" si="3"/>
        <v>0.32216568298423887</v>
      </c>
      <c r="X96">
        <v>2.1792160207264575E-2</v>
      </c>
      <c r="Y96">
        <v>0.61374457258537396</v>
      </c>
      <c r="Z96">
        <v>0.29157888960113509</v>
      </c>
      <c r="AA96">
        <v>0.36425970776519584</v>
      </c>
      <c r="AB96">
        <v>2.035594421655874E-4</v>
      </c>
      <c r="AC96">
        <v>0.59350375390004129</v>
      </c>
    </row>
    <row r="97" spans="1:29" x14ac:dyDescent="0.3">
      <c r="A97">
        <v>524288</v>
      </c>
      <c r="B97">
        <v>3</v>
      </c>
      <c r="C97">
        <v>64</v>
      </c>
      <c r="D97">
        <v>0.95</v>
      </c>
      <c r="E97">
        <v>13</v>
      </c>
      <c r="F97">
        <v>16383</v>
      </c>
      <c r="G97">
        <v>16398.666666666668</v>
      </c>
      <c r="H97">
        <v>32.001953244216566</v>
      </c>
      <c r="I97">
        <v>1407393033.3333333</v>
      </c>
      <c r="J97">
        <v>5789837700</v>
      </c>
      <c r="K97">
        <v>4.1138740656453914</v>
      </c>
      <c r="L97">
        <v>1.6782757306213725</v>
      </c>
      <c r="M97">
        <v>6.6761181790299418</v>
      </c>
      <c r="N97">
        <v>0.44751835346640773</v>
      </c>
      <c r="O97">
        <v>25.946547464793152</v>
      </c>
      <c r="P97">
        <v>4.2083093133200373</v>
      </c>
      <c r="Q97">
        <v>5.2825565831634193E-3</v>
      </c>
      <c r="R97">
        <v>0.88243222557754586</v>
      </c>
      <c r="S97">
        <v>0.67673765899698568</v>
      </c>
      <c r="T97">
        <v>0.10934619045411882</v>
      </c>
      <c r="U97">
        <v>2.9390273851717945E-3</v>
      </c>
      <c r="V97">
        <f t="shared" si="2"/>
        <v>0.20569456658056018</v>
      </c>
      <c r="W97">
        <f t="shared" si="3"/>
        <v>0.51283393200008587</v>
      </c>
      <c r="X97">
        <v>3.3317525751484653E-2</v>
      </c>
      <c r="Y97">
        <v>0.78891248252664037</v>
      </c>
      <c r="Z97">
        <v>0.2760785505265545</v>
      </c>
      <c r="AA97">
        <v>0.17745027636957769</v>
      </c>
      <c r="AB97">
        <v>3.1971535229735371E-4</v>
      </c>
      <c r="AC97">
        <v>0.22493024296086667</v>
      </c>
    </row>
    <row r="98" spans="1:29" x14ac:dyDescent="0.3">
      <c r="A98">
        <v>524288</v>
      </c>
      <c r="B98">
        <v>4</v>
      </c>
      <c r="C98">
        <v>125</v>
      </c>
      <c r="D98">
        <v>0.2</v>
      </c>
      <c r="E98">
        <v>13</v>
      </c>
      <c r="F98">
        <v>16383</v>
      </c>
      <c r="G98">
        <v>3670533.3333333335</v>
      </c>
      <c r="H98">
        <v>32.001953244216566</v>
      </c>
      <c r="I98">
        <v>117384732933.33333</v>
      </c>
      <c r="J98">
        <v>703136337633.33337</v>
      </c>
      <c r="K98">
        <v>5.9900152265343376</v>
      </c>
      <c r="L98">
        <v>5.6802478628331228</v>
      </c>
      <c r="M98">
        <v>6.8320805588194409</v>
      </c>
      <c r="N98">
        <v>0.28186663373203241</v>
      </c>
      <c r="O98">
        <v>0.64636033606665266</v>
      </c>
      <c r="P98">
        <v>8.1659190459302824</v>
      </c>
      <c r="Q98">
        <v>6.7180587596617353E-3</v>
      </c>
      <c r="R98">
        <v>0.71998904645745199</v>
      </c>
      <c r="S98">
        <v>0.71500323937071852</v>
      </c>
      <c r="T98">
        <v>0.27323311472042572</v>
      </c>
      <c r="U98">
        <v>5.9780062460524613E-5</v>
      </c>
      <c r="V98">
        <f t="shared" si="2"/>
        <v>4.9858070867334625E-3</v>
      </c>
      <c r="W98">
        <f t="shared" si="3"/>
        <v>9.6009466045455794E-3</v>
      </c>
      <c r="X98">
        <v>7.249208146208353E-4</v>
      </c>
      <c r="Y98">
        <v>0.68762854232137627</v>
      </c>
      <c r="Z98">
        <v>0.67802759571683069</v>
      </c>
      <c r="AA98">
        <v>0.3116437238486211</v>
      </c>
      <c r="AB98">
        <v>2.8130153818970627E-6</v>
      </c>
      <c r="AC98">
        <v>0.45321522401693515</v>
      </c>
    </row>
    <row r="99" spans="1:29" x14ac:dyDescent="0.3">
      <c r="A99">
        <v>524288</v>
      </c>
      <c r="B99">
        <v>4</v>
      </c>
      <c r="C99">
        <v>125</v>
      </c>
      <c r="D99">
        <v>0.35</v>
      </c>
      <c r="E99">
        <v>13</v>
      </c>
      <c r="F99">
        <v>16383</v>
      </c>
      <c r="G99">
        <v>829028</v>
      </c>
      <c r="H99">
        <v>32.001953244216566</v>
      </c>
      <c r="I99">
        <v>30287637166.666668</v>
      </c>
      <c r="J99">
        <v>176399100700</v>
      </c>
      <c r="K99">
        <v>5.8241288262042978</v>
      </c>
      <c r="L99">
        <v>5.4332976089897587</v>
      </c>
      <c r="M99">
        <v>6.8970776194484849</v>
      </c>
      <c r="N99">
        <v>0.43438414398498315</v>
      </c>
      <c r="O99">
        <v>0.98115148513782247</v>
      </c>
      <c r="P99">
        <v>9.9311264365325016</v>
      </c>
      <c r="Q99">
        <v>7.1337027319447049E-3</v>
      </c>
      <c r="R99">
        <v>0.75601471454059666</v>
      </c>
      <c r="S99">
        <v>0.73039441840909969</v>
      </c>
      <c r="T99">
        <v>0.23671204174433699</v>
      </c>
      <c r="U99">
        <v>1.3954098312158971E-4</v>
      </c>
      <c r="V99">
        <f t="shared" si="2"/>
        <v>2.5620296131496967E-2</v>
      </c>
      <c r="W99">
        <f t="shared" si="3"/>
        <v>3.7086644663753998E-2</v>
      </c>
      <c r="X99">
        <v>1.201766519739028E-3</v>
      </c>
      <c r="Y99">
        <v>0.71846756283756186</v>
      </c>
      <c r="Z99">
        <v>0.68138091817380786</v>
      </c>
      <c r="AA99">
        <v>0.28032026318223363</v>
      </c>
      <c r="AB99">
        <v>1.040746046539605E-5</v>
      </c>
      <c r="AC99">
        <v>0.39016411830078845</v>
      </c>
    </row>
    <row r="100" spans="1:29" x14ac:dyDescent="0.3">
      <c r="A100">
        <v>524288</v>
      </c>
      <c r="B100">
        <v>4</v>
      </c>
      <c r="C100">
        <v>125</v>
      </c>
      <c r="D100">
        <v>0.5</v>
      </c>
      <c r="E100">
        <v>13</v>
      </c>
      <c r="F100">
        <v>16383</v>
      </c>
      <c r="G100">
        <v>301846</v>
      </c>
      <c r="H100">
        <v>32.001953244216566</v>
      </c>
      <c r="I100">
        <v>12646095300</v>
      </c>
      <c r="J100">
        <v>70052737700</v>
      </c>
      <c r="K100">
        <v>5.5394757067819977</v>
      </c>
      <c r="L100">
        <v>4.9001937883097462</v>
      </c>
      <c r="M100">
        <v>6.9204747019857846</v>
      </c>
      <c r="N100">
        <v>0.42684532478881443</v>
      </c>
      <c r="O100">
        <v>4.8690942494510878</v>
      </c>
      <c r="P100">
        <v>11.588640736089088</v>
      </c>
      <c r="Q100">
        <v>5.3220834892806794E-3</v>
      </c>
      <c r="R100">
        <v>0.7870625923560769</v>
      </c>
      <c r="S100">
        <v>0.73092086574739001</v>
      </c>
      <c r="T100">
        <v>0.20727599016275008</v>
      </c>
      <c r="U100">
        <v>3.3933399189234326E-4</v>
      </c>
      <c r="V100">
        <f t="shared" si="2"/>
        <v>5.6141726608686882E-2</v>
      </c>
      <c r="W100">
        <f t="shared" si="3"/>
        <v>8.9776547733693923E-2</v>
      </c>
      <c r="X100">
        <v>4.6780106068574105E-3</v>
      </c>
      <c r="Y100">
        <v>0.73634565926464846</v>
      </c>
      <c r="Z100">
        <v>0.64656911153095453</v>
      </c>
      <c r="AA100">
        <v>0.25895018268500875</v>
      </c>
      <c r="AB100">
        <v>2.6147443485281517E-5</v>
      </c>
      <c r="AC100">
        <v>0.3516693273422829</v>
      </c>
    </row>
    <row r="101" spans="1:29" x14ac:dyDescent="0.3">
      <c r="A101">
        <v>524288</v>
      </c>
      <c r="B101">
        <v>4</v>
      </c>
      <c r="C101">
        <v>125</v>
      </c>
      <c r="D101">
        <v>0.65</v>
      </c>
      <c r="E101">
        <v>13</v>
      </c>
      <c r="F101">
        <v>16383</v>
      </c>
      <c r="G101">
        <v>101365.33333333333</v>
      </c>
      <c r="H101">
        <v>32.001953244216566</v>
      </c>
      <c r="I101">
        <v>6357506933.333333</v>
      </c>
      <c r="J101">
        <v>30943821500</v>
      </c>
      <c r="K101">
        <v>4.8672886753386058</v>
      </c>
      <c r="L101">
        <v>3.8964595464414322</v>
      </c>
      <c r="M101">
        <v>6.9835099227083557</v>
      </c>
      <c r="N101">
        <v>0.43629822997580542</v>
      </c>
      <c r="O101">
        <v>8.9389830899751832</v>
      </c>
      <c r="P101">
        <v>9.3193194773217289</v>
      </c>
      <c r="Q101">
        <v>4.5423990309660586E-3</v>
      </c>
      <c r="R101">
        <v>0.85564371228789005</v>
      </c>
      <c r="S101">
        <v>0.73370211765609927</v>
      </c>
      <c r="T101">
        <v>0.13915509794594116</v>
      </c>
      <c r="U101">
        <v>6.5879073520265865E-4</v>
      </c>
      <c r="V101">
        <f t="shared" si="2"/>
        <v>0.12194159463179077</v>
      </c>
      <c r="W101">
        <f t="shared" si="3"/>
        <v>0.20458313786485616</v>
      </c>
      <c r="X101">
        <v>8.342309411697368E-3</v>
      </c>
      <c r="Y101">
        <v>0.79194107187655116</v>
      </c>
      <c r="Z101">
        <v>0.587357934011695</v>
      </c>
      <c r="AA101">
        <v>0.19965756545831506</v>
      </c>
      <c r="AB101">
        <v>5.9053253436500503E-5</v>
      </c>
      <c r="AC101">
        <v>0.25211164384392221</v>
      </c>
    </row>
    <row r="102" spans="1:29" x14ac:dyDescent="0.3">
      <c r="A102">
        <v>524288</v>
      </c>
      <c r="B102">
        <v>4</v>
      </c>
      <c r="C102">
        <v>125</v>
      </c>
      <c r="D102">
        <v>0.8</v>
      </c>
      <c r="E102">
        <v>13</v>
      </c>
      <c r="F102">
        <v>16383</v>
      </c>
      <c r="G102">
        <v>55018.666666666664</v>
      </c>
      <c r="H102">
        <v>32.001953244216566</v>
      </c>
      <c r="I102">
        <v>4531425433.333333</v>
      </c>
      <c r="J102">
        <v>20240340933.333332</v>
      </c>
      <c r="K102">
        <v>4.4666609284673724</v>
      </c>
      <c r="L102">
        <v>3.0719225809783404</v>
      </c>
      <c r="M102">
        <v>6.7580102198719096</v>
      </c>
      <c r="N102">
        <v>0.45630594629156013</v>
      </c>
      <c r="O102">
        <v>40.603249435147966</v>
      </c>
      <c r="P102">
        <v>9.8567564653449615</v>
      </c>
      <c r="Q102">
        <v>2.9334183828527895E-3</v>
      </c>
      <c r="R102">
        <v>0.88778652380340395</v>
      </c>
      <c r="S102">
        <v>0.71619251257972449</v>
      </c>
      <c r="T102">
        <v>0.10835967045925057</v>
      </c>
      <c r="U102">
        <v>9.2038735449271399E-4</v>
      </c>
      <c r="V102">
        <f t="shared" si="2"/>
        <v>0.17159401122367945</v>
      </c>
      <c r="W102">
        <f t="shared" si="3"/>
        <v>0.31673568746276126</v>
      </c>
      <c r="X102">
        <v>2.6665627905068819E-2</v>
      </c>
      <c r="Y102">
        <v>0.80929332435421364</v>
      </c>
      <c r="Z102">
        <v>0.49255763689145238</v>
      </c>
      <c r="AA102">
        <v>0.16394702264468444</v>
      </c>
      <c r="AB102">
        <v>9.4025096033132044E-5</v>
      </c>
      <c r="AC102">
        <v>0.20258047077740093</v>
      </c>
    </row>
    <row r="103" spans="1:29" x14ac:dyDescent="0.3">
      <c r="A103">
        <v>524288</v>
      </c>
      <c r="B103">
        <v>4</v>
      </c>
      <c r="C103">
        <v>125</v>
      </c>
      <c r="D103">
        <v>0.95</v>
      </c>
      <c r="E103">
        <v>13</v>
      </c>
      <c r="F103">
        <v>16383</v>
      </c>
      <c r="G103">
        <v>16400</v>
      </c>
      <c r="H103">
        <v>32.001953244216566</v>
      </c>
      <c r="I103">
        <v>3502308166.6666665</v>
      </c>
      <c r="J103">
        <v>13498594600</v>
      </c>
      <c r="K103">
        <v>3.8541995614415998</v>
      </c>
      <c r="L103">
        <v>2.2907904295567305</v>
      </c>
      <c r="M103">
        <v>6.6018726205376197</v>
      </c>
      <c r="N103">
        <v>0.4461611849552084</v>
      </c>
      <c r="O103">
        <v>47.334086292970902</v>
      </c>
      <c r="P103">
        <v>9.299897689986393</v>
      </c>
      <c r="Q103">
        <v>1.5041794580326526E-3</v>
      </c>
      <c r="R103">
        <v>0.95331261778839282</v>
      </c>
      <c r="S103">
        <v>0.7303390635385264</v>
      </c>
      <c r="T103">
        <v>4.4006036209739585E-2</v>
      </c>
      <c r="U103">
        <v>1.1771665438349728E-3</v>
      </c>
      <c r="V103">
        <f t="shared" si="2"/>
        <v>0.22297355424986642</v>
      </c>
      <c r="W103">
        <f t="shared" si="3"/>
        <v>0.47192663054468398</v>
      </c>
      <c r="X103">
        <v>1.8473086079642691E-2</v>
      </c>
      <c r="Y103">
        <v>0.90601254395278552</v>
      </c>
      <c r="Z103">
        <v>0.43408591340810154</v>
      </c>
      <c r="AA103">
        <v>7.5378101460527855E-2</v>
      </c>
      <c r="AB103">
        <v>1.3626850704393577E-4</v>
      </c>
      <c r="AC103">
        <v>8.3197635577610715E-2</v>
      </c>
    </row>
    <row r="104" spans="1:29" x14ac:dyDescent="0.3">
      <c r="A104">
        <v>524288</v>
      </c>
      <c r="B104">
        <v>5</v>
      </c>
      <c r="C104">
        <v>216</v>
      </c>
      <c r="D104">
        <v>0.2</v>
      </c>
      <c r="E104">
        <v>12</v>
      </c>
      <c r="F104">
        <v>8191</v>
      </c>
      <c r="G104">
        <v>2243538.6666666665</v>
      </c>
      <c r="H104">
        <v>64.007813453790746</v>
      </c>
      <c r="I104">
        <v>172644244366.66666</v>
      </c>
      <c r="J104">
        <v>1002511543666.6666</v>
      </c>
      <c r="K104">
        <v>5.8068054764542554</v>
      </c>
      <c r="L104">
        <v>4.611759155615335</v>
      </c>
      <c r="M104">
        <v>7.3119840170564281</v>
      </c>
      <c r="N104">
        <v>0.28658141551464655</v>
      </c>
      <c r="O104">
        <v>0.58294960530194861</v>
      </c>
      <c r="P104">
        <v>4.2438623278726961</v>
      </c>
      <c r="Q104">
        <v>3.4684256954525361E-3</v>
      </c>
      <c r="R104">
        <v>0.55740795136085586</v>
      </c>
      <c r="S104">
        <v>0.55138619872643069</v>
      </c>
      <c r="T104">
        <v>0.43908488007474805</v>
      </c>
      <c r="U104">
        <v>3.8742868943418782E-5</v>
      </c>
      <c r="V104">
        <f t="shared" si="2"/>
        <v>6.0217526344251704E-3</v>
      </c>
      <c r="W104">
        <f t="shared" si="3"/>
        <v>8.8397107138747377E-3</v>
      </c>
      <c r="X104">
        <v>3.4819788580515933E-4</v>
      </c>
      <c r="Y104">
        <v>0.44675008339081035</v>
      </c>
      <c r="Z104">
        <v>0.43791037267693561</v>
      </c>
      <c r="AA104">
        <v>0.55289980665895111</v>
      </c>
      <c r="AB104">
        <v>1.912064433348831E-6</v>
      </c>
      <c r="AC104">
        <v>1.2376042606695667</v>
      </c>
    </row>
    <row r="105" spans="1:29" x14ac:dyDescent="0.3">
      <c r="A105">
        <v>524288</v>
      </c>
      <c r="B105">
        <v>5</v>
      </c>
      <c r="C105">
        <v>216</v>
      </c>
      <c r="D105">
        <v>0.35</v>
      </c>
      <c r="E105">
        <v>12</v>
      </c>
      <c r="F105">
        <v>8191</v>
      </c>
      <c r="G105">
        <v>504657.33333333331</v>
      </c>
      <c r="H105">
        <v>64.007813453790746</v>
      </c>
      <c r="I105">
        <v>47448948266.666664</v>
      </c>
      <c r="J105">
        <v>259748324266.66666</v>
      </c>
      <c r="K105">
        <v>5.4742693727764316</v>
      </c>
      <c r="L105">
        <v>4.2892805620401635</v>
      </c>
      <c r="M105">
        <v>7.3460005968613151</v>
      </c>
      <c r="N105">
        <v>0.46440383084536285</v>
      </c>
      <c r="O105">
        <v>3.4261795706133897</v>
      </c>
      <c r="P105">
        <v>8.8582064580215913</v>
      </c>
      <c r="Q105">
        <v>1.8431058332808231E-3</v>
      </c>
      <c r="R105">
        <v>0.64180330676356512</v>
      </c>
      <c r="S105">
        <v>0.62218908276075824</v>
      </c>
      <c r="T105">
        <v>0.35626798452226743</v>
      </c>
      <c r="U105">
        <v>8.56028808866159E-5</v>
      </c>
      <c r="V105">
        <f t="shared" si="2"/>
        <v>1.9614224002806879E-2</v>
      </c>
      <c r="W105">
        <f t="shared" si="3"/>
        <v>3.3251275920197998E-2</v>
      </c>
      <c r="X105">
        <v>1.1535441759349136E-3</v>
      </c>
      <c r="Y105">
        <v>0.52075807488610082</v>
      </c>
      <c r="Z105">
        <v>0.48750679896590282</v>
      </c>
      <c r="AA105">
        <v>0.47808111890843885</v>
      </c>
      <c r="AB105">
        <v>7.2620295254088293E-6</v>
      </c>
      <c r="AC105">
        <v>0.91804840282698219</v>
      </c>
    </row>
    <row r="106" spans="1:29" x14ac:dyDescent="0.3">
      <c r="A106">
        <v>524288</v>
      </c>
      <c r="B106">
        <v>5</v>
      </c>
      <c r="C106">
        <v>216</v>
      </c>
      <c r="D106">
        <v>0.5</v>
      </c>
      <c r="E106">
        <v>12</v>
      </c>
      <c r="F106">
        <v>8191</v>
      </c>
      <c r="G106">
        <v>178802</v>
      </c>
      <c r="H106">
        <v>64.007813453790746</v>
      </c>
      <c r="I106">
        <v>21990497300</v>
      </c>
      <c r="J106">
        <v>110296505450</v>
      </c>
      <c r="K106">
        <v>5.0156439822759262</v>
      </c>
      <c r="L106">
        <v>3.8213825474228496</v>
      </c>
      <c r="M106">
        <v>7.3424380734190624</v>
      </c>
      <c r="N106">
        <v>0.43348970719932628</v>
      </c>
      <c r="O106">
        <v>9.1436356458013339</v>
      </c>
      <c r="P106">
        <v>11.505431448311123</v>
      </c>
      <c r="Q106">
        <v>1.5779679525483037E-3</v>
      </c>
      <c r="R106">
        <v>0.72535129071410309</v>
      </c>
      <c r="S106">
        <v>0.68130799502201345</v>
      </c>
      <c r="T106">
        <v>0.27287905285343411</v>
      </c>
      <c r="U106">
        <v>1.9168847991445832E-4</v>
      </c>
      <c r="V106">
        <f t="shared" si="2"/>
        <v>4.4043295692089646E-2</v>
      </c>
      <c r="W106">
        <f t="shared" si="3"/>
        <v>7.8553520935689791E-2</v>
      </c>
      <c r="X106">
        <v>2.8766722817327481E-3</v>
      </c>
      <c r="Y106">
        <v>0.59763711036050782</v>
      </c>
      <c r="Z106">
        <v>0.51908358942481803</v>
      </c>
      <c r="AA106">
        <v>0.39946965019642877</v>
      </c>
      <c r="AB106">
        <v>1.6567161330676593E-5</v>
      </c>
      <c r="AC106">
        <v>0.66841506872868039</v>
      </c>
    </row>
    <row r="107" spans="1:29" x14ac:dyDescent="0.3">
      <c r="A107">
        <v>524288</v>
      </c>
      <c r="B107">
        <v>5</v>
      </c>
      <c r="C107">
        <v>216</v>
      </c>
      <c r="D107">
        <v>0.65</v>
      </c>
      <c r="E107">
        <v>12</v>
      </c>
      <c r="F107">
        <v>8191</v>
      </c>
      <c r="G107">
        <v>71026.666666666672</v>
      </c>
      <c r="H107">
        <v>64.007813453790746</v>
      </c>
      <c r="I107">
        <v>10617944966.666666</v>
      </c>
      <c r="J107">
        <v>47444442966.666664</v>
      </c>
      <c r="K107">
        <v>4.4683263207344623</v>
      </c>
      <c r="L107">
        <v>2.8525101432716444</v>
      </c>
      <c r="M107">
        <v>7.326598942207716</v>
      </c>
      <c r="N107">
        <v>0.4585040565467931</v>
      </c>
      <c r="O107">
        <v>28.033934860931478</v>
      </c>
      <c r="P107">
        <v>9.8752777725489</v>
      </c>
      <c r="Q107">
        <v>1.7888803711982571E-3</v>
      </c>
      <c r="R107">
        <v>0.7729718188499809</v>
      </c>
      <c r="S107">
        <v>0.68523540944201988</v>
      </c>
      <c r="T107">
        <v>0.22485467519014485</v>
      </c>
      <c r="U107">
        <v>3.8462558867598078E-4</v>
      </c>
      <c r="V107">
        <f t="shared" si="2"/>
        <v>8.7736409407961014E-2</v>
      </c>
      <c r="W107">
        <f t="shared" si="3"/>
        <v>0.18260520217482235</v>
      </c>
      <c r="X107">
        <v>1.1223297539273671E-2</v>
      </c>
      <c r="Y107">
        <v>0.62004884788442538</v>
      </c>
      <c r="Z107">
        <v>0.43744364570960304</v>
      </c>
      <c r="AA107">
        <v>0.36868838736195686</v>
      </c>
      <c r="AB107">
        <v>3.9467214344060777E-5</v>
      </c>
      <c r="AC107">
        <v>0.59461184166360859</v>
      </c>
    </row>
    <row r="108" spans="1:29" x14ac:dyDescent="0.3">
      <c r="A108">
        <v>524288</v>
      </c>
      <c r="B108">
        <v>5</v>
      </c>
      <c r="C108">
        <v>216</v>
      </c>
      <c r="D108">
        <v>0.8</v>
      </c>
      <c r="E108">
        <v>12</v>
      </c>
      <c r="F108">
        <v>8191</v>
      </c>
      <c r="G108">
        <v>34145.333333333336</v>
      </c>
      <c r="H108">
        <v>64.007813453790746</v>
      </c>
      <c r="I108">
        <v>7626782100</v>
      </c>
      <c r="J108">
        <v>29434992533.333332</v>
      </c>
      <c r="K108">
        <v>3.8594248724286135</v>
      </c>
      <c r="L108">
        <v>2.1946929151203993</v>
      </c>
      <c r="M108">
        <v>7.3007352146536588</v>
      </c>
      <c r="N108">
        <v>0.41755258820149105</v>
      </c>
      <c r="O108">
        <v>30.706489581337934</v>
      </c>
      <c r="P108">
        <v>8.9456633155279857</v>
      </c>
      <c r="Q108">
        <v>8.2136868706397153E-4</v>
      </c>
      <c r="R108">
        <v>0.84706599917152481</v>
      </c>
      <c r="S108">
        <v>0.7251510655675697</v>
      </c>
      <c r="T108">
        <v>0.15153460767331131</v>
      </c>
      <c r="U108">
        <v>5.7802446809994304E-4</v>
      </c>
      <c r="V108">
        <f t="shared" si="2"/>
        <v>0.12191493360395511</v>
      </c>
      <c r="W108">
        <f t="shared" si="3"/>
        <v>0.29438692366533131</v>
      </c>
      <c r="X108">
        <v>6.5350019408192458E-3</v>
      </c>
      <c r="Y108">
        <v>0.70674989447027492</v>
      </c>
      <c r="Z108">
        <v>0.41236297080494361</v>
      </c>
      <c r="AA108">
        <v>0.28665256691033919</v>
      </c>
      <c r="AB108">
        <v>6.2536678566577208E-5</v>
      </c>
      <c r="AC108">
        <v>0.40559265611944917</v>
      </c>
    </row>
    <row r="109" spans="1:29" x14ac:dyDescent="0.3">
      <c r="A109">
        <v>524288</v>
      </c>
      <c r="B109">
        <v>5</v>
      </c>
      <c r="C109">
        <v>216</v>
      </c>
      <c r="D109">
        <v>0.95</v>
      </c>
      <c r="E109">
        <v>12</v>
      </c>
      <c r="F109">
        <v>8191</v>
      </c>
      <c r="G109">
        <v>24568</v>
      </c>
      <c r="H109">
        <v>64.007813453790746</v>
      </c>
      <c r="I109">
        <v>5548501433.333333</v>
      </c>
      <c r="J109">
        <v>18558100133.333332</v>
      </c>
      <c r="K109">
        <v>3.3447049363352721</v>
      </c>
      <c r="L109">
        <v>0.96442367903808057</v>
      </c>
      <c r="M109">
        <v>7.2322782409519881</v>
      </c>
      <c r="N109">
        <v>0.45665027849010986</v>
      </c>
      <c r="O109">
        <v>58.895513084635461</v>
      </c>
      <c r="P109">
        <v>11.692492463570492</v>
      </c>
      <c r="Q109">
        <v>5.6864002612405087E-4</v>
      </c>
      <c r="R109">
        <v>0.84795696457210978</v>
      </c>
      <c r="S109">
        <v>0.68140860112000334</v>
      </c>
      <c r="T109">
        <v>0.15073878536680924</v>
      </c>
      <c r="U109">
        <v>7.356100349570064E-4</v>
      </c>
      <c r="V109">
        <f t="shared" si="2"/>
        <v>0.16654836345210644</v>
      </c>
      <c r="W109">
        <f t="shared" si="3"/>
        <v>0.46746343129621076</v>
      </c>
      <c r="X109">
        <v>1.0012944859563966E-2</v>
      </c>
      <c r="Y109">
        <v>0.6639431215915198</v>
      </c>
      <c r="Z109">
        <v>0.19647969029530904</v>
      </c>
      <c r="AA109">
        <v>0.32594350121371263</v>
      </c>
      <c r="AB109">
        <v>1.0043233520362296E-4</v>
      </c>
      <c r="AC109">
        <v>0.4909208192900657</v>
      </c>
    </row>
    <row r="110" spans="1:29" x14ac:dyDescent="0.3">
      <c r="A110">
        <v>524288</v>
      </c>
      <c r="B110">
        <v>6</v>
      </c>
      <c r="C110">
        <v>343</v>
      </c>
      <c r="D110">
        <v>0.2</v>
      </c>
      <c r="E110">
        <v>11</v>
      </c>
      <c r="F110">
        <v>4095</v>
      </c>
      <c r="G110">
        <v>951836</v>
      </c>
      <c r="H110">
        <v>128.03125763125763</v>
      </c>
      <c r="I110">
        <v>214354245666.66666</v>
      </c>
      <c r="J110">
        <v>1361700111800</v>
      </c>
      <c r="K110">
        <v>6.352568886914062</v>
      </c>
      <c r="L110">
        <v>4.3017812562044631</v>
      </c>
      <c r="M110">
        <v>7.6836806018897956</v>
      </c>
      <c r="N110">
        <v>0.28146879075357356</v>
      </c>
      <c r="O110">
        <v>1.2154310517797799</v>
      </c>
      <c r="P110">
        <v>4.104532553388486</v>
      </c>
      <c r="Q110">
        <v>6.8047450866368586E-4</v>
      </c>
      <c r="R110">
        <v>0.40061506518297912</v>
      </c>
      <c r="S110">
        <v>0.39548230548460472</v>
      </c>
      <c r="T110">
        <v>0.59867405347730485</v>
      </c>
      <c r="U110">
        <v>3.0406831052317684E-5</v>
      </c>
      <c r="V110">
        <f t="shared" si="2"/>
        <v>5.1327596983744006E-3</v>
      </c>
      <c r="W110">
        <f t="shared" si="3"/>
        <v>7.9392571631473063E-3</v>
      </c>
      <c r="X110">
        <v>1.3019455003127168E-4</v>
      </c>
      <c r="Y110">
        <v>0.27574876843011503</v>
      </c>
      <c r="Z110">
        <v>0.26780951126696773</v>
      </c>
      <c r="AA110">
        <v>0.72411968975796337</v>
      </c>
      <c r="AB110">
        <v>1.3472618903156257E-6</v>
      </c>
      <c r="AC110">
        <v>2.6260124165939192</v>
      </c>
    </row>
    <row r="111" spans="1:29" x14ac:dyDescent="0.3">
      <c r="A111">
        <v>524288</v>
      </c>
      <c r="B111">
        <v>6</v>
      </c>
      <c r="C111">
        <v>343</v>
      </c>
      <c r="D111">
        <v>0.35</v>
      </c>
      <c r="E111">
        <v>11</v>
      </c>
      <c r="F111">
        <v>4095</v>
      </c>
      <c r="G111">
        <v>215846.66666666666</v>
      </c>
      <c r="H111">
        <v>128.03125763125763</v>
      </c>
      <c r="I111">
        <v>68466253033.333336</v>
      </c>
      <c r="J111">
        <v>383327681900</v>
      </c>
      <c r="K111">
        <v>5.5987828297449536</v>
      </c>
      <c r="L111">
        <v>3.873109493652628</v>
      </c>
      <c r="M111">
        <v>7.7297295110852353</v>
      </c>
      <c r="N111">
        <v>0.55933474537857375</v>
      </c>
      <c r="O111">
        <v>5.0698809210502604</v>
      </c>
      <c r="P111">
        <v>8.4307142721829305</v>
      </c>
      <c r="Q111">
        <v>5.4017658376398633E-4</v>
      </c>
      <c r="R111">
        <v>0.57698786457761031</v>
      </c>
      <c r="S111">
        <v>0.56103290937554651</v>
      </c>
      <c r="T111">
        <v>0.42241288496664536</v>
      </c>
      <c r="U111">
        <v>5.9073871980368745E-5</v>
      </c>
      <c r="V111">
        <f t="shared" si="2"/>
        <v>1.5954955202063803E-2</v>
      </c>
      <c r="W111">
        <f t="shared" si="3"/>
        <v>2.8208260827231768E-2</v>
      </c>
      <c r="X111">
        <v>4.8914755926475137E-4</v>
      </c>
      <c r="Y111">
        <v>0.41631795424303619</v>
      </c>
      <c r="Z111">
        <v>0.38810969341580442</v>
      </c>
      <c r="AA111">
        <v>0.58318699654547435</v>
      </c>
      <c r="AB111">
        <v>5.9016522246802717E-6</v>
      </c>
      <c r="AC111">
        <v>1.4008211526832786</v>
      </c>
    </row>
    <row r="112" spans="1:29" x14ac:dyDescent="0.3">
      <c r="A112">
        <v>524288</v>
      </c>
      <c r="B112">
        <v>6</v>
      </c>
      <c r="C112">
        <v>343</v>
      </c>
      <c r="D112">
        <v>0.5</v>
      </c>
      <c r="E112">
        <v>11</v>
      </c>
      <c r="F112">
        <v>4095</v>
      </c>
      <c r="G112">
        <v>88293</v>
      </c>
      <c r="H112">
        <v>128.03125763125763</v>
      </c>
      <c r="I112">
        <v>32672031325</v>
      </c>
      <c r="J112">
        <v>162625419975</v>
      </c>
      <c r="K112">
        <v>4.9775117548495436</v>
      </c>
      <c r="L112">
        <v>3.0486049881518893</v>
      </c>
      <c r="M112">
        <v>7.749616276198962</v>
      </c>
      <c r="N112">
        <v>0.44107237657051851</v>
      </c>
      <c r="O112">
        <v>9.8048156512718556</v>
      </c>
      <c r="P112">
        <v>9.838689857765436</v>
      </c>
      <c r="Q112">
        <v>5.6649064197724784E-4</v>
      </c>
      <c r="R112">
        <v>0.63831136691651669</v>
      </c>
      <c r="S112">
        <v>0.60467581670941606</v>
      </c>
      <c r="T112">
        <v>0.36099242139790644</v>
      </c>
      <c r="U112">
        <v>1.2972104359966667E-4</v>
      </c>
      <c r="V112">
        <f t="shared" si="2"/>
        <v>3.3635550207100628E-2</v>
      </c>
      <c r="W112">
        <f t="shared" si="3"/>
        <v>6.6484975421813641E-2</v>
      </c>
      <c r="X112">
        <v>1.1158861267069882E-3</v>
      </c>
      <c r="Y112">
        <v>0.43683421854296117</v>
      </c>
      <c r="Z112">
        <v>0.37034924312114753</v>
      </c>
      <c r="AA112">
        <v>0.56203840035617414</v>
      </c>
      <c r="AB112">
        <v>1.1494974157713931E-5</v>
      </c>
      <c r="AC112">
        <v>1.2866171570323068</v>
      </c>
    </row>
    <row r="113" spans="1:29" x14ac:dyDescent="0.3">
      <c r="A113">
        <v>524288</v>
      </c>
      <c r="B113">
        <v>6</v>
      </c>
      <c r="C113">
        <v>343</v>
      </c>
      <c r="D113">
        <v>0.65</v>
      </c>
      <c r="E113">
        <v>11</v>
      </c>
      <c r="F113">
        <v>4095</v>
      </c>
      <c r="G113">
        <v>31265.333333333332</v>
      </c>
      <c r="H113">
        <v>128.03125763125763</v>
      </c>
      <c r="I113">
        <v>17740774533.333332</v>
      </c>
      <c r="J113">
        <v>68920349200</v>
      </c>
      <c r="K113">
        <v>3.8848557074272501</v>
      </c>
      <c r="L113">
        <v>2.0575193847010387</v>
      </c>
      <c r="M113">
        <v>7.7151331472064344</v>
      </c>
      <c r="N113">
        <v>0.45257337650157803</v>
      </c>
      <c r="O113">
        <v>30.967851334048518</v>
      </c>
      <c r="P113">
        <v>9.2803284672199933</v>
      </c>
      <c r="Q113">
        <v>3.2576931684358105E-4</v>
      </c>
      <c r="R113">
        <v>0.76287997880648717</v>
      </c>
      <c r="S113">
        <v>0.70149396107914397</v>
      </c>
      <c r="T113">
        <v>0.23656385795226725</v>
      </c>
      <c r="U113">
        <v>2.3039392440205299E-4</v>
      </c>
      <c r="V113">
        <f t="shared" si="2"/>
        <v>6.1386017727343201E-2</v>
      </c>
      <c r="W113">
        <f t="shared" si="3"/>
        <v>0.15604285514366883</v>
      </c>
      <c r="X113">
        <v>2.5968469701253341E-3</v>
      </c>
      <c r="Y113">
        <v>0.52757207832990305</v>
      </c>
      <c r="Z113">
        <v>0.37152922318623421</v>
      </c>
      <c r="AA113">
        <v>0.46980423453803394</v>
      </c>
      <c r="AB113">
        <v>2.6840161937736282E-5</v>
      </c>
      <c r="AC113">
        <v>0.89050246181575676</v>
      </c>
    </row>
    <row r="114" spans="1:29" x14ac:dyDescent="0.3">
      <c r="A114">
        <v>524288</v>
      </c>
      <c r="B114">
        <v>6</v>
      </c>
      <c r="C114">
        <v>343</v>
      </c>
      <c r="D114">
        <v>0.8</v>
      </c>
      <c r="E114">
        <v>11</v>
      </c>
      <c r="F114">
        <v>4095</v>
      </c>
      <c r="G114">
        <v>15528</v>
      </c>
      <c r="H114">
        <v>128.03125763125763</v>
      </c>
      <c r="I114">
        <v>13504904266.666666</v>
      </c>
      <c r="J114">
        <v>42546243566.666664</v>
      </c>
      <c r="K114">
        <v>3.1504291127543178</v>
      </c>
      <c r="L114">
        <v>1.5001187061383099</v>
      </c>
      <c r="M114">
        <v>7.689222431896936</v>
      </c>
      <c r="N114">
        <v>0.45258301259831224</v>
      </c>
      <c r="O114">
        <v>58.845159016638547</v>
      </c>
      <c r="P114">
        <v>11.410178280683736</v>
      </c>
      <c r="Q114">
        <v>2.3112097687139473E-4</v>
      </c>
      <c r="R114">
        <v>0.84413214697649297</v>
      </c>
      <c r="S114">
        <v>0.76323281501825191</v>
      </c>
      <c r="T114">
        <v>0.15532698531186431</v>
      </c>
      <c r="U114">
        <v>3.0974673477137424E-4</v>
      </c>
      <c r="V114">
        <f t="shared" si="2"/>
        <v>8.0899331958241061E-2</v>
      </c>
      <c r="W114">
        <f t="shared" si="3"/>
        <v>0.25310996844627814</v>
      </c>
      <c r="X114">
        <v>4.3169835439298993E-3</v>
      </c>
      <c r="Y114">
        <v>0.61653342029042912</v>
      </c>
      <c r="Z114">
        <v>0.36342345184415098</v>
      </c>
      <c r="AA114">
        <v>0.37910509870026465</v>
      </c>
      <c r="AB114">
        <v>4.4497465376314658E-5</v>
      </c>
      <c r="AC114">
        <v>0.61489788910661225</v>
      </c>
    </row>
    <row r="115" spans="1:29" x14ac:dyDescent="0.3">
      <c r="A115">
        <v>524288</v>
      </c>
      <c r="B115">
        <v>6</v>
      </c>
      <c r="C115">
        <v>343</v>
      </c>
      <c r="D115">
        <v>0.95</v>
      </c>
      <c r="E115">
        <v>11</v>
      </c>
      <c r="F115">
        <v>4095</v>
      </c>
      <c r="G115">
        <v>8192</v>
      </c>
      <c r="H115">
        <v>128.03125763125763</v>
      </c>
      <c r="I115">
        <v>10408880766.666666</v>
      </c>
      <c r="J115">
        <v>24886387233.333332</v>
      </c>
      <c r="K115">
        <v>2.3908802292201616</v>
      </c>
      <c r="L115">
        <v>0.65438309504452374</v>
      </c>
      <c r="M115">
        <v>7.6007946034441893</v>
      </c>
      <c r="N115">
        <v>0.43283991645959424</v>
      </c>
      <c r="O115">
        <v>127.35157820073296</v>
      </c>
      <c r="P115">
        <v>9.8986129623255383</v>
      </c>
      <c r="Q115">
        <v>1.354452380555818E-4</v>
      </c>
      <c r="R115">
        <v>0.89241336075380739</v>
      </c>
      <c r="S115">
        <v>0.78720964181281838</v>
      </c>
      <c r="T115">
        <v>0.10703105917987218</v>
      </c>
      <c r="U115">
        <v>4.2013482826490123E-4</v>
      </c>
      <c r="V115">
        <f t="shared" si="2"/>
        <v>0.10520371894098901</v>
      </c>
      <c r="W115">
        <f t="shared" si="3"/>
        <v>0.43699028568117437</v>
      </c>
      <c r="X115">
        <v>7.2145666752108737E-3</v>
      </c>
      <c r="Y115">
        <v>0.65244929344016456</v>
      </c>
      <c r="Z115">
        <v>0.21545900775899016</v>
      </c>
      <c r="AA115">
        <v>0.34026007956100585</v>
      </c>
      <c r="AB115">
        <v>7.6060323618661803E-5</v>
      </c>
      <c r="AC115">
        <v>0.5215119136184807</v>
      </c>
    </row>
    <row r="116" spans="1:29" x14ac:dyDescent="0.3">
      <c r="A116">
        <v>524288</v>
      </c>
      <c r="B116">
        <v>7</v>
      </c>
      <c r="C116">
        <v>512</v>
      </c>
      <c r="D116">
        <v>0.2</v>
      </c>
      <c r="E116">
        <v>10</v>
      </c>
      <c r="F116">
        <v>2047</v>
      </c>
      <c r="G116">
        <v>338104</v>
      </c>
      <c r="H116">
        <v>256.12506106497312</v>
      </c>
      <c r="I116">
        <v>266681871533.33334</v>
      </c>
      <c r="J116">
        <v>1867896663300</v>
      </c>
      <c r="K116">
        <v>7.0042131194003048</v>
      </c>
      <c r="L116">
        <v>4.7303788029213436</v>
      </c>
      <c r="M116">
        <v>8.0006160990081803</v>
      </c>
      <c r="N116">
        <v>0.45288587078282772</v>
      </c>
      <c r="O116">
        <v>3.0221193720424382</v>
      </c>
      <c r="P116">
        <v>4.7335071652627319</v>
      </c>
      <c r="Q116">
        <v>2.0462795747196386E-4</v>
      </c>
      <c r="R116">
        <v>0.31286261974593166</v>
      </c>
      <c r="S116">
        <v>0.30872643220910667</v>
      </c>
      <c r="T116">
        <v>0.68691657309410614</v>
      </c>
      <c r="U116">
        <v>1.6179202490187614E-5</v>
      </c>
      <c r="V116">
        <f t="shared" si="2"/>
        <v>4.1361875368249867E-3</v>
      </c>
      <c r="W116">
        <f t="shared" si="3"/>
        <v>6.7728689789059715E-3</v>
      </c>
      <c r="X116">
        <v>8.8291161875789112E-5</v>
      </c>
      <c r="Y116">
        <v>0.21527494421966178</v>
      </c>
      <c r="Z116">
        <v>0.20850207524075581</v>
      </c>
      <c r="AA116">
        <v>0.78463571848635827</v>
      </c>
      <c r="AB116">
        <v>1.0461321041253058E-6</v>
      </c>
      <c r="AC116">
        <v>3.6448074406919058</v>
      </c>
    </row>
    <row r="117" spans="1:29" x14ac:dyDescent="0.3">
      <c r="A117">
        <v>524288</v>
      </c>
      <c r="B117">
        <v>7</v>
      </c>
      <c r="C117">
        <v>512</v>
      </c>
      <c r="D117">
        <v>0.35</v>
      </c>
      <c r="E117">
        <v>10</v>
      </c>
      <c r="F117">
        <v>2047</v>
      </c>
      <c r="G117">
        <v>93434.666666666672</v>
      </c>
      <c r="H117">
        <v>256.12506106497312</v>
      </c>
      <c r="I117">
        <v>89611063633.333328</v>
      </c>
      <c r="J117">
        <v>576494966633.33337</v>
      </c>
      <c r="K117">
        <v>6.4333012382512331</v>
      </c>
      <c r="L117">
        <v>4.1661640727287175</v>
      </c>
      <c r="M117">
        <v>8.052806061938373</v>
      </c>
      <c r="N117">
        <v>0.30855036308455025</v>
      </c>
      <c r="O117">
        <v>7.8122885726227667</v>
      </c>
      <c r="P117">
        <v>11.534705484974824</v>
      </c>
      <c r="Q117">
        <v>2.474106704508115E-4</v>
      </c>
      <c r="R117">
        <v>0.4394673276929808</v>
      </c>
      <c r="S117">
        <v>0.42730826582618969</v>
      </c>
      <c r="T117">
        <v>0.56021503258510041</v>
      </c>
      <c r="U117">
        <v>7.0229051467915306E-5</v>
      </c>
      <c r="V117">
        <f t="shared" si="2"/>
        <v>1.215906186679111E-2</v>
      </c>
      <c r="W117">
        <f t="shared" si="3"/>
        <v>2.1731823968034136E-2</v>
      </c>
      <c r="X117">
        <v>3.0044350201036406E-4</v>
      </c>
      <c r="Y117">
        <v>0.29845387989790795</v>
      </c>
      <c r="Z117">
        <v>0.27672205592987381</v>
      </c>
      <c r="AA117">
        <v>0.70124230831395185</v>
      </c>
      <c r="AB117">
        <v>3.368286129781664E-6</v>
      </c>
      <c r="AC117">
        <v>2.3495834885906848</v>
      </c>
    </row>
    <row r="118" spans="1:29" x14ac:dyDescent="0.3">
      <c r="A118">
        <v>524288</v>
      </c>
      <c r="B118">
        <v>7</v>
      </c>
      <c r="C118">
        <v>512</v>
      </c>
      <c r="D118">
        <v>0.5</v>
      </c>
      <c r="E118">
        <v>10</v>
      </c>
      <c r="F118">
        <v>2047</v>
      </c>
      <c r="G118">
        <v>34928</v>
      </c>
      <c r="H118">
        <v>256.12506106497312</v>
      </c>
      <c r="I118">
        <v>41468324675</v>
      </c>
      <c r="J118">
        <v>234449307225</v>
      </c>
      <c r="K118">
        <v>5.6536961418733753</v>
      </c>
      <c r="L118">
        <v>3.2527707534103563</v>
      </c>
      <c r="M118">
        <v>8.0840324986635839</v>
      </c>
      <c r="N118">
        <v>0.42929445711360359</v>
      </c>
      <c r="O118">
        <v>20.690383655368635</v>
      </c>
      <c r="P118">
        <v>11.49820369159027</v>
      </c>
      <c r="Q118">
        <v>1.9684723373744541E-4</v>
      </c>
      <c r="R118">
        <v>0.54813467455325882</v>
      </c>
      <c r="S118">
        <v>0.52163636991684181</v>
      </c>
      <c r="T118">
        <v>0.4515648473083631</v>
      </c>
      <c r="U118">
        <v>1.0363090464059119E-4</v>
      </c>
      <c r="V118">
        <f t="shared" si="2"/>
        <v>2.6498304636417003E-2</v>
      </c>
      <c r="W118">
        <f t="shared" si="3"/>
        <v>5.3478356892594114E-2</v>
      </c>
      <c r="X118">
        <v>7.2038621908962648E-4</v>
      </c>
      <c r="Y118">
        <v>0.35359415466492</v>
      </c>
      <c r="Z118">
        <v>0.30011579777232589</v>
      </c>
      <c r="AA118">
        <v>0.6456775902507681</v>
      </c>
      <c r="AB118">
        <v>7.8688652222354629E-6</v>
      </c>
      <c r="AC118">
        <v>1.826041470800438</v>
      </c>
    </row>
    <row r="119" spans="1:29" x14ac:dyDescent="0.3">
      <c r="A119">
        <v>524288</v>
      </c>
      <c r="B119">
        <v>7</v>
      </c>
      <c r="C119">
        <v>512</v>
      </c>
      <c r="D119">
        <v>0.65</v>
      </c>
      <c r="E119">
        <v>10</v>
      </c>
      <c r="F119">
        <v>2047</v>
      </c>
      <c r="G119">
        <v>12422.666666666666</v>
      </c>
      <c r="H119">
        <v>256.12506106497312</v>
      </c>
      <c r="I119">
        <v>22532638900</v>
      </c>
      <c r="J119">
        <v>100499107833.33333</v>
      </c>
      <c r="K119">
        <v>4.4601570317329022</v>
      </c>
      <c r="L119">
        <v>2.2786396314239941</v>
      </c>
      <c r="M119">
        <v>8.0713819383783356</v>
      </c>
      <c r="N119">
        <v>0.29376590991739832</v>
      </c>
      <c r="O119">
        <v>61.328319082735135</v>
      </c>
      <c r="P119">
        <v>8.5241762157669339</v>
      </c>
      <c r="Q119">
        <v>1.207640767426195E-4</v>
      </c>
      <c r="R119">
        <v>0.70301256636212284</v>
      </c>
      <c r="S119">
        <v>0.65447463560663255</v>
      </c>
      <c r="T119">
        <v>0.29658191226476066</v>
      </c>
      <c r="U119">
        <v>2.8475729637389847E-4</v>
      </c>
      <c r="V119">
        <f t="shared" si="2"/>
        <v>4.8537930755490288E-2</v>
      </c>
      <c r="W119">
        <f t="shared" si="3"/>
        <v>0.12724426192128369</v>
      </c>
      <c r="X119">
        <v>1.6605374607910907E-3</v>
      </c>
      <c r="Y119">
        <v>0.46160734193051634</v>
      </c>
      <c r="Z119">
        <v>0.33436308000923265</v>
      </c>
      <c r="AA119">
        <v>0.53671336521831514</v>
      </c>
      <c r="AB119">
        <v>1.8755390377453883E-5</v>
      </c>
      <c r="AC119">
        <v>1.1627054348262602</v>
      </c>
    </row>
    <row r="120" spans="1:29" x14ac:dyDescent="0.3">
      <c r="A120">
        <v>524288</v>
      </c>
      <c r="B120">
        <v>7</v>
      </c>
      <c r="C120">
        <v>512</v>
      </c>
      <c r="D120">
        <v>0.8</v>
      </c>
      <c r="E120">
        <v>10</v>
      </c>
      <c r="F120">
        <v>2047</v>
      </c>
      <c r="G120">
        <v>7576</v>
      </c>
      <c r="H120">
        <v>256.12506106497312</v>
      </c>
      <c r="I120">
        <v>17296369400</v>
      </c>
      <c r="J120">
        <v>65029808066.666664</v>
      </c>
      <c r="K120">
        <v>3.7597374664458001</v>
      </c>
      <c r="L120">
        <v>1.6152168715198301</v>
      </c>
      <c r="M120">
        <v>8.0112837314739433</v>
      </c>
      <c r="N120">
        <v>0.45167063015485442</v>
      </c>
      <c r="O120">
        <v>99.603125560627504</v>
      </c>
      <c r="P120">
        <v>9.8260353111393002</v>
      </c>
      <c r="Q120">
        <v>9.6681175954378798E-5</v>
      </c>
      <c r="R120">
        <v>0.76331114513160969</v>
      </c>
      <c r="S120">
        <v>0.70025696259701764</v>
      </c>
      <c r="T120">
        <v>0.23634986657951465</v>
      </c>
      <c r="U120">
        <v>2.4230711292124309E-4</v>
      </c>
      <c r="V120">
        <f t="shared" si="2"/>
        <v>6.3054182534592051E-2</v>
      </c>
      <c r="W120">
        <f t="shared" si="3"/>
        <v>0.19295644473997076</v>
      </c>
      <c r="X120">
        <v>2.5612818431805079E-3</v>
      </c>
      <c r="Y120">
        <v>0.49379310434194212</v>
      </c>
      <c r="Z120">
        <v>0.30083665960197137</v>
      </c>
      <c r="AA120">
        <v>0.50361650459984286</v>
      </c>
      <c r="AB120">
        <v>2.9109215034527743E-5</v>
      </c>
      <c r="AC120">
        <v>1.0198937574695215</v>
      </c>
    </row>
    <row r="121" spans="1:29" x14ac:dyDescent="0.3">
      <c r="A121">
        <v>524288</v>
      </c>
      <c r="B121">
        <v>7</v>
      </c>
      <c r="C121">
        <v>512</v>
      </c>
      <c r="D121">
        <v>0.95</v>
      </c>
      <c r="E121">
        <v>10</v>
      </c>
      <c r="F121">
        <v>2047</v>
      </c>
      <c r="G121">
        <v>2048</v>
      </c>
      <c r="H121">
        <v>256.12506106497312</v>
      </c>
      <c r="I121">
        <v>12916384800</v>
      </c>
      <c r="J121">
        <v>33596836800</v>
      </c>
      <c r="K121">
        <v>2.6011021907616132</v>
      </c>
      <c r="L121">
        <v>1.1112631039696095</v>
      </c>
      <c r="M121">
        <v>7.9507218406247953</v>
      </c>
      <c r="N121">
        <v>0.44787204560750626</v>
      </c>
      <c r="O121">
        <v>207.62006412419845</v>
      </c>
      <c r="P121">
        <v>11.469165103293603</v>
      </c>
      <c r="Q121">
        <v>6.1172947815346394E-5</v>
      </c>
      <c r="R121">
        <v>0.91305504204757559</v>
      </c>
      <c r="S121">
        <v>0.82854785858243141</v>
      </c>
      <c r="T121">
        <v>8.6557855311547138E-2</v>
      </c>
      <c r="U121">
        <v>3.2592969306189556E-4</v>
      </c>
      <c r="V121">
        <f t="shared" si="2"/>
        <v>8.4507183465144187E-2</v>
      </c>
      <c r="W121">
        <f t="shared" si="3"/>
        <v>0.37650323477278463</v>
      </c>
      <c r="X121">
        <v>4.8828267467529371E-3</v>
      </c>
      <c r="Y121">
        <v>0.73048189366049676</v>
      </c>
      <c r="Z121">
        <v>0.35397865888771213</v>
      </c>
      <c r="AA121">
        <v>0.26457915923005387</v>
      </c>
      <c r="AB121">
        <v>5.6120362696367499E-5</v>
      </c>
      <c r="AC121">
        <v>0.36219810720321743</v>
      </c>
    </row>
    <row r="122" spans="1:29" x14ac:dyDescent="0.3">
      <c r="A122">
        <v>1048576</v>
      </c>
      <c r="B122">
        <v>3</v>
      </c>
      <c r="C122">
        <v>64</v>
      </c>
      <c r="D122">
        <v>0.2</v>
      </c>
      <c r="E122">
        <v>14</v>
      </c>
      <c r="F122">
        <v>32767</v>
      </c>
      <c r="G122">
        <v>9805905.333333334</v>
      </c>
      <c r="H122">
        <v>32.000976592303232</v>
      </c>
      <c r="I122">
        <v>130396670333.33333</v>
      </c>
      <c r="J122">
        <v>817706240000</v>
      </c>
      <c r="K122">
        <v>6.2709134973285403</v>
      </c>
      <c r="L122">
        <v>5.0837754960025574</v>
      </c>
      <c r="M122">
        <v>7.047551191584712</v>
      </c>
      <c r="N122">
        <v>0.47916024479160246</v>
      </c>
      <c r="O122">
        <v>0.2226746484562919</v>
      </c>
      <c r="P122">
        <v>10.492263000768126</v>
      </c>
      <c r="Q122">
        <v>1.6483792322600999E-2</v>
      </c>
      <c r="R122">
        <v>0.34494182419192693</v>
      </c>
      <c r="S122">
        <v>0.3374798332976861</v>
      </c>
      <c r="T122">
        <v>0.63851218634516727</v>
      </c>
      <c r="U122">
        <v>6.2197140304791684E-5</v>
      </c>
      <c r="V122">
        <f t="shared" si="2"/>
        <v>7.461990894240822E-3</v>
      </c>
      <c r="W122">
        <f t="shared" si="3"/>
        <v>8.2275326650314562E-3</v>
      </c>
      <c r="X122">
        <v>5.8532503473782138E-4</v>
      </c>
      <c r="Y122">
        <v>0.28181952331275678</v>
      </c>
      <c r="Z122">
        <v>0.27359199064772532</v>
      </c>
      <c r="AA122">
        <v>0.71759039917154921</v>
      </c>
      <c r="AB122">
        <v>4.7524809561601652E-6</v>
      </c>
      <c r="AC122">
        <v>2.5462763925520662</v>
      </c>
    </row>
    <row r="123" spans="1:29" x14ac:dyDescent="0.3">
      <c r="A123">
        <v>1048576</v>
      </c>
      <c r="B123">
        <v>3</v>
      </c>
      <c r="C123">
        <v>64</v>
      </c>
      <c r="D123">
        <v>0.35</v>
      </c>
      <c r="E123">
        <v>14</v>
      </c>
      <c r="F123">
        <v>32767</v>
      </c>
      <c r="G123">
        <v>1926150.6666666667</v>
      </c>
      <c r="H123">
        <v>32.000976592303232</v>
      </c>
      <c r="I123">
        <v>29789413000</v>
      </c>
      <c r="J123">
        <v>181945153866.66666</v>
      </c>
      <c r="K123">
        <v>6.1077119534603339</v>
      </c>
      <c r="L123">
        <v>4.8602041924923611</v>
      </c>
      <c r="M123">
        <v>7.1806614167794161</v>
      </c>
      <c r="N123">
        <v>0.47684112157227598</v>
      </c>
      <c r="O123">
        <v>2.0733517814564051</v>
      </c>
      <c r="P123">
        <v>6.0313151617772434</v>
      </c>
      <c r="Q123">
        <v>1.3159648362322546E-2</v>
      </c>
      <c r="R123">
        <v>0.44620275890185102</v>
      </c>
      <c r="S123">
        <v>0.41340214167138284</v>
      </c>
      <c r="T123">
        <v>0.54036578588059681</v>
      </c>
      <c r="U123">
        <v>2.7180685522963031E-4</v>
      </c>
      <c r="V123">
        <f t="shared" si="2"/>
        <v>3.2800617230468176E-2</v>
      </c>
      <c r="W123">
        <f t="shared" si="3"/>
        <v>3.1254779874492489E-2</v>
      </c>
      <c r="X123">
        <v>4.4672343069327618E-3</v>
      </c>
      <c r="Y123">
        <v>0.36021902007548129</v>
      </c>
      <c r="Z123">
        <v>0.3289642402009888</v>
      </c>
      <c r="AA123">
        <v>0.63529252512017442</v>
      </c>
      <c r="AB123">
        <v>2.1220497411522521E-5</v>
      </c>
      <c r="AC123">
        <v>1.7636284863221645</v>
      </c>
    </row>
    <row r="124" spans="1:29" x14ac:dyDescent="0.3">
      <c r="A124">
        <v>1048576</v>
      </c>
      <c r="B124">
        <v>3</v>
      </c>
      <c r="C124">
        <v>64</v>
      </c>
      <c r="D124">
        <v>0.5</v>
      </c>
      <c r="E124">
        <v>14</v>
      </c>
      <c r="F124">
        <v>32767</v>
      </c>
      <c r="G124">
        <v>721276</v>
      </c>
      <c r="H124">
        <v>32.000976592303232</v>
      </c>
      <c r="I124">
        <v>12520729075</v>
      </c>
      <c r="J124">
        <v>72055594075</v>
      </c>
      <c r="K124">
        <v>5.754904019037725</v>
      </c>
      <c r="L124">
        <v>4.4878555894263101</v>
      </c>
      <c r="M124">
        <v>7.1416085103506957</v>
      </c>
      <c r="N124">
        <v>0.47212528751676547</v>
      </c>
      <c r="O124">
        <v>1.3583677197989485</v>
      </c>
      <c r="P124">
        <v>9.3950076652861529</v>
      </c>
      <c r="Q124">
        <v>3.4062557175808868E-2</v>
      </c>
      <c r="R124">
        <v>0.48131008297533984</v>
      </c>
      <c r="S124">
        <v>0.40246240213451789</v>
      </c>
      <c r="T124">
        <v>0.48396935902871935</v>
      </c>
      <c r="U124">
        <v>6.5800082013195383E-4</v>
      </c>
      <c r="V124">
        <f t="shared" si="2"/>
        <v>7.8847680840821943E-2</v>
      </c>
      <c r="W124">
        <f t="shared" si="3"/>
        <v>7.7466287269660539E-2</v>
      </c>
      <c r="X124">
        <v>8.0400086549421729E-3</v>
      </c>
      <c r="Y124">
        <v>0.39131915692279301</v>
      </c>
      <c r="Z124">
        <v>0.31385286965313247</v>
      </c>
      <c r="AA124">
        <v>0.60058685283971136</v>
      </c>
      <c r="AB124">
        <v>5.3981582553484764E-5</v>
      </c>
      <c r="AC124">
        <v>1.5347749840885165</v>
      </c>
    </row>
    <row r="125" spans="1:29" x14ac:dyDescent="0.3">
      <c r="A125">
        <v>1048576</v>
      </c>
      <c r="B125">
        <v>3</v>
      </c>
      <c r="C125">
        <v>64</v>
      </c>
      <c r="D125">
        <v>0.65</v>
      </c>
      <c r="E125">
        <v>14</v>
      </c>
      <c r="F125">
        <v>32767</v>
      </c>
      <c r="G125">
        <v>249761.33333333334</v>
      </c>
      <c r="H125">
        <v>32.000976592303232</v>
      </c>
      <c r="I125">
        <v>5764725633.333333</v>
      </c>
      <c r="J125">
        <v>29456054200</v>
      </c>
      <c r="K125">
        <v>5.1097061809284492</v>
      </c>
      <c r="L125">
        <v>3.1324701761783809</v>
      </c>
      <c r="M125">
        <v>7.1463131919219549</v>
      </c>
      <c r="N125">
        <v>0.45771844857759147</v>
      </c>
      <c r="O125">
        <v>10.040443877512592</v>
      </c>
      <c r="P125">
        <v>5.910939761718998</v>
      </c>
      <c r="Q125">
        <v>8.444998616846576E-3</v>
      </c>
      <c r="R125">
        <v>0.62333191468626648</v>
      </c>
      <c r="S125">
        <v>0.45652014233762117</v>
      </c>
      <c r="T125">
        <v>0.36680231945586261</v>
      </c>
      <c r="U125">
        <v>1.4207672410243473E-3</v>
      </c>
      <c r="V125">
        <f t="shared" si="2"/>
        <v>0.1668117723486453</v>
      </c>
      <c r="W125">
        <f t="shared" si="3"/>
        <v>0.19041101687453216</v>
      </c>
      <c r="X125">
        <v>1.6594209462492546E-2</v>
      </c>
      <c r="Y125">
        <v>0.47027754541090799</v>
      </c>
      <c r="Z125">
        <v>0.27986652853637584</v>
      </c>
      <c r="AA125">
        <v>0.51300097530827238</v>
      </c>
      <c r="AB125">
        <v>1.2726981832708153E-4</v>
      </c>
      <c r="AC125">
        <v>1.0908472673515264</v>
      </c>
    </row>
    <row r="126" spans="1:29" x14ac:dyDescent="0.3">
      <c r="A126">
        <v>1048576</v>
      </c>
      <c r="B126">
        <v>3</v>
      </c>
      <c r="C126">
        <v>64</v>
      </c>
      <c r="D126">
        <v>0.8</v>
      </c>
      <c r="E126">
        <v>14</v>
      </c>
      <c r="F126">
        <v>32767</v>
      </c>
      <c r="G126">
        <v>115966.66666666667</v>
      </c>
      <c r="H126">
        <v>32.000976592303232</v>
      </c>
      <c r="I126">
        <v>3960084933.3333335</v>
      </c>
      <c r="J126">
        <v>17969679566.666668</v>
      </c>
      <c r="K126">
        <v>4.5377005466246398</v>
      </c>
      <c r="L126">
        <v>2.386017386425439</v>
      </c>
      <c r="M126">
        <v>6.995456625167952</v>
      </c>
      <c r="N126">
        <v>0.47215340442986053</v>
      </c>
      <c r="O126">
        <v>14.707145060263832</v>
      </c>
      <c r="P126">
        <v>9.5020213993852831</v>
      </c>
      <c r="Q126">
        <v>9.933658998626865E-3</v>
      </c>
      <c r="R126">
        <v>0.7349260472090211</v>
      </c>
      <c r="S126">
        <v>0.48907031859283018</v>
      </c>
      <c r="T126">
        <v>0.25308814925417256</v>
      </c>
      <c r="U126">
        <v>2.0521445381794338E-3</v>
      </c>
      <c r="V126">
        <f t="shared" si="2"/>
        <v>0.24585572861619093</v>
      </c>
      <c r="W126">
        <f t="shared" si="3"/>
        <v>0.32025877137371406</v>
      </c>
      <c r="X126">
        <v>3.219599053989438E-2</v>
      </c>
      <c r="Y126">
        <v>0.57742212346294353</v>
      </c>
      <c r="Z126">
        <v>0.25716335208922947</v>
      </c>
      <c r="AA126">
        <v>0.39016835779711279</v>
      </c>
      <c r="AB126">
        <v>2.1352820004931752E-4</v>
      </c>
      <c r="AC126">
        <v>0.67570732388495347</v>
      </c>
    </row>
    <row r="127" spans="1:29" x14ac:dyDescent="0.3">
      <c r="A127">
        <v>1048576</v>
      </c>
      <c r="B127">
        <v>3</v>
      </c>
      <c r="C127">
        <v>64</v>
      </c>
      <c r="D127">
        <v>0.95</v>
      </c>
      <c r="E127">
        <v>14</v>
      </c>
      <c r="F127">
        <v>32767</v>
      </c>
      <c r="G127">
        <v>65536</v>
      </c>
      <c r="H127">
        <v>32.000976592303232</v>
      </c>
      <c r="I127">
        <v>2949633000</v>
      </c>
      <c r="J127">
        <v>12294701600</v>
      </c>
      <c r="K127">
        <v>4.168214011709253</v>
      </c>
      <c r="L127">
        <v>1.1602183172249443</v>
      </c>
      <c r="M127">
        <v>6.929270692367993</v>
      </c>
      <c r="N127">
        <v>0.48145777427640596</v>
      </c>
      <c r="O127">
        <v>74.838504834752484</v>
      </c>
      <c r="P127">
        <v>10.202786801031925</v>
      </c>
      <c r="Q127">
        <v>3.5236587060152908E-3</v>
      </c>
      <c r="R127">
        <v>0.79682741321829975</v>
      </c>
      <c r="S127">
        <v>0.46541297397563247</v>
      </c>
      <c r="T127">
        <v>0.19689475492939854</v>
      </c>
      <c r="U127">
        <v>2.7541731462863346E-3</v>
      </c>
      <c r="V127">
        <f t="shared" si="2"/>
        <v>0.33141443924266728</v>
      </c>
      <c r="W127">
        <f t="shared" si="3"/>
        <v>0.4795494968878844</v>
      </c>
      <c r="X127">
        <v>6.3265789224197191E-2</v>
      </c>
      <c r="Y127">
        <v>0.6090967456528863</v>
      </c>
      <c r="Z127">
        <v>0.1295472487650019</v>
      </c>
      <c r="AA127">
        <v>0.3273193389256393</v>
      </c>
      <c r="AB127">
        <v>3.1812619727726181E-4</v>
      </c>
      <c r="AC127">
        <v>0.53738480998578986</v>
      </c>
    </row>
    <row r="128" spans="1:29" x14ac:dyDescent="0.3">
      <c r="A128">
        <v>1048576</v>
      </c>
      <c r="B128">
        <v>4</v>
      </c>
      <c r="C128">
        <v>125</v>
      </c>
      <c r="D128">
        <v>0.2</v>
      </c>
      <c r="E128">
        <v>14</v>
      </c>
      <c r="F128">
        <v>32767</v>
      </c>
      <c r="G128">
        <v>9805498.666666666</v>
      </c>
      <c r="H128">
        <v>32.000976592303232</v>
      </c>
      <c r="I128">
        <v>234242152366.66666</v>
      </c>
      <c r="J128">
        <v>1427724628833.3333</v>
      </c>
      <c r="K128">
        <v>6.0950798752842346</v>
      </c>
      <c r="L128">
        <v>5.7009846579600527</v>
      </c>
      <c r="M128">
        <v>6.8510695368713836</v>
      </c>
      <c r="N128">
        <v>0.29506677694051336</v>
      </c>
      <c r="O128">
        <v>0.33964106630608215</v>
      </c>
      <c r="P128">
        <v>5.8325880490446691</v>
      </c>
      <c r="Q128">
        <v>8.949285509973438E-3</v>
      </c>
      <c r="R128">
        <v>0.62552043765935506</v>
      </c>
      <c r="S128">
        <v>0.61907775380384211</v>
      </c>
      <c r="T128">
        <v>0.36547452939209968</v>
      </c>
      <c r="U128">
        <v>5.5747438571855644E-5</v>
      </c>
      <c r="V128">
        <f t="shared" si="2"/>
        <v>6.4426838555129429E-3</v>
      </c>
      <c r="W128">
        <f t="shared" si="3"/>
        <v>9.6437931997556126E-3</v>
      </c>
      <c r="X128">
        <v>4.9868827570421364E-4</v>
      </c>
      <c r="Y128">
        <v>0.58869326404126598</v>
      </c>
      <c r="Z128">
        <v>0.57904947084151037</v>
      </c>
      <c r="AA128">
        <v>0.41080534891330756</v>
      </c>
      <c r="AB128">
        <v>2.6987697222457839E-6</v>
      </c>
      <c r="AC128">
        <v>0.69782580166317498</v>
      </c>
    </row>
    <row r="129" spans="1:29" x14ac:dyDescent="0.3">
      <c r="A129">
        <v>1048576</v>
      </c>
      <c r="B129">
        <v>4</v>
      </c>
      <c r="C129">
        <v>125</v>
      </c>
      <c r="D129">
        <v>0.35</v>
      </c>
      <c r="E129">
        <v>14</v>
      </c>
      <c r="F129">
        <v>32767</v>
      </c>
      <c r="G129">
        <v>1928665.3333333333</v>
      </c>
      <c r="H129">
        <v>32.000976592303232</v>
      </c>
      <c r="I129">
        <v>59459055100</v>
      </c>
      <c r="J129">
        <v>350954259200</v>
      </c>
      <c r="K129">
        <v>5.9024526812569542</v>
      </c>
      <c r="L129">
        <v>5.4075990134112821</v>
      </c>
      <c r="M129">
        <v>6.9175408105489966</v>
      </c>
      <c r="N129">
        <v>0.47067948600960618</v>
      </c>
      <c r="O129">
        <v>2.3072254352314268</v>
      </c>
      <c r="P129">
        <v>9.0565439726840165</v>
      </c>
      <c r="Q129">
        <v>6.4604592076674293E-3</v>
      </c>
      <c r="R129">
        <v>0.71267383460320066</v>
      </c>
      <c r="S129">
        <v>0.69009398424384538</v>
      </c>
      <c r="T129">
        <v>0.28073054651239043</v>
      </c>
      <c r="U129">
        <v>1.351596767414265E-4</v>
      </c>
      <c r="V129">
        <f t="shared" si="2"/>
        <v>2.257985035935528E-2</v>
      </c>
      <c r="W129">
        <f t="shared" si="3"/>
        <v>3.6216600027327184E-2</v>
      </c>
      <c r="X129">
        <v>2.5253460912169679E-3</v>
      </c>
      <c r="Y129">
        <v>0.66845403586618346</v>
      </c>
      <c r="Z129">
        <v>0.63223743583885628</v>
      </c>
      <c r="AA129">
        <v>0.32900983999987504</v>
      </c>
      <c r="AB129">
        <v>1.0778042724491887E-5</v>
      </c>
      <c r="AC129">
        <v>0.49219515830066574</v>
      </c>
    </row>
    <row r="130" spans="1:29" x14ac:dyDescent="0.3">
      <c r="A130">
        <v>1048576</v>
      </c>
      <c r="B130">
        <v>4</v>
      </c>
      <c r="C130">
        <v>125</v>
      </c>
      <c r="D130">
        <v>0.5</v>
      </c>
      <c r="E130">
        <v>14</v>
      </c>
      <c r="F130">
        <v>32767</v>
      </c>
      <c r="G130">
        <v>721759</v>
      </c>
      <c r="H130">
        <v>32.000976592303232</v>
      </c>
      <c r="I130">
        <v>25123108300</v>
      </c>
      <c r="J130">
        <v>140069335825</v>
      </c>
      <c r="K130">
        <v>5.5753187126530834</v>
      </c>
      <c r="L130">
        <v>4.8334828268161178</v>
      </c>
      <c r="M130">
        <v>6.9207461740329306</v>
      </c>
      <c r="N130">
        <v>0.45009779452350668</v>
      </c>
      <c r="O130">
        <v>4.1077423225965113</v>
      </c>
      <c r="P130">
        <v>10.633768842587013</v>
      </c>
      <c r="Q130">
        <v>5.6569104946301565E-3</v>
      </c>
      <c r="R130">
        <v>0.74514513397213678</v>
      </c>
      <c r="S130">
        <v>0.68938904347277763</v>
      </c>
      <c r="T130">
        <v>0.24886623702529675</v>
      </c>
      <c r="U130">
        <v>3.3171850793637666E-4</v>
      </c>
      <c r="V130">
        <f t="shared" si="2"/>
        <v>5.5756090499359146E-2</v>
      </c>
      <c r="W130">
        <f t="shared" si="3"/>
        <v>8.9222184687260064E-2</v>
      </c>
      <c r="X130">
        <v>4.1678569157304708E-3</v>
      </c>
      <c r="Y130">
        <v>0.68688310316688117</v>
      </c>
      <c r="Z130">
        <v>0.59766091847962111</v>
      </c>
      <c r="AA130">
        <v>0.3089222601445144</v>
      </c>
      <c r="AB130">
        <v>2.6779772873960508E-5</v>
      </c>
      <c r="AC130">
        <v>0.44974502753121359</v>
      </c>
    </row>
    <row r="131" spans="1:29" x14ac:dyDescent="0.3">
      <c r="A131">
        <v>1048576</v>
      </c>
      <c r="B131">
        <v>4</v>
      </c>
      <c r="C131">
        <v>125</v>
      </c>
      <c r="D131">
        <v>0.65</v>
      </c>
      <c r="E131">
        <v>14</v>
      </c>
      <c r="F131">
        <v>32767</v>
      </c>
      <c r="G131">
        <v>250256</v>
      </c>
      <c r="H131">
        <v>32.000976592303232</v>
      </c>
      <c r="I131">
        <v>11804671366.666666</v>
      </c>
      <c r="J131">
        <v>59211001966.666664</v>
      </c>
      <c r="K131">
        <v>5.0158958371228524</v>
      </c>
      <c r="L131">
        <v>3.7583108759834554</v>
      </c>
      <c r="M131">
        <v>6.9412555219690759</v>
      </c>
      <c r="N131">
        <v>0.48283224676667302</v>
      </c>
      <c r="O131">
        <v>17.418375665415773</v>
      </c>
      <c r="P131">
        <v>10.252595835846437</v>
      </c>
      <c r="Q131">
        <v>4.156580487722797E-3</v>
      </c>
      <c r="R131">
        <v>0.81039510288103711</v>
      </c>
      <c r="S131">
        <v>0.69434585784501623</v>
      </c>
      <c r="T131">
        <v>0.18477913239437041</v>
      </c>
      <c r="U131">
        <v>6.691842368696635E-4</v>
      </c>
      <c r="V131">
        <f t="shared" ref="V131:V151" si="4">R131-S131</f>
        <v>0.11604924503602088</v>
      </c>
      <c r="W131">
        <f t="shared" ref="W131:W151" si="5">Y131-Z131</f>
        <v>0.20953487169469776</v>
      </c>
      <c r="X131">
        <v>1.4434287068493503E-2</v>
      </c>
      <c r="Y131">
        <v>0.72979439740483498</v>
      </c>
      <c r="Z131">
        <v>0.52025952571013723</v>
      </c>
      <c r="AA131">
        <v>0.25570689957006465</v>
      </c>
      <c r="AB131">
        <v>6.4415956606857149E-5</v>
      </c>
      <c r="AC131">
        <v>0.3503821082751033</v>
      </c>
    </row>
    <row r="132" spans="1:29" x14ac:dyDescent="0.3">
      <c r="A132">
        <v>1048576</v>
      </c>
      <c r="B132">
        <v>4</v>
      </c>
      <c r="C132">
        <v>125</v>
      </c>
      <c r="D132">
        <v>0.8</v>
      </c>
      <c r="E132">
        <v>14</v>
      </c>
      <c r="F132">
        <v>32767</v>
      </c>
      <c r="G132">
        <v>115997.33333333333</v>
      </c>
      <c r="H132">
        <v>32.000976592303232</v>
      </c>
      <c r="I132">
        <v>8292799566.666667</v>
      </c>
      <c r="J132">
        <v>37694101366.666664</v>
      </c>
      <c r="K132">
        <v>4.5454012319530834</v>
      </c>
      <c r="L132">
        <v>2.8897326988053291</v>
      </c>
      <c r="M132">
        <v>6.808521625248046</v>
      </c>
      <c r="N132">
        <v>0.44391418494678075</v>
      </c>
      <c r="O132">
        <v>35.212383383653886</v>
      </c>
      <c r="P132">
        <v>12.576114297830898</v>
      </c>
      <c r="Q132">
        <v>2.9302247656317207E-3</v>
      </c>
      <c r="R132">
        <v>0.87082425043698641</v>
      </c>
      <c r="S132">
        <v>0.70859651027298631</v>
      </c>
      <c r="T132">
        <v>0.12522891595912883</v>
      </c>
      <c r="U132">
        <v>1.0166088382529219E-3</v>
      </c>
      <c r="V132">
        <f t="shared" si="4"/>
        <v>0.1622277401640001</v>
      </c>
      <c r="W132">
        <f t="shared" si="5"/>
        <v>0.33913209856501331</v>
      </c>
      <c r="X132">
        <v>2.2699909773062365E-2</v>
      </c>
      <c r="Y132">
        <v>0.78962137365929397</v>
      </c>
      <c r="Z132">
        <v>0.45048927509428066</v>
      </c>
      <c r="AA132">
        <v>0.18757943224469548</v>
      </c>
      <c r="AB132">
        <v>9.9284322948279942E-5</v>
      </c>
      <c r="AC132">
        <v>0.23755617375883278</v>
      </c>
    </row>
    <row r="133" spans="1:29" x14ac:dyDescent="0.3">
      <c r="A133">
        <v>1048576</v>
      </c>
      <c r="B133">
        <v>4</v>
      </c>
      <c r="C133">
        <v>125</v>
      </c>
      <c r="D133">
        <v>0.95</v>
      </c>
      <c r="E133">
        <v>14</v>
      </c>
      <c r="F133">
        <v>32767</v>
      </c>
      <c r="G133">
        <v>65536</v>
      </c>
      <c r="H133">
        <v>32.000976592303232</v>
      </c>
      <c r="I133">
        <v>5915642300</v>
      </c>
      <c r="J133">
        <v>23327100800</v>
      </c>
      <c r="K133">
        <v>3.9432912973794916</v>
      </c>
      <c r="L133">
        <v>1.4768297738052916</v>
      </c>
      <c r="M133">
        <v>6.8504183808630525</v>
      </c>
      <c r="N133">
        <v>0.47343848737818867</v>
      </c>
      <c r="O133">
        <v>84.740792775683815</v>
      </c>
      <c r="P133">
        <v>10.693830552215253</v>
      </c>
      <c r="Q133">
        <v>1.7446457166620775E-3</v>
      </c>
      <c r="R133">
        <v>0.8985259132385337</v>
      </c>
      <c r="S133">
        <v>0.67196702658419127</v>
      </c>
      <c r="T133">
        <v>9.8374073992495009E-2</v>
      </c>
      <c r="U133">
        <v>1.3553670523092085E-3</v>
      </c>
      <c r="V133">
        <f t="shared" si="4"/>
        <v>0.22655888665434243</v>
      </c>
      <c r="W133">
        <f t="shared" si="5"/>
        <v>0.53978322072496887</v>
      </c>
      <c r="X133">
        <v>3.7492198773368353E-2</v>
      </c>
      <c r="Y133">
        <v>0.79144632066750442</v>
      </c>
      <c r="Z133">
        <v>0.2516630999425355</v>
      </c>
      <c r="AA133">
        <v>0.17089875280743561</v>
      </c>
      <c r="AB133">
        <v>1.6272775169157182E-4</v>
      </c>
      <c r="AC133">
        <v>0.21593220960746889</v>
      </c>
    </row>
    <row r="134" spans="1:29" x14ac:dyDescent="0.3">
      <c r="A134">
        <v>1048576</v>
      </c>
      <c r="B134">
        <v>5</v>
      </c>
      <c r="C134">
        <v>216</v>
      </c>
      <c r="D134">
        <v>0.2</v>
      </c>
      <c r="E134">
        <v>13</v>
      </c>
      <c r="F134">
        <v>16383</v>
      </c>
      <c r="G134">
        <v>3776118.6666666665</v>
      </c>
      <c r="H134">
        <v>64.003906488433131</v>
      </c>
      <c r="I134">
        <v>431751896000</v>
      </c>
      <c r="J134">
        <v>2346588257700</v>
      </c>
      <c r="K134">
        <v>5.4350386864311533</v>
      </c>
      <c r="L134">
        <v>4.6162383556759741</v>
      </c>
      <c r="M134">
        <v>7.3363665315476849</v>
      </c>
      <c r="N134">
        <v>0.21040085628794725</v>
      </c>
      <c r="O134">
        <v>0.63128763160536971</v>
      </c>
      <c r="P134">
        <v>5.6540793995971255</v>
      </c>
      <c r="Q134">
        <v>1.9484772183451706E-3</v>
      </c>
      <c r="R134">
        <v>0.70242473368702174</v>
      </c>
      <c r="S134">
        <v>0.69857617934660632</v>
      </c>
      <c r="T134">
        <v>0.29558517020772196</v>
      </c>
      <c r="U134">
        <v>4.1618886911230452E-5</v>
      </c>
      <c r="V134">
        <f t="shared" si="4"/>
        <v>3.8485543404154221E-3</v>
      </c>
      <c r="W134">
        <f t="shared" si="5"/>
        <v>7.4488111591984874E-3</v>
      </c>
      <c r="X134">
        <v>2.2631845684503073E-4</v>
      </c>
      <c r="Y134">
        <v>0.60078297849681883</v>
      </c>
      <c r="Z134">
        <v>0.59333416733762034</v>
      </c>
      <c r="AA134">
        <v>0.39898909189875298</v>
      </c>
      <c r="AB134">
        <v>1.6111475831323043E-6</v>
      </c>
      <c r="AC134">
        <v>0.66411517333103942</v>
      </c>
    </row>
    <row r="135" spans="1:29" x14ac:dyDescent="0.3">
      <c r="A135">
        <v>1048576</v>
      </c>
      <c r="B135">
        <v>5</v>
      </c>
      <c r="C135">
        <v>216</v>
      </c>
      <c r="D135">
        <v>0.35</v>
      </c>
      <c r="E135">
        <v>13</v>
      </c>
      <c r="F135">
        <v>16383</v>
      </c>
      <c r="G135">
        <v>864037.33333333337</v>
      </c>
      <c r="H135">
        <v>64.003906488433131</v>
      </c>
      <c r="I135">
        <v>110172573266.66667</v>
      </c>
      <c r="J135">
        <v>580662635700</v>
      </c>
      <c r="K135">
        <v>5.2704826481136822</v>
      </c>
      <c r="L135">
        <v>4.406086976431749</v>
      </c>
      <c r="M135">
        <v>7.3614083567297239</v>
      </c>
      <c r="N135">
        <v>0.22401458302371999</v>
      </c>
      <c r="O135">
        <v>4.6290803579823043</v>
      </c>
      <c r="P135">
        <v>8.9217538642955638</v>
      </c>
      <c r="Q135">
        <v>1.6283369022564579E-3</v>
      </c>
      <c r="R135">
        <v>0.73521256484234043</v>
      </c>
      <c r="S135">
        <v>0.72033749429249205</v>
      </c>
      <c r="T135">
        <v>0.26299826663635356</v>
      </c>
      <c r="U135">
        <v>1.6083161904955145E-4</v>
      </c>
      <c r="V135">
        <f t="shared" si="4"/>
        <v>1.4875070549848379E-2</v>
      </c>
      <c r="W135">
        <f t="shared" si="5"/>
        <v>2.9029908126162907E-2</v>
      </c>
      <c r="X135">
        <v>1.4301730740183506E-3</v>
      </c>
      <c r="Y135">
        <v>0.63122706237987514</v>
      </c>
      <c r="Z135">
        <v>0.60219715425371223</v>
      </c>
      <c r="AA135">
        <v>0.36733592862035086</v>
      </c>
      <c r="AB135">
        <v>6.8359257555491209E-6</v>
      </c>
      <c r="AC135">
        <v>0.58193944859621138</v>
      </c>
    </row>
    <row r="136" spans="1:29" x14ac:dyDescent="0.3">
      <c r="A136">
        <v>1048576</v>
      </c>
      <c r="B136">
        <v>5</v>
      </c>
      <c r="C136">
        <v>216</v>
      </c>
      <c r="D136">
        <v>0.5</v>
      </c>
      <c r="E136">
        <v>13</v>
      </c>
      <c r="F136">
        <v>16383</v>
      </c>
      <c r="G136">
        <v>310499</v>
      </c>
      <c r="H136">
        <v>64.003906488433131</v>
      </c>
      <c r="I136">
        <v>45603542750</v>
      </c>
      <c r="J136">
        <v>225831018650</v>
      </c>
      <c r="K136">
        <v>4.9520498854225528</v>
      </c>
      <c r="L136">
        <v>3.9310719374042757</v>
      </c>
      <c r="M136">
        <v>7.3390022182812924</v>
      </c>
      <c r="N136">
        <v>0.46895626936406276</v>
      </c>
      <c r="O136">
        <v>12.849658787726959</v>
      </c>
      <c r="P136">
        <v>12.564829947495323</v>
      </c>
      <c r="Q136">
        <v>1.437695868486007E-3</v>
      </c>
      <c r="R136">
        <v>0.76942258669146935</v>
      </c>
      <c r="S136">
        <v>0.73336736870075736</v>
      </c>
      <c r="T136">
        <v>0.22896065459738871</v>
      </c>
      <c r="U136">
        <v>1.7906284265601272E-4</v>
      </c>
      <c r="V136">
        <f t="shared" si="4"/>
        <v>3.6055217990711985E-2</v>
      </c>
      <c r="W136">
        <f t="shared" si="5"/>
        <v>7.4762852777841893E-2</v>
      </c>
      <c r="X136">
        <v>3.7305563913949957E-3</v>
      </c>
      <c r="Y136">
        <v>0.65692982395357058</v>
      </c>
      <c r="Z136">
        <v>0.58216697117572869</v>
      </c>
      <c r="AA136">
        <v>0.33932266250706211</v>
      </c>
      <c r="AB136">
        <v>1.6957147972373989E-5</v>
      </c>
      <c r="AC136">
        <v>0.51652802192010727</v>
      </c>
    </row>
    <row r="137" spans="1:29" x14ac:dyDescent="0.3">
      <c r="A137">
        <v>1048576</v>
      </c>
      <c r="B137">
        <v>5</v>
      </c>
      <c r="C137">
        <v>216</v>
      </c>
      <c r="D137">
        <v>0.65</v>
      </c>
      <c r="E137">
        <v>13</v>
      </c>
      <c r="F137">
        <v>16383</v>
      </c>
      <c r="G137">
        <v>103234.66666666667</v>
      </c>
      <c r="H137">
        <v>64.003906488433131</v>
      </c>
      <c r="I137">
        <v>22132629100</v>
      </c>
      <c r="J137">
        <v>96430737266.666672</v>
      </c>
      <c r="K137">
        <v>4.3569490470821055</v>
      </c>
      <c r="L137">
        <v>3.1328539368350143</v>
      </c>
      <c r="M137">
        <v>7.2976827970756322</v>
      </c>
      <c r="N137">
        <v>0.47884213365702338</v>
      </c>
      <c r="O137">
        <v>35.446425626503803</v>
      </c>
      <c r="P137">
        <v>10.668344945338628</v>
      </c>
      <c r="Q137">
        <v>1.0684873101376524E-3</v>
      </c>
      <c r="R137">
        <v>0.84064310883578364</v>
      </c>
      <c r="S137">
        <v>0.76581441620658319</v>
      </c>
      <c r="T137">
        <v>0.15793106718321745</v>
      </c>
      <c r="U137">
        <v>3.5733667086121275E-4</v>
      </c>
      <c r="V137">
        <f t="shared" si="4"/>
        <v>7.4828692629200444E-2</v>
      </c>
      <c r="W137">
        <f t="shared" si="5"/>
        <v>0.17608384540686073</v>
      </c>
      <c r="X137">
        <v>8.6927929526791365E-3</v>
      </c>
      <c r="Y137">
        <v>0.72674089527632424</v>
      </c>
      <c r="Z137">
        <v>0.55065704986946351</v>
      </c>
      <c r="AA137">
        <v>0.26452703936912547</v>
      </c>
      <c r="AB137">
        <v>3.9272401871138099E-5</v>
      </c>
      <c r="AC137">
        <v>0.36399085435882339</v>
      </c>
    </row>
    <row r="138" spans="1:29" x14ac:dyDescent="0.3">
      <c r="A138">
        <v>1048576</v>
      </c>
      <c r="B138">
        <v>5</v>
      </c>
      <c r="C138">
        <v>216</v>
      </c>
      <c r="D138">
        <v>0.8</v>
      </c>
      <c r="E138">
        <v>13</v>
      </c>
      <c r="F138">
        <v>16383</v>
      </c>
      <c r="G138">
        <v>59337.333333333336</v>
      </c>
      <c r="H138">
        <v>64.003906488433131</v>
      </c>
      <c r="I138">
        <v>15283255166.666666</v>
      </c>
      <c r="J138">
        <v>60313237600</v>
      </c>
      <c r="K138">
        <v>3.9463607027608463</v>
      </c>
      <c r="L138">
        <v>2.4018421671465822</v>
      </c>
      <c r="M138">
        <v>7.2902441986525996</v>
      </c>
      <c r="N138">
        <v>0.46575943450379675</v>
      </c>
      <c r="O138">
        <v>68.570967575311897</v>
      </c>
      <c r="P138">
        <v>10.268399337586823</v>
      </c>
      <c r="Q138">
        <v>8.0226582620144486E-4</v>
      </c>
      <c r="R138">
        <v>0.86640022400986982</v>
      </c>
      <c r="S138">
        <v>0.75796516560155591</v>
      </c>
      <c r="T138">
        <v>0.13226557287408591</v>
      </c>
      <c r="U138">
        <v>5.3193728984284559E-4</v>
      </c>
      <c r="V138">
        <f t="shared" si="4"/>
        <v>0.10843505840831391</v>
      </c>
      <c r="W138">
        <f t="shared" si="5"/>
        <v>0.28034431366688883</v>
      </c>
      <c r="X138">
        <v>1.3939968517513862E-2</v>
      </c>
      <c r="Y138">
        <v>0.74165863161467327</v>
      </c>
      <c r="Z138">
        <v>0.46131431794778444</v>
      </c>
      <c r="AA138">
        <v>0.24433861928844622</v>
      </c>
      <c r="AB138">
        <v>6.278057936654357E-5</v>
      </c>
      <c r="AC138">
        <v>0.32944889855389925</v>
      </c>
    </row>
    <row r="139" spans="1:29" x14ac:dyDescent="0.3">
      <c r="A139">
        <v>1048576</v>
      </c>
      <c r="B139">
        <v>5</v>
      </c>
      <c r="C139">
        <v>216</v>
      </c>
      <c r="D139">
        <v>0.95</v>
      </c>
      <c r="E139">
        <v>13</v>
      </c>
      <c r="F139">
        <v>16383</v>
      </c>
      <c r="G139">
        <v>16384</v>
      </c>
      <c r="H139">
        <v>64.003906488433131</v>
      </c>
      <c r="I139">
        <v>11699558900</v>
      </c>
      <c r="J139">
        <v>39534741033.333336</v>
      </c>
      <c r="K139">
        <v>3.3791650925688606</v>
      </c>
      <c r="L139">
        <v>1.8269683748228818</v>
      </c>
      <c r="M139">
        <v>7.0827108080388586</v>
      </c>
      <c r="N139">
        <v>0.46019193356961363</v>
      </c>
      <c r="O139">
        <v>157.45589682823305</v>
      </c>
      <c r="P139">
        <v>5.8198658671852037</v>
      </c>
      <c r="Q139">
        <v>4.5443593604199901E-4</v>
      </c>
      <c r="R139">
        <v>0.94933589333867963</v>
      </c>
      <c r="S139">
        <v>0.80828927091715685</v>
      </c>
      <c r="T139">
        <v>4.9511100229029437E-2</v>
      </c>
      <c r="U139">
        <v>6.9857049624893694E-4</v>
      </c>
      <c r="V139">
        <f t="shared" si="4"/>
        <v>0.14104662242152277</v>
      </c>
      <c r="W139">
        <f t="shared" si="5"/>
        <v>0.43794790052463145</v>
      </c>
      <c r="X139">
        <v>2.1174939933483697E-2</v>
      </c>
      <c r="Y139">
        <v>0.8749549407908056</v>
      </c>
      <c r="Z139">
        <v>0.43700704026617415</v>
      </c>
      <c r="AA139">
        <v>0.10377498438333432</v>
      </c>
      <c r="AB139">
        <v>9.5134892376357543E-5</v>
      </c>
      <c r="AC139">
        <v>0.11860608991994487</v>
      </c>
    </row>
    <row r="140" spans="1:29" x14ac:dyDescent="0.3">
      <c r="A140">
        <v>1048576</v>
      </c>
      <c r="B140">
        <v>6</v>
      </c>
      <c r="C140">
        <v>343</v>
      </c>
      <c r="D140">
        <v>0.2</v>
      </c>
      <c r="E140">
        <v>12</v>
      </c>
      <c r="F140">
        <v>8191</v>
      </c>
      <c r="G140">
        <v>2280208</v>
      </c>
      <c r="H140">
        <v>128.01562690758149</v>
      </c>
      <c r="I140">
        <v>554426525833.33337</v>
      </c>
      <c r="J140">
        <v>3470995281000</v>
      </c>
      <c r="K140">
        <v>6.2605144582195171</v>
      </c>
      <c r="L140">
        <v>4.4314345170255693</v>
      </c>
      <c r="M140">
        <v>7.6917067189926369</v>
      </c>
      <c r="N140">
        <v>0.22161102550612516</v>
      </c>
      <c r="O140">
        <v>1.7575994686069825</v>
      </c>
      <c r="P140">
        <v>9.4671472368168068</v>
      </c>
      <c r="Q140">
        <v>6.9061089641137008E-4</v>
      </c>
      <c r="R140">
        <v>0.44469438974999981</v>
      </c>
      <c r="S140">
        <v>0.44109710858275714</v>
      </c>
      <c r="T140">
        <v>0.55458288767451658</v>
      </c>
      <c r="U140">
        <v>3.2111679072185322E-5</v>
      </c>
      <c r="V140">
        <f t="shared" si="4"/>
        <v>3.5972811672426719E-3</v>
      </c>
      <c r="W140">
        <f t="shared" si="5"/>
        <v>6.2154075570464706E-3</v>
      </c>
      <c r="X140">
        <v>1.938846004825016E-4</v>
      </c>
      <c r="Y140">
        <v>0.31844101862762902</v>
      </c>
      <c r="Z140">
        <v>0.31222561107058255</v>
      </c>
      <c r="AA140">
        <v>0.68136396007582656</v>
      </c>
      <c r="AB140">
        <v>1.1366960618655667E-6</v>
      </c>
      <c r="AC140">
        <v>2.1396865360256361</v>
      </c>
    </row>
    <row r="141" spans="1:29" x14ac:dyDescent="0.3">
      <c r="A141">
        <v>1048576</v>
      </c>
      <c r="B141">
        <v>6</v>
      </c>
      <c r="C141">
        <v>343</v>
      </c>
      <c r="D141">
        <v>0.35</v>
      </c>
      <c r="E141">
        <v>12</v>
      </c>
      <c r="F141">
        <v>8191</v>
      </c>
      <c r="G141">
        <v>510889.33333333331</v>
      </c>
      <c r="H141">
        <v>128.01562690758149</v>
      </c>
      <c r="I141">
        <v>151320240133.33334</v>
      </c>
      <c r="J141">
        <v>865684457666.66663</v>
      </c>
      <c r="K141">
        <v>5.7208768430705836</v>
      </c>
      <c r="L141">
        <v>3.9075250773460257</v>
      </c>
      <c r="M141">
        <v>7.7204673688923453</v>
      </c>
      <c r="N141">
        <v>0.44945059226932671</v>
      </c>
      <c r="O141">
        <v>5.1341166995959409</v>
      </c>
      <c r="P141">
        <v>12.556164828946452</v>
      </c>
      <c r="Q141">
        <v>6.0340110430400135E-4</v>
      </c>
      <c r="R141">
        <v>0.54501988405955493</v>
      </c>
      <c r="S141">
        <v>0.52954522780777569</v>
      </c>
      <c r="T141">
        <v>0.45432018131055896</v>
      </c>
      <c r="U141">
        <v>5.6533525582095704E-5</v>
      </c>
      <c r="V141">
        <f t="shared" si="4"/>
        <v>1.547465625177924E-2</v>
      </c>
      <c r="W141">
        <f t="shared" si="5"/>
        <v>2.464274518396653E-2</v>
      </c>
      <c r="X141">
        <v>5.4151343773711509E-4</v>
      </c>
      <c r="Y141">
        <v>0.3863375192559047</v>
      </c>
      <c r="Z141">
        <v>0.36169477407193817</v>
      </c>
      <c r="AA141">
        <v>0.61311652584969811</v>
      </c>
      <c r="AB141">
        <v>4.4414566600437752E-6</v>
      </c>
      <c r="AC141">
        <v>1.586997108203664</v>
      </c>
    </row>
    <row r="142" spans="1:29" x14ac:dyDescent="0.3">
      <c r="A142">
        <v>1048576</v>
      </c>
      <c r="B142">
        <v>6</v>
      </c>
      <c r="C142">
        <v>343</v>
      </c>
      <c r="D142">
        <v>0.5</v>
      </c>
      <c r="E142">
        <v>12</v>
      </c>
      <c r="F142">
        <v>8191</v>
      </c>
      <c r="G142">
        <v>181263</v>
      </c>
      <c r="H142">
        <v>128.01562690758149</v>
      </c>
      <c r="I142">
        <v>70726606325</v>
      </c>
      <c r="J142">
        <v>354820503500</v>
      </c>
      <c r="K142">
        <v>5.0167896062981363</v>
      </c>
      <c r="L142">
        <v>3.2462059922761033</v>
      </c>
      <c r="M142">
        <v>7.7793202782585533</v>
      </c>
      <c r="N142">
        <v>0.32219252738039095</v>
      </c>
      <c r="O142">
        <v>16.264973869388324</v>
      </c>
      <c r="P142">
        <v>10.548245584999867</v>
      </c>
      <c r="Q142">
        <v>6.2353585576198649E-4</v>
      </c>
      <c r="R142">
        <v>0.65579986563847048</v>
      </c>
      <c r="S142">
        <v>0.6275541299980506</v>
      </c>
      <c r="T142">
        <v>0.34340796500813869</v>
      </c>
      <c r="U142">
        <v>1.6863349762880059E-4</v>
      </c>
      <c r="V142">
        <f t="shared" si="4"/>
        <v>2.8245735640419878E-2</v>
      </c>
      <c r="W142">
        <f t="shared" si="5"/>
        <v>5.9389167106009666E-2</v>
      </c>
      <c r="X142">
        <v>2.0215706052060206E-3</v>
      </c>
      <c r="Y142">
        <v>0.46545960998840641</v>
      </c>
      <c r="Z142">
        <v>0.40607044288239674</v>
      </c>
      <c r="AA142">
        <v>0.53250798928253029</v>
      </c>
      <c r="AB142">
        <v>1.0830123857258999E-5</v>
      </c>
      <c r="AC142">
        <v>1.1440476850307031</v>
      </c>
    </row>
    <row r="143" spans="1:29" x14ac:dyDescent="0.3">
      <c r="A143">
        <v>1048576</v>
      </c>
      <c r="B143">
        <v>6</v>
      </c>
      <c r="C143">
        <v>343</v>
      </c>
      <c r="D143">
        <v>0.65</v>
      </c>
      <c r="E143">
        <v>12</v>
      </c>
      <c r="F143">
        <v>8191</v>
      </c>
      <c r="G143">
        <v>73064</v>
      </c>
      <c r="H143">
        <v>128.01562690758149</v>
      </c>
      <c r="I143">
        <v>36692421533.333336</v>
      </c>
      <c r="J143">
        <v>149930824633.33334</v>
      </c>
      <c r="K143">
        <v>4.0861523542982372</v>
      </c>
      <c r="L143">
        <v>2.0895796883966447</v>
      </c>
      <c r="M143">
        <v>7.7769753796907501</v>
      </c>
      <c r="N143">
        <v>0.46581025023417638</v>
      </c>
      <c r="O143">
        <v>57.75808367211539</v>
      </c>
      <c r="P143">
        <v>10.285774883725679</v>
      </c>
      <c r="Q143">
        <v>3.3273265040781178E-4</v>
      </c>
      <c r="R143">
        <v>0.73322640232104752</v>
      </c>
      <c r="S143">
        <v>0.67910051881866984</v>
      </c>
      <c r="T143">
        <v>0.26621683239029181</v>
      </c>
      <c r="U143">
        <v>2.2403263825289494E-4</v>
      </c>
      <c r="V143">
        <f t="shared" si="4"/>
        <v>5.4125883502377681E-2</v>
      </c>
      <c r="W143">
        <f t="shared" si="5"/>
        <v>0.14131474933066912</v>
      </c>
      <c r="X143">
        <v>4.7032020826349354E-3</v>
      </c>
      <c r="Y143">
        <v>0.48859368742763665</v>
      </c>
      <c r="Z143">
        <v>0.34727893809696753</v>
      </c>
      <c r="AA143">
        <v>0.50667757137854585</v>
      </c>
      <c r="AB143">
        <v>2.553911118253595E-5</v>
      </c>
      <c r="AC143">
        <v>1.0370121113232507</v>
      </c>
    </row>
    <row r="144" spans="1:29" x14ac:dyDescent="0.3">
      <c r="A144">
        <v>1048576</v>
      </c>
      <c r="B144">
        <v>6</v>
      </c>
      <c r="C144">
        <v>343</v>
      </c>
      <c r="D144">
        <v>0.8</v>
      </c>
      <c r="E144">
        <v>12</v>
      </c>
      <c r="F144">
        <v>8191</v>
      </c>
      <c r="G144">
        <v>36064</v>
      </c>
      <c r="H144">
        <v>128.01562690758149</v>
      </c>
      <c r="I144">
        <v>26813561366.666668</v>
      </c>
      <c r="J144">
        <v>87696722666.666672</v>
      </c>
      <c r="K144">
        <v>3.2706107729384666</v>
      </c>
      <c r="L144">
        <v>1.4306135042938639</v>
      </c>
      <c r="M144">
        <v>7.6610092679347224</v>
      </c>
      <c r="N144">
        <v>0.29614968663270225</v>
      </c>
      <c r="O144">
        <v>108.36885887246221</v>
      </c>
      <c r="P144">
        <v>12.563201098049451</v>
      </c>
      <c r="Q144">
        <v>2.4149968659950766E-4</v>
      </c>
      <c r="R144">
        <v>0.81784986833546836</v>
      </c>
      <c r="S144">
        <v>0.74397463882334125</v>
      </c>
      <c r="T144">
        <v>0.18143159103242881</v>
      </c>
      <c r="U144">
        <v>4.7704094550334633E-4</v>
      </c>
      <c r="V144">
        <f t="shared" si="4"/>
        <v>7.3875229512127105E-2</v>
      </c>
      <c r="W144">
        <f t="shared" si="5"/>
        <v>0.2415479068757902</v>
      </c>
      <c r="X144">
        <v>8.001883217467861E-3</v>
      </c>
      <c r="Y144">
        <v>0.56697341270465107</v>
      </c>
      <c r="Z144">
        <v>0.32542550582886087</v>
      </c>
      <c r="AA144">
        <v>0.42498150862102912</v>
      </c>
      <c r="AB144">
        <v>4.319545685188813E-5</v>
      </c>
      <c r="AC144">
        <v>0.74956161805493926</v>
      </c>
    </row>
    <row r="145" spans="1:29" x14ac:dyDescent="0.3">
      <c r="A145">
        <v>1048576</v>
      </c>
      <c r="B145">
        <v>6</v>
      </c>
      <c r="C145">
        <v>343</v>
      </c>
      <c r="D145">
        <v>0.95</v>
      </c>
      <c r="E145">
        <v>12</v>
      </c>
      <c r="F145">
        <v>8191</v>
      </c>
      <c r="G145">
        <v>24576</v>
      </c>
      <c r="H145">
        <v>128.01562690758149</v>
      </c>
      <c r="I145">
        <v>21189433733.333332</v>
      </c>
      <c r="J145">
        <v>56461494333.333336</v>
      </c>
      <c r="K145">
        <v>2.6646060977322454</v>
      </c>
      <c r="L145">
        <v>0.56842453738613652</v>
      </c>
      <c r="M145">
        <v>7.6567080748960743</v>
      </c>
      <c r="N145">
        <v>0.50126090684420233</v>
      </c>
      <c r="O145">
        <v>243.16926631421771</v>
      </c>
      <c r="P145">
        <v>9.1102579584884129</v>
      </c>
      <c r="Q145">
        <v>1.5592047943543283E-4</v>
      </c>
      <c r="R145">
        <v>0.84234216723098454</v>
      </c>
      <c r="S145">
        <v>0.74849390658248394</v>
      </c>
      <c r="T145">
        <v>0.15712763140506894</v>
      </c>
      <c r="U145">
        <v>3.7428088451103679E-4</v>
      </c>
      <c r="V145">
        <f t="shared" si="4"/>
        <v>9.3848260648500603E-2</v>
      </c>
      <c r="W145">
        <f t="shared" si="5"/>
        <v>0.37452466646546367</v>
      </c>
      <c r="X145">
        <v>1.4229145771280595E-2</v>
      </c>
      <c r="Y145">
        <v>0.53419641042326171</v>
      </c>
      <c r="Z145">
        <v>0.15967174395779804</v>
      </c>
      <c r="AA145">
        <v>0.45150403475860301</v>
      </c>
      <c r="AB145">
        <v>7.0409046854663768E-5</v>
      </c>
      <c r="AC145">
        <v>0.84520230003204488</v>
      </c>
    </row>
    <row r="146" spans="1:29" x14ac:dyDescent="0.3">
      <c r="A146">
        <v>1048576</v>
      </c>
      <c r="B146">
        <v>7</v>
      </c>
      <c r="C146">
        <v>512</v>
      </c>
      <c r="D146">
        <v>0.2</v>
      </c>
      <c r="E146">
        <v>11</v>
      </c>
      <c r="F146">
        <v>4095</v>
      </c>
      <c r="G146">
        <v>958536</v>
      </c>
      <c r="H146">
        <v>256.06251526251526</v>
      </c>
      <c r="I146">
        <v>689438423400</v>
      </c>
      <c r="J146">
        <v>5046620688500</v>
      </c>
      <c r="K146">
        <v>7.3199005410988525</v>
      </c>
      <c r="L146">
        <v>4.7840669776167566</v>
      </c>
      <c r="M146">
        <v>8.1215957936815961</v>
      </c>
      <c r="N146">
        <v>0.21269603246682667</v>
      </c>
      <c r="O146">
        <v>5.4158007874441552</v>
      </c>
      <c r="P146">
        <v>6.9142600641173031</v>
      </c>
      <c r="Q146">
        <v>2.047421426033622E-4</v>
      </c>
      <c r="R146">
        <v>0.24682067456313658</v>
      </c>
      <c r="S146">
        <v>0.24394125560520169</v>
      </c>
      <c r="T146">
        <v>0.75294833821413032</v>
      </c>
      <c r="U146">
        <v>2.6245080129757485E-5</v>
      </c>
      <c r="V146">
        <f t="shared" si="4"/>
        <v>2.8794189579348928E-3</v>
      </c>
      <c r="W146">
        <f t="shared" si="5"/>
        <v>5.0018103515330758E-3</v>
      </c>
      <c r="X146">
        <v>1.5148329555961899E-4</v>
      </c>
      <c r="Y146">
        <v>0.16443448281295708</v>
      </c>
      <c r="Z146">
        <v>0.15943267246142401</v>
      </c>
      <c r="AA146">
        <v>0.8354132712821577</v>
      </c>
      <c r="AB146">
        <v>7.6260932563646147E-7</v>
      </c>
      <c r="AC146">
        <v>5.0805236042395903</v>
      </c>
    </row>
    <row r="147" spans="1:29" x14ac:dyDescent="0.3">
      <c r="A147">
        <v>1048576</v>
      </c>
      <c r="B147">
        <v>7</v>
      </c>
      <c r="C147">
        <v>512</v>
      </c>
      <c r="D147">
        <v>0.35</v>
      </c>
      <c r="E147">
        <v>11</v>
      </c>
      <c r="F147">
        <v>4095</v>
      </c>
      <c r="G147">
        <v>216682.66666666666</v>
      </c>
      <c r="H147">
        <v>256.06251526251526</v>
      </c>
      <c r="I147">
        <v>197196257300</v>
      </c>
      <c r="J147">
        <v>1315303362833.3333</v>
      </c>
      <c r="K147">
        <v>6.6700219407933625</v>
      </c>
      <c r="L147">
        <v>4.3017926366530181</v>
      </c>
      <c r="M147">
        <v>8.1632613327592853</v>
      </c>
      <c r="N147">
        <v>0.28227550838757193</v>
      </c>
      <c r="O147">
        <v>19.587859575521172</v>
      </c>
      <c r="P147">
        <v>9.1234788438264278</v>
      </c>
      <c r="Q147">
        <v>1.8647091567628178E-4</v>
      </c>
      <c r="R147">
        <v>0.40864384278893051</v>
      </c>
      <c r="S147">
        <v>0.39850415761415164</v>
      </c>
      <c r="T147">
        <v>0.59110036939495869</v>
      </c>
      <c r="U147">
        <v>6.9316900434566886E-5</v>
      </c>
      <c r="V147">
        <f t="shared" si="4"/>
        <v>1.0139685174778867E-2</v>
      </c>
      <c r="W147">
        <f t="shared" si="5"/>
        <v>1.9004550387134278E-2</v>
      </c>
      <c r="X147">
        <v>5.4760930977558432E-4</v>
      </c>
      <c r="Y147">
        <v>0.27601753566919868</v>
      </c>
      <c r="Z147">
        <v>0.2570129852820644</v>
      </c>
      <c r="AA147">
        <v>0.72343192152793023</v>
      </c>
      <c r="AB147">
        <v>2.9334930954800953E-6</v>
      </c>
      <c r="AC147">
        <v>2.6209636274520922</v>
      </c>
    </row>
    <row r="148" spans="1:29" x14ac:dyDescent="0.3">
      <c r="A148">
        <v>1048576</v>
      </c>
      <c r="B148">
        <v>7</v>
      </c>
      <c r="C148">
        <v>512</v>
      </c>
      <c r="D148">
        <v>0.5</v>
      </c>
      <c r="E148">
        <v>11</v>
      </c>
      <c r="F148">
        <v>4095</v>
      </c>
      <c r="G148">
        <v>90534</v>
      </c>
      <c r="H148">
        <v>256.06251526251526</v>
      </c>
      <c r="I148">
        <v>91655885850</v>
      </c>
      <c r="J148">
        <v>553163380550</v>
      </c>
      <c r="K148">
        <v>6.0352194015699432</v>
      </c>
      <c r="L148">
        <v>3.1804974358330229</v>
      </c>
      <c r="M148">
        <v>8.1620074191791439</v>
      </c>
      <c r="N148">
        <v>0.45862833884207199</v>
      </c>
      <c r="O148">
        <v>48.26797370799548</v>
      </c>
      <c r="P148">
        <v>12.501450081744162</v>
      </c>
      <c r="Q148">
        <v>1.6839453196992914E-4</v>
      </c>
      <c r="R148">
        <v>0.46897377703976439</v>
      </c>
      <c r="S148">
        <v>0.44729907926584073</v>
      </c>
      <c r="T148">
        <v>0.53076548493148412</v>
      </c>
      <c r="U148">
        <v>9.2343496781554485E-5</v>
      </c>
      <c r="V148">
        <f t="shared" si="4"/>
        <v>2.1674697773923668E-2</v>
      </c>
      <c r="W148">
        <f t="shared" si="5"/>
        <v>4.511908660725969E-2</v>
      </c>
      <c r="X148">
        <v>1.3467717245839296E-3</v>
      </c>
      <c r="Y148">
        <v>0.28084101815549944</v>
      </c>
      <c r="Z148">
        <v>0.23572193154823975</v>
      </c>
      <c r="AA148">
        <v>0.71780519275373422</v>
      </c>
      <c r="AB148">
        <v>7.0173661823753562E-6</v>
      </c>
      <c r="AC148">
        <v>2.5559129413079225</v>
      </c>
    </row>
    <row r="149" spans="1:29" x14ac:dyDescent="0.3">
      <c r="A149">
        <v>1048576</v>
      </c>
      <c r="B149">
        <v>7</v>
      </c>
      <c r="C149">
        <v>512</v>
      </c>
      <c r="D149">
        <v>0.65</v>
      </c>
      <c r="E149">
        <v>11</v>
      </c>
      <c r="F149">
        <v>4095</v>
      </c>
      <c r="G149">
        <v>31465.333333333332</v>
      </c>
      <c r="H149">
        <v>256.06251526251526</v>
      </c>
      <c r="I149">
        <v>45931624933.333336</v>
      </c>
      <c r="J149">
        <v>220006440266.66666</v>
      </c>
      <c r="K149">
        <v>4.7898684313039483</v>
      </c>
      <c r="L149">
        <v>2.0754213130129306</v>
      </c>
      <c r="M149">
        <v>8.1796357891523996</v>
      </c>
      <c r="N149">
        <v>0.51525352079598563</v>
      </c>
      <c r="O149">
        <v>134.10632972433035</v>
      </c>
      <c r="P149">
        <v>10.519424500004332</v>
      </c>
      <c r="Q149">
        <v>1.2641544197694644E-4</v>
      </c>
      <c r="R149">
        <v>0.63197058110030668</v>
      </c>
      <c r="S149">
        <v>0.58870851994852269</v>
      </c>
      <c r="T149">
        <v>0.36771759598129838</v>
      </c>
      <c r="U149">
        <v>1.8540747641798355E-4</v>
      </c>
      <c r="V149">
        <f t="shared" si="4"/>
        <v>4.3262061151783993E-2</v>
      </c>
      <c r="W149">
        <f t="shared" si="5"/>
        <v>0.11340720073053945</v>
      </c>
      <c r="X149">
        <v>3.5393688129743009E-3</v>
      </c>
      <c r="Y149">
        <v>0.36849107766301004</v>
      </c>
      <c r="Z149">
        <v>0.25508387693247059</v>
      </c>
      <c r="AA149">
        <v>0.62794960895635654</v>
      </c>
      <c r="AB149">
        <v>1.9944567659086624E-5</v>
      </c>
      <c r="AC149">
        <v>1.7041107560564188</v>
      </c>
    </row>
    <row r="150" spans="1:29" x14ac:dyDescent="0.3">
      <c r="A150">
        <v>1048576</v>
      </c>
      <c r="B150">
        <v>7</v>
      </c>
      <c r="C150">
        <v>512</v>
      </c>
      <c r="D150">
        <v>0.8</v>
      </c>
      <c r="E150">
        <v>11</v>
      </c>
      <c r="F150">
        <v>4095</v>
      </c>
      <c r="G150">
        <v>15497.333333333334</v>
      </c>
      <c r="H150">
        <v>256.06251526251526</v>
      </c>
      <c r="I150">
        <v>33414567933.333332</v>
      </c>
      <c r="J150">
        <v>127967169466.66667</v>
      </c>
      <c r="K150">
        <v>3.8296820034297259</v>
      </c>
      <c r="L150">
        <v>1.4895417953405949</v>
      </c>
      <c r="M150">
        <v>8.1536440553817311</v>
      </c>
      <c r="N150">
        <v>0.44972965735595838</v>
      </c>
      <c r="O150">
        <v>234.00402241800057</v>
      </c>
      <c r="P150">
        <v>10.816960661554536</v>
      </c>
      <c r="Q150">
        <v>9.6472891896478392E-5</v>
      </c>
      <c r="R150">
        <v>0.75005978779487192</v>
      </c>
      <c r="S150">
        <v>0.69094835161108636</v>
      </c>
      <c r="T150">
        <v>0.2495904196628457</v>
      </c>
      <c r="U150">
        <v>2.5331965038586296E-4</v>
      </c>
      <c r="V150">
        <f t="shared" si="4"/>
        <v>5.911143618378556E-2</v>
      </c>
      <c r="W150">
        <f t="shared" si="5"/>
        <v>0.19393911633820504</v>
      </c>
      <c r="X150">
        <v>5.894756989707102E-3</v>
      </c>
      <c r="Y150">
        <v>0.46268112865794619</v>
      </c>
      <c r="Z150">
        <v>0.26874201231974115</v>
      </c>
      <c r="AA150">
        <v>0.53139436635774362</v>
      </c>
      <c r="AB150">
        <v>2.9747994603086585E-5</v>
      </c>
      <c r="AC150">
        <v>1.1485110013004143</v>
      </c>
    </row>
    <row r="151" spans="1:29" x14ac:dyDescent="0.3">
      <c r="A151">
        <v>1048576</v>
      </c>
      <c r="B151">
        <v>7</v>
      </c>
      <c r="C151">
        <v>512</v>
      </c>
      <c r="D151">
        <v>0.95</v>
      </c>
      <c r="E151">
        <v>11</v>
      </c>
      <c r="F151">
        <v>4095</v>
      </c>
      <c r="G151">
        <v>8192</v>
      </c>
      <c r="H151">
        <v>256.06251526251526</v>
      </c>
      <c r="I151">
        <v>25370596433.333332</v>
      </c>
      <c r="J151">
        <v>73426870333.333328</v>
      </c>
      <c r="K151">
        <v>2.89417202020765</v>
      </c>
      <c r="L151">
        <v>0.63208185180949261</v>
      </c>
      <c r="M151">
        <v>8.0911394184830421</v>
      </c>
      <c r="N151">
        <v>0.46325288596883607</v>
      </c>
      <c r="O151">
        <v>502.89796200983221</v>
      </c>
      <c r="P151">
        <v>12.715327235644637</v>
      </c>
      <c r="Q151">
        <v>5.6925478166363378E-5</v>
      </c>
      <c r="R151">
        <v>0.82488007150293075</v>
      </c>
      <c r="S151">
        <v>0.74700557065999773</v>
      </c>
      <c r="T151">
        <v>0.17474284368190515</v>
      </c>
      <c r="U151">
        <v>3.201593369977442E-4</v>
      </c>
      <c r="V151">
        <f t="shared" si="4"/>
        <v>7.7874500842933014E-2</v>
      </c>
      <c r="W151">
        <f t="shared" si="5"/>
        <v>0.33838991485274211</v>
      </c>
      <c r="X151">
        <v>9.8915015266595584E-3</v>
      </c>
      <c r="Y151">
        <v>0.50153455902662269</v>
      </c>
      <c r="Z151">
        <v>0.16314464417388058</v>
      </c>
      <c r="AA151">
        <v>0.48852269344758625</v>
      </c>
      <c r="AB151">
        <v>5.1245999131535009E-5</v>
      </c>
      <c r="AC151">
        <v>0.97405589436490714</v>
      </c>
    </row>
  </sheetData>
  <autoFilter ref="A1:Y151" xr:uid="{06AB63C5-00B6-403E-A893-6DF3323C1FFD}">
    <sortState xmlns:xlrd2="http://schemas.microsoft.com/office/spreadsheetml/2017/richdata2" ref="A2:Y151">
      <sortCondition ref="A2:A151"/>
      <sortCondition ref="B2:B151"/>
      <sortCondition ref="D2:D151"/>
    </sortState>
  </autoFilter>
  <sortState xmlns:xlrd2="http://schemas.microsoft.com/office/spreadsheetml/2017/richdata2" ref="A2:AC151">
    <sortCondition ref="A2:A151"/>
    <sortCondition ref="B2:B151"/>
    <sortCondition ref="D2:D151"/>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BC2F3-D92A-4761-933F-9BD0EFDF0F68}">
  <dimension ref="A1:Y44"/>
  <sheetViews>
    <sheetView topLeftCell="A22" workbookViewId="0">
      <selection activeCell="H33" sqref="H33"/>
    </sheetView>
  </sheetViews>
  <sheetFormatPr defaultRowHeight="14.4" x14ac:dyDescent="0.3"/>
  <cols>
    <col min="25" max="25" width="12" bestFit="1" customWidth="1"/>
  </cols>
  <sheetData>
    <row r="1" spans="1:25" ht="43.2" x14ac:dyDescent="0.3">
      <c r="A1" s="3" t="s">
        <v>2</v>
      </c>
      <c r="B1" s="3" t="s">
        <v>4</v>
      </c>
      <c r="C1" s="3" t="s">
        <v>20</v>
      </c>
      <c r="D1" s="3" t="s">
        <v>21</v>
      </c>
      <c r="E1" s="3" t="s">
        <v>22</v>
      </c>
      <c r="F1" s="3" t="s">
        <v>50</v>
      </c>
      <c r="G1" s="3" t="s">
        <v>8</v>
      </c>
      <c r="H1" s="3" t="s">
        <v>9</v>
      </c>
      <c r="I1" s="6" t="s">
        <v>34</v>
      </c>
      <c r="J1" s="6" t="s">
        <v>35</v>
      </c>
      <c r="K1" s="6" t="s">
        <v>36</v>
      </c>
      <c r="L1" s="6" t="s">
        <v>37</v>
      </c>
      <c r="M1" s="6" t="s">
        <v>38</v>
      </c>
      <c r="N1" s="4" t="s">
        <v>39</v>
      </c>
      <c r="O1" s="4" t="s">
        <v>40</v>
      </c>
      <c r="P1" s="4" t="s">
        <v>47</v>
      </c>
      <c r="Q1" s="4" t="s">
        <v>41</v>
      </c>
      <c r="R1" s="4" t="s">
        <v>42</v>
      </c>
      <c r="S1" s="5" t="s">
        <v>43</v>
      </c>
      <c r="T1" s="5" t="s">
        <v>44</v>
      </c>
      <c r="U1" s="5" t="s">
        <v>48</v>
      </c>
      <c r="V1" s="5" t="s">
        <v>45</v>
      </c>
      <c r="W1" s="5" t="s">
        <v>46</v>
      </c>
      <c r="X1" s="3" t="s">
        <v>49</v>
      </c>
      <c r="Y1" s="5" t="s">
        <v>69</v>
      </c>
    </row>
    <row r="2" spans="1:25" x14ac:dyDescent="0.3">
      <c r="A2">
        <v>3</v>
      </c>
      <c r="B2">
        <v>0.2</v>
      </c>
      <c r="C2">
        <f>AVERAGEIFS('X numbers only'!E$2:E$151,'X numbers only'!$B$2:$B$151,'n,eta,X'!$A2,'X numbers only'!$D$2:$D$151,'n,eta,X'!$B2)</f>
        <v>12</v>
      </c>
      <c r="D2">
        <f>AVERAGEIFS('X numbers only'!F$2:F$151,'X numbers only'!$B$2:$B$151,'n,eta,X'!$A2,'X numbers only'!$D$2:$D$151,'n,eta,X'!$B2)</f>
        <v>12696.6</v>
      </c>
      <c r="E2">
        <f>AVERAGEIFS('X numbers only'!G$2:G$151,'X numbers only'!$B$2:$B$151,'n,eta,X'!$A2,'X numbers only'!$D$2:$D$151,'n,eta,X'!$B2)</f>
        <v>3378972.8</v>
      </c>
      <c r="F2">
        <f>AVERAGEIFS('X numbers only'!H$2:H$151,'X numbers only'!$B$2:$B$151,'n,eta,X'!$A2,'X numbers only'!$D$2:$D$151,'n,eta,X'!$B2)</f>
        <v>32.006056720870241</v>
      </c>
      <c r="G2">
        <f>AVERAGEIFS('X numbers only'!I$2:I$151,'X numbers only'!$B$2:$B$151,'n,eta,X'!$A2,'X numbers only'!$D$2:$D$151,'n,eta,X'!$B2)</f>
        <v>46179348266.666664</v>
      </c>
      <c r="H2">
        <f>AVERAGEIFS('X numbers only'!J$2:J$151,'X numbers only'!$B$2:$B$151,'n,eta,X'!$A2,'X numbers only'!$D$2:$D$151,'n,eta,X'!$B2)</f>
        <v>288113167886.66669</v>
      </c>
      <c r="I2" s="2">
        <f>AVERAGEIFS('X numbers only'!K$2:K$151,'X numbers only'!$B$2:$B$151,'n,eta,X'!$A2,'X numbers only'!$D$2:$D$151,'n,eta,X'!$B2)</f>
        <v>6.1917557977248432</v>
      </c>
      <c r="J2">
        <f>AVERAGEIFS('X numbers only'!L$2:L$151,'X numbers only'!$B$2:$B$151,'n,eta,X'!$A2,'X numbers only'!$D$2:$D$151,'n,eta,X'!$B2)</f>
        <v>4.9106998701091555</v>
      </c>
      <c r="K2">
        <f>AVERAGEIFS('X numbers only'!M$2:M$151,'X numbers only'!$B$2:$B$151,'n,eta,X'!$A2,'X numbers only'!$D$2:$D$151,'n,eta,X'!$B2)</f>
        <v>7.0861558500824611</v>
      </c>
      <c r="L2">
        <f>AVERAGEIFS('X numbers only'!N$2:N$151,'X numbers only'!$B$2:$B$151,'n,eta,X'!$A2,'X numbers only'!$D$2:$D$151,'n,eta,X'!$B2)</f>
        <v>0.33031739996405751</v>
      </c>
      <c r="M2">
        <f>AVERAGEIFS('X numbers only'!O$2:O$151,'X numbers only'!$B$2:$B$151,'n,eta,X'!$A2,'X numbers only'!$D$2:$D$151,'n,eta,X'!$B2)</f>
        <v>0.32964135947199913</v>
      </c>
      <c r="N2">
        <f>AVERAGEIFS('X numbers only'!Q$2:Q$151,'X numbers only'!$B$2:$B$151,'n,eta,X'!$A2,'X numbers only'!$D$2:$D$151,'n,eta,X'!$B2)</f>
        <v>1.3739133282572836E-2</v>
      </c>
      <c r="O2">
        <f>AVERAGEIFS('X numbers only'!R$2:R$151,'X numbers only'!$B$2:$B$151,'n,eta,X'!$A2,'X numbers only'!$D$2:$D$151,'n,eta,X'!$B2)</f>
        <v>0.35684247684428333</v>
      </c>
      <c r="P2">
        <f>AVERAGEIFS('X numbers only'!S$2:S$151,'X numbers only'!$B$2:$B$151,'n,eta,X'!$A2,'X numbers only'!$D$2:$D$151,'n,eta,X'!$B2)</f>
        <v>0.33610951965292868</v>
      </c>
      <c r="Q2">
        <f>AVERAGEIFS('X numbers only'!T$2:T$151,'X numbers only'!$B$2:$B$151,'n,eta,X'!$A2,'X numbers only'!$D$2:$D$151,'n,eta,X'!$B2)</f>
        <v>0.62931116316208635</v>
      </c>
      <c r="R2">
        <f>AVERAGEIFS('X numbers only'!U$2:U$151,'X numbers only'!$B$2:$B$151,'n,eta,X'!$A2,'X numbers only'!$D$2:$D$151,'n,eta,X'!$B2)</f>
        <v>1.0722671105742058E-4</v>
      </c>
      <c r="S2">
        <f>AVERAGEIFS('X numbers only'!X$2:X$151,'X numbers only'!$B$2:$B$151,'n,eta,X'!$A2,'X numbers only'!$D$2:$D$151,'n,eta,X'!$B2)</f>
        <v>7.1753942665124721E-4</v>
      </c>
      <c r="T2">
        <f>AVERAGEIFS('X numbers only'!Y$2:Y$151,'X numbers only'!$B$2:$B$151,'n,eta,X'!$A2,'X numbers only'!$D$2:$D$151,'n,eta,X'!$B2)</f>
        <v>0.27958744816138897</v>
      </c>
      <c r="U2">
        <f>AVERAGEIFS('X numbers only'!Z$2:Z$151,'X numbers only'!$B$2:$B$151,'n,eta,X'!$A2,'X numbers only'!$D$2:$D$151,'n,eta,X'!$B2)</f>
        <v>0.26844537273251268</v>
      </c>
      <c r="V2">
        <f>AVERAGEIFS('X numbers only'!AA$2:AA$151,'X numbers only'!$B$2:$B$151,'n,eta,X'!$A2,'X numbers only'!$D$2:$D$151,'n,eta,X'!$B2)</f>
        <v>0.71968981278794342</v>
      </c>
      <c r="W2">
        <f>AVERAGEIFS('X numbers only'!AB$2:AB$151,'X numbers only'!$B$2:$B$151,'n,eta,X'!$A2,'X numbers only'!$D$2:$D$151,'n,eta,X'!$B2)</f>
        <v>5.1996240163405945E-6</v>
      </c>
      <c r="X2" s="2">
        <f>AVERAGEIFS('X numbers only'!AC$2:AC$151,'X numbers only'!$B$2:$B$151,'n,eta,X'!$A2,'X numbers only'!$D$2:$D$151,'n,eta,X'!$B2)</f>
        <v>2.6941786458016601</v>
      </c>
      <c r="Y2">
        <f>POWER(K2,10)</f>
        <v>319232425.7654202</v>
      </c>
    </row>
    <row r="3" spans="1:25" x14ac:dyDescent="0.3">
      <c r="A3">
        <v>3</v>
      </c>
      <c r="B3">
        <v>0.35</v>
      </c>
      <c r="C3">
        <f>AVERAGEIFS('X numbers only'!E$2:E$151,'X numbers only'!$B$2:$B$151,'n,eta,X'!$A3,'X numbers only'!$D$2:$D$151,'n,eta,X'!$B3)</f>
        <v>12</v>
      </c>
      <c r="D3">
        <f>AVERAGEIFS('X numbers only'!F$2:F$151,'X numbers only'!$B$2:$B$151,'n,eta,X'!$A3,'X numbers only'!$D$2:$D$151,'n,eta,X'!$B3)</f>
        <v>12696.6</v>
      </c>
      <c r="E3">
        <f>AVERAGEIFS('X numbers only'!G$2:G$151,'X numbers only'!$B$2:$B$151,'n,eta,X'!$A3,'X numbers only'!$D$2:$D$151,'n,eta,X'!$B3)</f>
        <v>707640.53333333344</v>
      </c>
      <c r="F3">
        <f>AVERAGEIFS('X numbers only'!H$2:H$151,'X numbers only'!$B$2:$B$151,'n,eta,X'!$A3,'X numbers only'!$D$2:$D$151,'n,eta,X'!$B3)</f>
        <v>32.006056720870241</v>
      </c>
      <c r="G3">
        <f>AVERAGEIFS('X numbers only'!I$2:I$151,'X numbers only'!$B$2:$B$151,'n,eta,X'!$A3,'X numbers only'!$D$2:$D$151,'n,eta,X'!$B3)</f>
        <v>11440580180</v>
      </c>
      <c r="H3">
        <f>AVERAGEIFS('X numbers only'!J$2:J$151,'X numbers only'!$B$2:$B$151,'n,eta,X'!$A3,'X numbers only'!$D$2:$D$151,'n,eta,X'!$B3)</f>
        <v>67441129433.333328</v>
      </c>
      <c r="I3" s="2">
        <f>AVERAGEIFS('X numbers only'!K$2:K$151,'X numbers only'!$B$2:$B$151,'n,eta,X'!$A3,'X numbers only'!$D$2:$D$151,'n,eta,X'!$B3)</f>
        <v>5.4781988006215236</v>
      </c>
      <c r="J3">
        <f>AVERAGEIFS('X numbers only'!L$2:L$151,'X numbers only'!$B$2:$B$151,'n,eta,X'!$A3,'X numbers only'!$D$2:$D$151,'n,eta,X'!$B3)</f>
        <v>4.4704023479810129</v>
      </c>
      <c r="K3">
        <f>AVERAGEIFS('X numbers only'!M$2:M$151,'X numbers only'!$B$2:$B$151,'n,eta,X'!$A3,'X numbers only'!$D$2:$D$151,'n,eta,X'!$B3)</f>
        <v>7.1284602544781546</v>
      </c>
      <c r="L3">
        <f>AVERAGEIFS('X numbers only'!N$2:N$151,'X numbers only'!$B$2:$B$151,'n,eta,X'!$A3,'X numbers only'!$D$2:$D$151,'n,eta,X'!$B3)</f>
        <v>0.36121805290188724</v>
      </c>
      <c r="M3">
        <f>AVERAGEIFS('X numbers only'!O$2:O$151,'X numbers only'!$B$2:$B$151,'n,eta,X'!$A3,'X numbers only'!$D$2:$D$151,'n,eta,X'!$B3)</f>
        <v>1.2361095804179187</v>
      </c>
      <c r="N3">
        <f>AVERAGEIFS('X numbers only'!Q$2:Q$151,'X numbers only'!$B$2:$B$151,'n,eta,X'!$A3,'X numbers only'!$D$2:$D$151,'n,eta,X'!$B3)</f>
        <v>1.2702924348584967E-2</v>
      </c>
      <c r="O3">
        <f>AVERAGEIFS('X numbers only'!R$2:R$151,'X numbers only'!$B$2:$B$151,'n,eta,X'!$A3,'X numbers only'!$D$2:$D$151,'n,eta,X'!$B3)</f>
        <v>0.49727195388886114</v>
      </c>
      <c r="P3">
        <f>AVERAGEIFS('X numbers only'!S$2:S$151,'X numbers only'!$B$2:$B$151,'n,eta,X'!$A3,'X numbers only'!$D$2:$D$151,'n,eta,X'!$B3)</f>
        <v>0.39594590749044922</v>
      </c>
      <c r="Q3">
        <f>AVERAGEIFS('X numbers only'!T$2:T$151,'X numbers only'!$B$2:$B$151,'n,eta,X'!$A3,'X numbers only'!$D$2:$D$151,'n,eta,X'!$B3)</f>
        <v>0.48968102357805388</v>
      </c>
      <c r="R3">
        <f>AVERAGEIFS('X numbers only'!U$2:U$151,'X numbers only'!$B$2:$B$151,'n,eta,X'!$A3,'X numbers only'!$D$2:$D$151,'n,eta,X'!$B3)</f>
        <v>3.4409818450003595E-4</v>
      </c>
      <c r="S3">
        <f>AVERAGEIFS('X numbers only'!X$2:X$151,'X numbers only'!$B$2:$B$151,'n,eta,X'!$A3,'X numbers only'!$D$2:$D$151,'n,eta,X'!$B3)</f>
        <v>2.7203739841455458E-3</v>
      </c>
      <c r="T3">
        <f>AVERAGEIFS('X numbers only'!Y$2:Y$151,'X numbers only'!$B$2:$B$151,'n,eta,X'!$A3,'X numbers only'!$D$2:$D$151,'n,eta,X'!$B3)</f>
        <v>0.3597266973727567</v>
      </c>
      <c r="U3">
        <f>AVERAGEIFS('X numbers only'!Z$2:Z$151,'X numbers only'!$B$2:$B$151,'n,eta,X'!$A3,'X numbers only'!$D$2:$D$151,'n,eta,X'!$B3)</f>
        <v>0.32410191209818501</v>
      </c>
      <c r="V3">
        <f>AVERAGEIFS('X numbers only'!AA$2:AA$151,'X numbers only'!$B$2:$B$151,'n,eta,X'!$A3,'X numbers only'!$D$2:$D$151,'n,eta,X'!$B3)</f>
        <v>0.63753190401754234</v>
      </c>
      <c r="W3">
        <f>AVERAGEIFS('X numbers only'!AB$2:AB$151,'X numbers only'!$B$2:$B$151,'n,eta,X'!$A3,'X numbers only'!$D$2:$D$151,'n,eta,X'!$B3)</f>
        <v>2.1024625555479779E-5</v>
      </c>
      <c r="X3" s="2">
        <f>AVERAGEIFS('X numbers only'!AC$2:AC$151,'X numbers only'!$B$2:$B$151,'n,eta,X'!$A3,'X numbers only'!$D$2:$D$151,'n,eta,X'!$B3)</f>
        <v>1.7974062823209223</v>
      </c>
      <c r="Y3">
        <f t="shared" ref="Y3:Y31" si="0">POWER(K3,10)</f>
        <v>338810861.90609455</v>
      </c>
    </row>
    <row r="4" spans="1:25" x14ac:dyDescent="0.3">
      <c r="A4">
        <v>3</v>
      </c>
      <c r="B4">
        <v>0.5</v>
      </c>
      <c r="C4">
        <f>AVERAGEIFS('X numbers only'!E$2:E$151,'X numbers only'!$B$2:$B$151,'n,eta,X'!$A4,'X numbers only'!$D$2:$D$151,'n,eta,X'!$B4)</f>
        <v>12</v>
      </c>
      <c r="D4">
        <f>AVERAGEIFS('X numbers only'!F$2:F$151,'X numbers only'!$B$2:$B$151,'n,eta,X'!$A4,'X numbers only'!$D$2:$D$151,'n,eta,X'!$B4)</f>
        <v>12696.6</v>
      </c>
      <c r="E4">
        <f>AVERAGEIFS('X numbers only'!G$2:G$151,'X numbers only'!$B$2:$B$151,'n,eta,X'!$A4,'X numbers only'!$D$2:$D$151,'n,eta,X'!$B4)</f>
        <v>262527.8</v>
      </c>
      <c r="F4">
        <f>AVERAGEIFS('X numbers only'!H$2:H$151,'X numbers only'!$B$2:$B$151,'n,eta,X'!$A4,'X numbers only'!$D$2:$D$151,'n,eta,X'!$B4)</f>
        <v>32.006056720870241</v>
      </c>
      <c r="G4">
        <f>AVERAGEIFS('X numbers only'!I$2:I$151,'X numbers only'!$B$2:$B$151,'n,eta,X'!$A4,'X numbers only'!$D$2:$D$151,'n,eta,X'!$B4)</f>
        <v>4922119660</v>
      </c>
      <c r="H4">
        <f>AVERAGEIFS('X numbers only'!J$2:J$151,'X numbers only'!$B$2:$B$151,'n,eta,X'!$A4,'X numbers only'!$D$2:$D$151,'n,eta,X'!$B4)</f>
        <v>26999148685</v>
      </c>
      <c r="I4" s="2">
        <f>AVERAGEIFS('X numbers only'!K$2:K$151,'X numbers only'!$B$2:$B$151,'n,eta,X'!$A4,'X numbers only'!$D$2:$D$151,'n,eta,X'!$B4)</f>
        <v>5.1511404222351906</v>
      </c>
      <c r="J4">
        <f>AVERAGEIFS('X numbers only'!L$2:L$151,'X numbers only'!$B$2:$B$151,'n,eta,X'!$A4,'X numbers only'!$D$2:$D$151,'n,eta,X'!$B4)</f>
        <v>3.7219962111611147</v>
      </c>
      <c r="K4">
        <f>AVERAGEIFS('X numbers only'!M$2:M$151,'X numbers only'!$B$2:$B$151,'n,eta,X'!$A4,'X numbers only'!$D$2:$D$151,'n,eta,X'!$B4)</f>
        <v>7.0663585301833525</v>
      </c>
      <c r="L4">
        <f>AVERAGEIFS('X numbers only'!N$2:N$151,'X numbers only'!$B$2:$B$151,'n,eta,X'!$A4,'X numbers only'!$D$2:$D$151,'n,eta,X'!$B4)</f>
        <v>0.36176530057437772</v>
      </c>
      <c r="M4">
        <f>AVERAGEIFS('X numbers only'!O$2:O$151,'X numbers only'!$B$2:$B$151,'n,eta,X'!$A4,'X numbers only'!$D$2:$D$151,'n,eta,X'!$B4)</f>
        <v>2.3139805508090729</v>
      </c>
      <c r="N4">
        <f>AVERAGEIFS('X numbers only'!Q$2:Q$151,'X numbers only'!$B$2:$B$151,'n,eta,X'!$A4,'X numbers only'!$D$2:$D$151,'n,eta,X'!$B4)</f>
        <v>1.4924811863824999E-2</v>
      </c>
      <c r="O4">
        <f>AVERAGEIFS('X numbers only'!R$2:R$151,'X numbers only'!$B$2:$B$151,'n,eta,X'!$A4,'X numbers only'!$D$2:$D$151,'n,eta,X'!$B4)</f>
        <v>0.5622465446902043</v>
      </c>
      <c r="P4">
        <f>AVERAGEIFS('X numbers only'!S$2:S$151,'X numbers only'!$B$2:$B$151,'n,eta,X'!$A4,'X numbers only'!$D$2:$D$151,'n,eta,X'!$B4)</f>
        <v>0.44940795562415736</v>
      </c>
      <c r="Q4">
        <f>AVERAGEIFS('X numbers only'!T$2:T$151,'X numbers only'!$B$2:$B$151,'n,eta,X'!$A4,'X numbers only'!$D$2:$D$151,'n,eta,X'!$B4)</f>
        <v>0.42209715217507132</v>
      </c>
      <c r="R4">
        <f>AVERAGEIFS('X numbers only'!U$2:U$151,'X numbers only'!$B$2:$B$151,'n,eta,X'!$A4,'X numbers only'!$D$2:$D$151,'n,eta,X'!$B4)</f>
        <v>7.3149127089939603E-4</v>
      </c>
      <c r="S4">
        <f>AVERAGEIFS('X numbers only'!X$2:X$151,'X numbers only'!$B$2:$B$151,'n,eta,X'!$A4,'X numbers only'!$D$2:$D$151,'n,eta,X'!$B4)</f>
        <v>5.742911140866956E-3</v>
      </c>
      <c r="T4">
        <f>AVERAGEIFS('X numbers only'!Y$2:Y$151,'X numbers only'!$B$2:$B$151,'n,eta,X'!$A4,'X numbers only'!$D$2:$D$151,'n,eta,X'!$B4)</f>
        <v>0.41509689335134869</v>
      </c>
      <c r="U4">
        <f>AVERAGEIFS('X numbers only'!Z$2:Z$151,'X numbers only'!$B$2:$B$151,'n,eta,X'!$A4,'X numbers only'!$D$2:$D$151,'n,eta,X'!$B4)</f>
        <v>0.31912875201008151</v>
      </c>
      <c r="V4">
        <f>AVERAGEIFS('X numbers only'!AA$2:AA$151,'X numbers only'!$B$2:$B$151,'n,eta,X'!$A4,'X numbers only'!$D$2:$D$151,'n,eta,X'!$B4)</f>
        <v>0.57911071694108818</v>
      </c>
      <c r="W4">
        <f>AVERAGEIFS('X numbers only'!AB$2:AB$151,'X numbers only'!$B$2:$B$151,'n,eta,X'!$A4,'X numbers only'!$D$2:$D$151,'n,eta,X'!$B4)</f>
        <v>4.9478566696228222E-5</v>
      </c>
      <c r="X4" s="2">
        <f>AVERAGEIFS('X numbers only'!AC$2:AC$151,'X numbers only'!$B$2:$B$151,'n,eta,X'!$A4,'X numbers only'!$D$2:$D$151,'n,eta,X'!$B4)</f>
        <v>1.402642303781936</v>
      </c>
      <c r="Y4">
        <f t="shared" si="0"/>
        <v>310424998.17814845</v>
      </c>
    </row>
    <row r="5" spans="1:25" x14ac:dyDescent="0.3">
      <c r="A5">
        <v>3</v>
      </c>
      <c r="B5">
        <v>0.65</v>
      </c>
      <c r="C5">
        <f>AVERAGEIFS('X numbers only'!E$2:E$151,'X numbers only'!$B$2:$B$151,'n,eta,X'!$A5,'X numbers only'!$D$2:$D$151,'n,eta,X'!$B5)</f>
        <v>12</v>
      </c>
      <c r="D5">
        <f>AVERAGEIFS('X numbers only'!F$2:F$151,'X numbers only'!$B$2:$B$151,'n,eta,X'!$A5,'X numbers only'!$D$2:$D$151,'n,eta,X'!$B5)</f>
        <v>12696.6</v>
      </c>
      <c r="E5">
        <f>AVERAGEIFS('X numbers only'!G$2:G$151,'X numbers only'!$B$2:$B$151,'n,eta,X'!$A5,'X numbers only'!$D$2:$D$151,'n,eta,X'!$B5)</f>
        <v>92370.133333333331</v>
      </c>
      <c r="F5">
        <f>AVERAGEIFS('X numbers only'!H$2:H$151,'X numbers only'!$B$2:$B$151,'n,eta,X'!$A5,'X numbers only'!$D$2:$D$151,'n,eta,X'!$B5)</f>
        <v>32.006056720870241</v>
      </c>
      <c r="G5">
        <f>AVERAGEIFS('X numbers only'!I$2:I$151,'X numbers only'!$B$2:$B$151,'n,eta,X'!$A5,'X numbers only'!$D$2:$D$151,'n,eta,X'!$B5)</f>
        <v>2426358580</v>
      </c>
      <c r="H5">
        <f>AVERAGEIFS('X numbers only'!J$2:J$151,'X numbers only'!$B$2:$B$151,'n,eta,X'!$A5,'X numbers only'!$D$2:$D$151,'n,eta,X'!$B5)</f>
        <v>11413394706.666668</v>
      </c>
      <c r="I5" s="2">
        <f>AVERAGEIFS('X numbers only'!K$2:K$151,'X numbers only'!$B$2:$B$151,'n,eta,X'!$A5,'X numbers only'!$D$2:$D$151,'n,eta,X'!$B5)</f>
        <v>4.315330016179483</v>
      </c>
      <c r="J5">
        <f>AVERAGEIFS('X numbers only'!L$2:L$151,'X numbers only'!$B$2:$B$151,'n,eta,X'!$A5,'X numbers only'!$D$2:$D$151,'n,eta,X'!$B5)</f>
        <v>2.5151292442875417</v>
      </c>
      <c r="K5">
        <f>AVERAGEIFS('X numbers only'!M$2:M$151,'X numbers only'!$B$2:$B$151,'n,eta,X'!$A5,'X numbers only'!$D$2:$D$151,'n,eta,X'!$B5)</f>
        <v>6.7674256534251329</v>
      </c>
      <c r="L5">
        <f>AVERAGEIFS('X numbers only'!N$2:N$151,'X numbers only'!$B$2:$B$151,'n,eta,X'!$A5,'X numbers only'!$D$2:$D$151,'n,eta,X'!$B5)</f>
        <v>0.3678923725539055</v>
      </c>
      <c r="M5">
        <f>AVERAGEIFS('X numbers only'!O$2:O$151,'X numbers only'!$B$2:$B$151,'n,eta,X'!$A5,'X numbers only'!$D$2:$D$151,'n,eta,X'!$B5)</f>
        <v>9.8723547494456163</v>
      </c>
      <c r="N5">
        <f>AVERAGEIFS('X numbers only'!Q$2:Q$151,'X numbers only'!$B$2:$B$151,'n,eta,X'!$A5,'X numbers only'!$D$2:$D$151,'n,eta,X'!$B5)</f>
        <v>7.1405811812015416E-3</v>
      </c>
      <c r="O5">
        <f>AVERAGEIFS('X numbers only'!R$2:R$151,'X numbers only'!$B$2:$B$151,'n,eta,X'!$A5,'X numbers only'!$D$2:$D$151,'n,eta,X'!$B5)</f>
        <v>0.68612874840045657</v>
      </c>
      <c r="P5">
        <f>AVERAGEIFS('X numbers only'!S$2:S$151,'X numbers only'!$B$2:$B$151,'n,eta,X'!$A5,'X numbers only'!$D$2:$D$151,'n,eta,X'!$B5)</f>
        <v>0.52091072985259168</v>
      </c>
      <c r="Q5">
        <f>AVERAGEIFS('X numbers only'!T$2:T$151,'X numbers only'!$B$2:$B$151,'n,eta,X'!$A5,'X numbers only'!$D$2:$D$151,'n,eta,X'!$B5)</f>
        <v>0.30534670945218823</v>
      </c>
      <c r="R5">
        <f>AVERAGEIFS('X numbers only'!U$2:U$151,'X numbers only'!$B$2:$B$151,'n,eta,X'!$A5,'X numbers only'!$D$2:$D$151,'n,eta,X'!$B5)</f>
        <v>1.3839609661536734E-3</v>
      </c>
      <c r="S5">
        <f>AVERAGEIFS('X numbers only'!X$2:X$151,'X numbers only'!$B$2:$B$151,'n,eta,X'!$A5,'X numbers only'!$D$2:$D$151,'n,eta,X'!$B5)</f>
        <v>1.6796519879362159E-2</v>
      </c>
      <c r="T5">
        <f>AVERAGEIFS('X numbers only'!Y$2:Y$151,'X numbers only'!$B$2:$B$151,'n,eta,X'!$A5,'X numbers only'!$D$2:$D$151,'n,eta,X'!$B5)</f>
        <v>0.50331224865844082</v>
      </c>
      <c r="U5">
        <f>AVERAGEIFS('X numbers only'!Z$2:Z$151,'X numbers only'!$B$2:$B$151,'n,eta,X'!$A5,'X numbers only'!$D$2:$D$151,'n,eta,X'!$B5)</f>
        <v>0.29243678568262288</v>
      </c>
      <c r="V5">
        <f>AVERAGEIFS('X numbers only'!AA$2:AA$151,'X numbers only'!$B$2:$B$151,'n,eta,X'!$A5,'X numbers only'!$D$2:$D$151,'n,eta,X'!$B5)</f>
        <v>0.4797761614263929</v>
      </c>
      <c r="W5">
        <f>AVERAGEIFS('X numbers only'!AB$2:AB$151,'X numbers only'!$B$2:$B$151,'n,eta,X'!$A5,'X numbers only'!$D$2:$D$151,'n,eta,X'!$B5)</f>
        <v>1.1507003580412043E-4</v>
      </c>
      <c r="X5" s="2">
        <f>AVERAGEIFS('X numbers only'!AC$2:AC$151,'X numbers only'!$B$2:$B$151,'n,eta,X'!$A5,'X numbers only'!$D$2:$D$151,'n,eta,X'!$B5)</f>
        <v>0.96967418261584759</v>
      </c>
      <c r="Y5">
        <f t="shared" si="0"/>
        <v>201481387.67044336</v>
      </c>
    </row>
    <row r="6" spans="1:25" x14ac:dyDescent="0.3">
      <c r="A6">
        <v>3</v>
      </c>
      <c r="B6">
        <v>0.8</v>
      </c>
      <c r="C6">
        <f>AVERAGEIFS('X numbers only'!E$2:E$151,'X numbers only'!$B$2:$B$151,'n,eta,X'!$A6,'X numbers only'!$D$2:$D$151,'n,eta,X'!$B6)</f>
        <v>12</v>
      </c>
      <c r="D6">
        <f>AVERAGEIFS('X numbers only'!F$2:F$151,'X numbers only'!$B$2:$B$151,'n,eta,X'!$A6,'X numbers only'!$D$2:$D$151,'n,eta,X'!$B6)</f>
        <v>12696.6</v>
      </c>
      <c r="E6">
        <f>AVERAGEIFS('X numbers only'!G$2:G$151,'X numbers only'!$B$2:$B$151,'n,eta,X'!$A6,'X numbers only'!$D$2:$D$151,'n,eta,X'!$B6)</f>
        <v>44914.133333333339</v>
      </c>
      <c r="F6">
        <f>AVERAGEIFS('X numbers only'!H$2:H$151,'X numbers only'!$B$2:$B$151,'n,eta,X'!$A6,'X numbers only'!$D$2:$D$151,'n,eta,X'!$B6)</f>
        <v>32.006056720870241</v>
      </c>
      <c r="G6">
        <f>AVERAGEIFS('X numbers only'!I$2:I$151,'X numbers only'!$B$2:$B$151,'n,eta,X'!$A6,'X numbers only'!$D$2:$D$151,'n,eta,X'!$B6)</f>
        <v>1687679253.3333333</v>
      </c>
      <c r="H6">
        <f>AVERAGEIFS('X numbers only'!J$2:J$151,'X numbers only'!$B$2:$B$151,'n,eta,X'!$A6,'X numbers only'!$D$2:$D$151,'n,eta,X'!$B6)</f>
        <v>7077281860</v>
      </c>
      <c r="I6" s="2">
        <f>AVERAGEIFS('X numbers only'!K$2:K$151,'X numbers only'!$B$2:$B$151,'n,eta,X'!$A6,'X numbers only'!$D$2:$D$151,'n,eta,X'!$B6)</f>
        <v>4.031053012273782</v>
      </c>
      <c r="J6">
        <f>AVERAGEIFS('X numbers only'!L$2:L$151,'X numbers only'!$B$2:$B$151,'n,eta,X'!$A6,'X numbers only'!$D$2:$D$151,'n,eta,X'!$B6)</f>
        <v>1.9139055888360246</v>
      </c>
      <c r="K6">
        <f>AVERAGEIFS('X numbers only'!M$2:M$151,'X numbers only'!$B$2:$B$151,'n,eta,X'!$A6,'X numbers only'!$D$2:$D$151,'n,eta,X'!$B6)</f>
        <v>6.5020045510746183</v>
      </c>
      <c r="L6">
        <f>AVERAGEIFS('X numbers only'!N$2:N$151,'X numbers only'!$B$2:$B$151,'n,eta,X'!$A6,'X numbers only'!$D$2:$D$151,'n,eta,X'!$B6)</f>
        <v>0.36104539401370467</v>
      </c>
      <c r="M6">
        <f>AVERAGEIFS('X numbers only'!O$2:O$151,'X numbers only'!$B$2:$B$151,'n,eta,X'!$A6,'X numbers only'!$D$2:$D$151,'n,eta,X'!$B6)</f>
        <v>10.079146914422719</v>
      </c>
      <c r="N6">
        <f>AVERAGEIFS('X numbers only'!Q$2:Q$151,'X numbers only'!$B$2:$B$151,'n,eta,X'!$A6,'X numbers only'!$D$2:$D$151,'n,eta,X'!$B6)</f>
        <v>8.9284052807486747E-3</v>
      </c>
      <c r="O6">
        <f>AVERAGEIFS('X numbers only'!R$2:R$151,'X numbers only'!$B$2:$B$151,'n,eta,X'!$A6,'X numbers only'!$D$2:$D$151,'n,eta,X'!$B6)</f>
        <v>0.75365486255539982</v>
      </c>
      <c r="P6">
        <f>AVERAGEIFS('X numbers only'!S$2:S$151,'X numbers only'!$B$2:$B$151,'n,eta,X'!$A6,'X numbers only'!$D$2:$D$151,'n,eta,X'!$B6)</f>
        <v>0.56561594012462513</v>
      </c>
      <c r="Q6">
        <f>AVERAGEIFS('X numbers only'!T$2:T$151,'X numbers only'!$B$2:$B$151,'n,eta,X'!$A6,'X numbers only'!$D$2:$D$151,'n,eta,X'!$B6)</f>
        <v>0.2354437683921061</v>
      </c>
      <c r="R6">
        <f>AVERAGEIFS('X numbers only'!U$2:U$151,'X numbers only'!$B$2:$B$151,'n,eta,X'!$A6,'X numbers only'!$D$2:$D$151,'n,eta,X'!$B6)</f>
        <v>1.9729637717454348E-3</v>
      </c>
      <c r="S6">
        <f>AVERAGEIFS('X numbers only'!X$2:X$151,'X numbers only'!$B$2:$B$151,'n,eta,X'!$A6,'X numbers only'!$D$2:$D$151,'n,eta,X'!$B6)</f>
        <v>2.0272011015993081E-2</v>
      </c>
      <c r="T6">
        <f>AVERAGEIFS('X numbers only'!Y$2:Y$151,'X numbers only'!$B$2:$B$151,'n,eta,X'!$A6,'X numbers only'!$D$2:$D$151,'n,eta,X'!$B6)</f>
        <v>0.60010251989659835</v>
      </c>
      <c r="U6">
        <f>AVERAGEIFS('X numbers only'!Z$2:Z$151,'X numbers only'!$B$2:$B$151,'n,eta,X'!$A6,'X numbers only'!$D$2:$D$151,'n,eta,X'!$B6)</f>
        <v>0.26379672051546643</v>
      </c>
      <c r="V6">
        <f>AVERAGEIFS('X numbers only'!AA$2:AA$151,'X numbers only'!$B$2:$B$151,'n,eta,X'!$A6,'X numbers only'!$D$2:$D$151,'n,eta,X'!$B6)</f>
        <v>0.37945089980611379</v>
      </c>
      <c r="W6">
        <f>AVERAGEIFS('X numbers only'!AB$2:AB$151,'X numbers only'!$B$2:$B$151,'n,eta,X'!$A6,'X numbers only'!$D$2:$D$151,'n,eta,X'!$B6)</f>
        <v>1.7456928129476882E-4</v>
      </c>
      <c r="X6" s="2">
        <f>AVERAGEIFS('X numbers only'!AC$2:AC$151,'X numbers only'!$B$2:$B$151,'n,eta,X'!$A6,'X numbers only'!$D$2:$D$151,'n,eta,X'!$B6)</f>
        <v>0.63407096144519126</v>
      </c>
      <c r="Y6">
        <f t="shared" si="0"/>
        <v>135043190.9656952</v>
      </c>
    </row>
    <row r="7" spans="1:25" x14ac:dyDescent="0.3">
      <c r="A7">
        <v>3</v>
      </c>
      <c r="B7">
        <v>0.95</v>
      </c>
      <c r="C7">
        <f>AVERAGEIFS('X numbers only'!E$2:E$151,'X numbers only'!$B$2:$B$151,'n,eta,X'!$A7,'X numbers only'!$D$2:$D$151,'n,eta,X'!$B7)</f>
        <v>12</v>
      </c>
      <c r="D7">
        <f>AVERAGEIFS('X numbers only'!F$2:F$151,'X numbers only'!$B$2:$B$151,'n,eta,X'!$A7,'X numbers only'!$D$2:$D$151,'n,eta,X'!$B7)</f>
        <v>12696.6</v>
      </c>
      <c r="E7">
        <f>AVERAGEIFS('X numbers only'!G$2:G$151,'X numbers only'!$B$2:$B$151,'n,eta,X'!$A7,'X numbers only'!$D$2:$D$151,'n,eta,X'!$B7)</f>
        <v>23329.599999999999</v>
      </c>
      <c r="F7">
        <f>AVERAGEIFS('X numbers only'!H$2:H$151,'X numbers only'!$B$2:$B$151,'n,eta,X'!$A7,'X numbers only'!$D$2:$D$151,'n,eta,X'!$B7)</f>
        <v>32.006056720870241</v>
      </c>
      <c r="G7">
        <f>AVERAGEIFS('X numbers only'!I$2:I$151,'X numbers only'!$B$2:$B$151,'n,eta,X'!$A7,'X numbers only'!$D$2:$D$151,'n,eta,X'!$B7)</f>
        <v>1192268900</v>
      </c>
      <c r="H7">
        <f>AVERAGEIFS('X numbers only'!J$2:J$151,'X numbers only'!$B$2:$B$151,'n,eta,X'!$A7,'X numbers only'!$D$2:$D$151,'n,eta,X'!$B7)</f>
        <v>4768215280</v>
      </c>
      <c r="I7" s="2">
        <f>AVERAGEIFS('X numbers only'!K$2:K$151,'X numbers only'!$B$2:$B$151,'n,eta,X'!$A7,'X numbers only'!$D$2:$D$151,'n,eta,X'!$B7)</f>
        <v>3.6422303802551532</v>
      </c>
      <c r="J7">
        <f>AVERAGEIFS('X numbers only'!L$2:L$151,'X numbers only'!$B$2:$B$151,'n,eta,X'!$A7,'X numbers only'!$D$2:$D$151,'n,eta,X'!$B7)</f>
        <v>1.0237417875405042</v>
      </c>
      <c r="K7">
        <f>AVERAGEIFS('X numbers only'!M$2:M$151,'X numbers only'!$B$2:$B$151,'n,eta,X'!$A7,'X numbers only'!$D$2:$D$151,'n,eta,X'!$B7)</f>
        <v>6.1218836269460999</v>
      </c>
      <c r="L7">
        <f>AVERAGEIFS('X numbers only'!N$2:N$151,'X numbers only'!$B$2:$B$151,'n,eta,X'!$A7,'X numbers only'!$D$2:$D$151,'n,eta,X'!$B7)</f>
        <v>0.37039178908997206</v>
      </c>
      <c r="M7">
        <f>AVERAGEIFS('X numbers only'!O$2:O$151,'X numbers only'!$B$2:$B$151,'n,eta,X'!$A7,'X numbers only'!$D$2:$D$151,'n,eta,X'!$B7)</f>
        <v>35.055610115666454</v>
      </c>
      <c r="N7">
        <f>AVERAGEIFS('X numbers only'!Q$2:Q$151,'X numbers only'!$B$2:$B$151,'n,eta,X'!$A7,'X numbers only'!$D$2:$D$151,'n,eta,X'!$B7)</f>
        <v>3.6167993920383527E-3</v>
      </c>
      <c r="O7">
        <f>AVERAGEIFS('X numbers only'!R$2:R$151,'X numbers only'!$B$2:$B$151,'n,eta,X'!$A7,'X numbers only'!$D$2:$D$151,'n,eta,X'!$B7)</f>
        <v>0.82321079504575001</v>
      </c>
      <c r="P7">
        <f>AVERAGEIFS('X numbers only'!S$2:S$151,'X numbers only'!$B$2:$B$151,'n,eta,X'!$A7,'X numbers only'!$D$2:$D$151,'n,eta,X'!$B7)</f>
        <v>0.63147140717790273</v>
      </c>
      <c r="Q7">
        <f>AVERAGEIFS('X numbers only'!T$2:T$151,'X numbers only'!$B$2:$B$151,'n,eta,X'!$A7,'X numbers only'!$D$2:$D$151,'n,eta,X'!$B7)</f>
        <v>0.17051677723862504</v>
      </c>
      <c r="R7">
        <f>AVERAGEIFS('X numbers only'!U$2:U$151,'X numbers only'!$B$2:$B$151,'n,eta,X'!$A7,'X numbers only'!$D$2:$D$151,'n,eta,X'!$B7)</f>
        <v>2.655628323586583E-3</v>
      </c>
      <c r="S7">
        <f>AVERAGEIFS('X numbers only'!X$2:X$151,'X numbers only'!$B$2:$B$151,'n,eta,X'!$A7,'X numbers only'!$D$2:$D$151,'n,eta,X'!$B7)</f>
        <v>3.330329068606043E-2</v>
      </c>
      <c r="T7">
        <f>AVERAGEIFS('X numbers only'!Y$2:Y$151,'X numbers only'!$B$2:$B$151,'n,eta,X'!$A7,'X numbers only'!$D$2:$D$151,'n,eta,X'!$B7)</f>
        <v>0.68101526496585651</v>
      </c>
      <c r="U7">
        <f>AVERAGEIFS('X numbers only'!Z$2:Z$151,'X numbers only'!$B$2:$B$151,'n,eta,X'!$A7,'X numbers only'!$D$2:$D$151,'n,eta,X'!$B7)</f>
        <v>0.18147536239803863</v>
      </c>
      <c r="V7">
        <f>AVERAGEIFS('X numbers only'!AA$2:AA$151,'X numbers only'!$B$2:$B$151,'n,eta,X'!$A7,'X numbers only'!$D$2:$D$151,'n,eta,X'!$B7)</f>
        <v>0.2854136602181202</v>
      </c>
      <c r="W7">
        <f>AVERAGEIFS('X numbers only'!AB$2:AB$151,'X numbers only'!$B$2:$B$151,'n,eta,X'!$A7,'X numbers only'!$D$2:$D$151,'n,eta,X'!$B7)</f>
        <v>2.6778412996288374E-4</v>
      </c>
      <c r="X7" s="2">
        <f>AVERAGEIFS('X numbers only'!AC$2:AC$151,'X numbers only'!$B$2:$B$151,'n,eta,X'!$A7,'X numbers only'!$D$2:$D$151,'n,eta,X'!$B7)</f>
        <v>0.45153965697432197</v>
      </c>
      <c r="Y7">
        <f t="shared" si="0"/>
        <v>73935105.483715355</v>
      </c>
    </row>
    <row r="8" spans="1:25" x14ac:dyDescent="0.3">
      <c r="A8">
        <v>4</v>
      </c>
      <c r="B8">
        <v>0.2</v>
      </c>
      <c r="C8">
        <f>AVERAGEIFS('X numbers only'!E$2:E$151,'X numbers only'!$B$2:$B$151,'n,eta,X'!$A8,'X numbers only'!$D$2:$D$151,'n,eta,X'!$B8)</f>
        <v>12</v>
      </c>
      <c r="D8">
        <f>AVERAGEIFS('X numbers only'!F$2:F$151,'X numbers only'!$B$2:$B$151,'n,eta,X'!$A8,'X numbers only'!$D$2:$D$151,'n,eta,X'!$B8)</f>
        <v>12696.6</v>
      </c>
      <c r="E8">
        <f>AVERAGEIFS('X numbers only'!G$2:G$151,'X numbers only'!$B$2:$B$151,'n,eta,X'!$A8,'X numbers only'!$D$2:$D$151,'n,eta,X'!$B8)</f>
        <v>3379773.6</v>
      </c>
      <c r="F8">
        <f>AVERAGEIFS('X numbers only'!H$2:H$151,'X numbers only'!$B$2:$B$151,'n,eta,X'!$A8,'X numbers only'!$D$2:$D$151,'n,eta,X'!$B8)</f>
        <v>32.006056720870241</v>
      </c>
      <c r="G8">
        <f>AVERAGEIFS('X numbers only'!I$2:I$151,'X numbers only'!$B$2:$B$151,'n,eta,X'!$A8,'X numbers only'!$D$2:$D$151,'n,eta,X'!$B8)</f>
        <v>84760770160</v>
      </c>
      <c r="H8">
        <f>AVERAGEIFS('X numbers only'!J$2:J$151,'X numbers only'!$B$2:$B$151,'n,eta,X'!$A8,'X numbers only'!$D$2:$D$151,'n,eta,X'!$B8)</f>
        <v>513842964280</v>
      </c>
      <c r="I8" s="2">
        <f>AVERAGEIFS('X numbers only'!K$2:K$151,'X numbers only'!$B$2:$B$151,'n,eta,X'!$A8,'X numbers only'!$D$2:$D$151,'n,eta,X'!$B8)</f>
        <v>6.0315199020403822</v>
      </c>
      <c r="J8">
        <f>AVERAGEIFS('X numbers only'!L$2:L$151,'X numbers only'!$B$2:$B$151,'n,eta,X'!$A8,'X numbers only'!$D$2:$D$151,'n,eta,X'!$B8)</f>
        <v>5.5778461736385685</v>
      </c>
      <c r="K8">
        <f>AVERAGEIFS('X numbers only'!M$2:M$151,'X numbers only'!$B$2:$B$151,'n,eta,X'!$A8,'X numbers only'!$D$2:$D$151,'n,eta,X'!$B8)</f>
        <v>6.7946765192094984</v>
      </c>
      <c r="L8">
        <f>AVERAGEIFS('X numbers only'!N$2:N$151,'X numbers only'!$B$2:$B$151,'n,eta,X'!$A8,'X numbers only'!$D$2:$D$151,'n,eta,X'!$B8)</f>
        <v>0.28670947535657254</v>
      </c>
      <c r="M8">
        <f>AVERAGEIFS('X numbers only'!O$2:O$151,'X numbers only'!$B$2:$B$151,'n,eta,X'!$A8,'X numbers only'!$D$2:$D$151,'n,eta,X'!$B8)</f>
        <v>0.94986455632163269</v>
      </c>
      <c r="N8">
        <f>AVERAGEIFS('X numbers only'!Q$2:Q$151,'X numbers only'!$B$2:$B$151,'n,eta,X'!$A8,'X numbers only'!$D$2:$D$151,'n,eta,X'!$B8)</f>
        <v>7.7793037510806851E-3</v>
      </c>
      <c r="O8">
        <f>AVERAGEIFS('X numbers only'!R$2:R$151,'X numbers only'!$B$2:$B$151,'n,eta,X'!$A8,'X numbers only'!$D$2:$D$151,'n,eta,X'!$B8)</f>
        <v>0.61875466180448446</v>
      </c>
      <c r="P8">
        <f>AVERAGEIFS('X numbers only'!S$2:S$151,'X numbers only'!$B$2:$B$151,'n,eta,X'!$A8,'X numbers only'!$D$2:$D$151,'n,eta,X'!$B8)</f>
        <v>0.61080674067639651</v>
      </c>
      <c r="Q8">
        <f>AVERAGEIFS('X numbers only'!T$2:T$151,'X numbers only'!$B$2:$B$151,'n,eta,X'!$A8,'X numbers only'!$D$2:$D$151,'n,eta,X'!$B8)</f>
        <v>0.37339914214561298</v>
      </c>
      <c r="R8">
        <f>AVERAGEIFS('X numbers only'!U$2:U$151,'X numbers only'!$B$2:$B$151,'n,eta,X'!$A8,'X numbers only'!$D$2:$D$151,'n,eta,X'!$B8)</f>
        <v>6.6892298821735649E-5</v>
      </c>
      <c r="S8">
        <f>AVERAGEIFS('X numbers only'!X$2:X$151,'X numbers only'!$B$2:$B$151,'n,eta,X'!$A8,'X numbers only'!$D$2:$D$151,'n,eta,X'!$B8)</f>
        <v>1.2008970973464152E-3</v>
      </c>
      <c r="T8">
        <f>AVERAGEIFS('X numbers only'!Y$2:Y$151,'X numbers only'!$B$2:$B$151,'n,eta,X'!$A8,'X numbers only'!$D$2:$D$151,'n,eta,X'!$B8)</f>
        <v>0.5785644516010755</v>
      </c>
      <c r="U8">
        <f>AVERAGEIFS('X numbers only'!Z$2:Z$151,'X numbers only'!$B$2:$B$151,'n,eta,X'!$A8,'X numbers only'!$D$2:$D$151,'n,eta,X'!$B8)</f>
        <v>0.56564237525887062</v>
      </c>
      <c r="V8">
        <f>AVERAGEIFS('X numbers only'!AA$2:AA$151,'X numbers only'!$B$2:$B$151,'n,eta,X'!$A8,'X numbers only'!$D$2:$D$151,'n,eta,X'!$B8)</f>
        <v>0.42023157992051818</v>
      </c>
      <c r="W8">
        <f>AVERAGEIFS('X numbers only'!AB$2:AB$151,'X numbers only'!$B$2:$B$151,'n,eta,X'!$A8,'X numbers only'!$D$2:$D$151,'n,eta,X'!$B8)</f>
        <v>3.0713810598497459E-6</v>
      </c>
      <c r="X8" s="2">
        <f>AVERAGEIFS('X numbers only'!AC$2:AC$151,'X numbers only'!$B$2:$B$151,'n,eta,X'!$A8,'X numbers only'!$D$2:$D$151,'n,eta,X'!$B8)</f>
        <v>0.74606919050466769</v>
      </c>
      <c r="Y8">
        <f t="shared" si="0"/>
        <v>209743184.13783082</v>
      </c>
    </row>
    <row r="9" spans="1:25" x14ac:dyDescent="0.3">
      <c r="A9">
        <v>4</v>
      </c>
      <c r="B9">
        <v>0.35</v>
      </c>
      <c r="C9">
        <f>AVERAGEIFS('X numbers only'!E$2:E$151,'X numbers only'!$B$2:$B$151,'n,eta,X'!$A9,'X numbers only'!$D$2:$D$151,'n,eta,X'!$B9)</f>
        <v>12</v>
      </c>
      <c r="D9">
        <f>AVERAGEIFS('X numbers only'!F$2:F$151,'X numbers only'!$B$2:$B$151,'n,eta,X'!$A9,'X numbers only'!$D$2:$D$151,'n,eta,X'!$B9)</f>
        <v>12696.6</v>
      </c>
      <c r="E9">
        <f>AVERAGEIFS('X numbers only'!G$2:G$151,'X numbers only'!$B$2:$B$151,'n,eta,X'!$A9,'X numbers only'!$D$2:$D$151,'n,eta,X'!$B9)</f>
        <v>708367.2</v>
      </c>
      <c r="F9">
        <f>AVERAGEIFS('X numbers only'!H$2:H$151,'X numbers only'!$B$2:$B$151,'n,eta,X'!$A9,'X numbers only'!$D$2:$D$151,'n,eta,X'!$B9)</f>
        <v>32.006056720870241</v>
      </c>
      <c r="G9">
        <f>AVERAGEIFS('X numbers only'!I$2:I$151,'X numbers only'!$B$2:$B$151,'n,eta,X'!$A9,'X numbers only'!$D$2:$D$151,'n,eta,X'!$B9)</f>
        <v>22555902386.666664</v>
      </c>
      <c r="H9">
        <f>AVERAGEIFS('X numbers only'!J$2:J$151,'X numbers only'!$B$2:$B$151,'n,eta,X'!$A9,'X numbers only'!$D$2:$D$151,'n,eta,X'!$B9)</f>
        <v>130934873173.33334</v>
      </c>
      <c r="I9" s="2">
        <f>AVERAGEIFS('X numbers only'!K$2:K$151,'X numbers only'!$B$2:$B$151,'n,eta,X'!$A9,'X numbers only'!$D$2:$D$151,'n,eta,X'!$B9)</f>
        <v>5.5551412494659456</v>
      </c>
      <c r="J9">
        <f>AVERAGEIFS('X numbers only'!L$2:L$151,'X numbers only'!$B$2:$B$151,'n,eta,X'!$A9,'X numbers only'!$D$2:$D$151,'n,eta,X'!$B9)</f>
        <v>5.2257518685014723</v>
      </c>
      <c r="K9">
        <f>AVERAGEIFS('X numbers only'!M$2:M$151,'X numbers only'!$B$2:$B$151,'n,eta,X'!$A9,'X numbers only'!$D$2:$D$151,'n,eta,X'!$B9)</f>
        <v>6.8428742656462349</v>
      </c>
      <c r="L9">
        <f>AVERAGEIFS('X numbers only'!N$2:N$151,'X numbers only'!$B$2:$B$151,'n,eta,X'!$A9,'X numbers only'!$D$2:$D$151,'n,eta,X'!$B9)</f>
        <v>0.36208919938791151</v>
      </c>
      <c r="M9">
        <f>AVERAGEIFS('X numbers only'!O$2:O$151,'X numbers only'!$B$2:$B$151,'n,eta,X'!$A9,'X numbers only'!$D$2:$D$151,'n,eta,X'!$B9)</f>
        <v>1.2993065233772068</v>
      </c>
      <c r="N9">
        <f>AVERAGEIFS('X numbers only'!Q$2:Q$151,'X numbers only'!$B$2:$B$151,'n,eta,X'!$A9,'X numbers only'!$D$2:$D$151,'n,eta,X'!$B9)</f>
        <v>6.400988382175528E-3</v>
      </c>
      <c r="O9">
        <f>AVERAGEIFS('X numbers only'!R$2:R$151,'X numbers only'!$B$2:$B$151,'n,eta,X'!$A9,'X numbers only'!$D$2:$D$151,'n,eta,X'!$B9)</f>
        <v>0.72328079665690947</v>
      </c>
      <c r="P9">
        <f>AVERAGEIFS('X numbers only'!S$2:S$151,'X numbers only'!$B$2:$B$151,'n,eta,X'!$A9,'X numbers only'!$D$2:$D$151,'n,eta,X'!$B9)</f>
        <v>0.66060500356494845</v>
      </c>
      <c r="Q9">
        <f>AVERAGEIFS('X numbers only'!T$2:T$151,'X numbers only'!$B$2:$B$151,'n,eta,X'!$A9,'X numbers only'!$D$2:$D$151,'n,eta,X'!$B9)</f>
        <v>0.27014819713376265</v>
      </c>
      <c r="R9">
        <f>AVERAGEIFS('X numbers only'!U$2:U$151,'X numbers only'!$B$2:$B$151,'n,eta,X'!$A9,'X numbers only'!$D$2:$D$151,'n,eta,X'!$B9)</f>
        <v>1.7001782715222926E-4</v>
      </c>
      <c r="S9">
        <f>AVERAGEIFS('X numbers only'!X$2:X$151,'X numbers only'!$B$2:$B$151,'n,eta,X'!$A9,'X numbers only'!$D$2:$D$151,'n,eta,X'!$B9)</f>
        <v>1.4700236917935059E-3</v>
      </c>
      <c r="T9">
        <f>AVERAGEIFS('X numbers only'!Y$2:Y$151,'X numbers only'!$B$2:$B$151,'n,eta,X'!$A9,'X numbers only'!$D$2:$D$151,'n,eta,X'!$B9)</f>
        <v>0.66571812481090653</v>
      </c>
      <c r="U9">
        <f>AVERAGEIFS('X numbers only'!Z$2:Z$151,'X numbers only'!$B$2:$B$151,'n,eta,X'!$A9,'X numbers only'!$D$2:$D$151,'n,eta,X'!$B9)</f>
        <v>0.62235590367213456</v>
      </c>
      <c r="V9">
        <f>AVERAGEIFS('X numbers only'!AA$2:AA$151,'X numbers only'!$B$2:$B$151,'n,eta,X'!$A9,'X numbers only'!$D$2:$D$151,'n,eta,X'!$B9)</f>
        <v>0.33280134873452905</v>
      </c>
      <c r="W9">
        <f>AVERAGEIFS('X numbers only'!AB$2:AB$151,'X numbers only'!$B$2:$B$151,'n,eta,X'!$A9,'X numbers only'!$D$2:$D$151,'n,eta,X'!$B9)</f>
        <v>1.0502762770938052E-5</v>
      </c>
      <c r="X9" s="2">
        <f>AVERAGEIFS('X numbers only'!AC$2:AC$151,'X numbers only'!$B$2:$B$151,'n,eta,X'!$A9,'X numbers only'!$D$2:$D$151,'n,eta,X'!$B9)</f>
        <v>0.50400807926897939</v>
      </c>
      <c r="Y9">
        <f t="shared" si="0"/>
        <v>225105238.26678589</v>
      </c>
    </row>
    <row r="10" spans="1:25" x14ac:dyDescent="0.3">
      <c r="A10">
        <v>4</v>
      </c>
      <c r="B10">
        <v>0.5</v>
      </c>
      <c r="C10">
        <f>AVERAGEIFS('X numbers only'!E$2:E$151,'X numbers only'!$B$2:$B$151,'n,eta,X'!$A10,'X numbers only'!$D$2:$D$151,'n,eta,X'!$B10)</f>
        <v>12</v>
      </c>
      <c r="D10">
        <f>AVERAGEIFS('X numbers only'!F$2:F$151,'X numbers only'!$B$2:$B$151,'n,eta,X'!$A10,'X numbers only'!$D$2:$D$151,'n,eta,X'!$B10)</f>
        <v>12696.6</v>
      </c>
      <c r="E10">
        <f>AVERAGEIFS('X numbers only'!G$2:G$151,'X numbers only'!$B$2:$B$151,'n,eta,X'!$A10,'X numbers only'!$D$2:$D$151,'n,eta,X'!$B10)</f>
        <v>262612.2</v>
      </c>
      <c r="F10">
        <f>AVERAGEIFS('X numbers only'!H$2:H$151,'X numbers only'!$B$2:$B$151,'n,eta,X'!$A10,'X numbers only'!$D$2:$D$151,'n,eta,X'!$B10)</f>
        <v>32.006056720870241</v>
      </c>
      <c r="G10">
        <f>AVERAGEIFS('X numbers only'!I$2:I$151,'X numbers only'!$B$2:$B$151,'n,eta,X'!$A10,'X numbers only'!$D$2:$D$151,'n,eta,X'!$B10)</f>
        <v>9786988675</v>
      </c>
      <c r="H10">
        <f>AVERAGEIFS('X numbers only'!J$2:J$151,'X numbers only'!$B$2:$B$151,'n,eta,X'!$A10,'X numbers only'!$D$2:$D$151,'n,eta,X'!$B10)</f>
        <v>53170505185</v>
      </c>
      <c r="I10" s="2">
        <f>AVERAGEIFS('X numbers only'!K$2:K$151,'X numbers only'!$B$2:$B$151,'n,eta,X'!$A10,'X numbers only'!$D$2:$D$151,'n,eta,X'!$B10)</f>
        <v>5.0652312427731001</v>
      </c>
      <c r="J10">
        <f>AVERAGEIFS('X numbers only'!L$2:L$151,'X numbers only'!$B$2:$B$151,'n,eta,X'!$A10,'X numbers only'!$D$2:$D$151,'n,eta,X'!$B10)</f>
        <v>4.5303278516320633</v>
      </c>
      <c r="K10">
        <f>AVERAGEIFS('X numbers only'!M$2:M$151,'X numbers only'!$B$2:$B$151,'n,eta,X'!$A10,'X numbers only'!$D$2:$D$151,'n,eta,X'!$B10)</f>
        <v>6.8515463426951753</v>
      </c>
      <c r="L10">
        <f>AVERAGEIFS('X numbers only'!N$2:N$151,'X numbers only'!$B$2:$B$151,'n,eta,X'!$A10,'X numbers only'!$D$2:$D$151,'n,eta,X'!$B10)</f>
        <v>0.34786622251848681</v>
      </c>
      <c r="M10">
        <f>AVERAGEIFS('X numbers only'!O$2:O$151,'X numbers only'!$B$2:$B$151,'n,eta,X'!$A10,'X numbers only'!$D$2:$D$151,'n,eta,X'!$B10)</f>
        <v>3.4797017635025598</v>
      </c>
      <c r="N10">
        <f>AVERAGEIFS('X numbers only'!Q$2:Q$151,'X numbers only'!$B$2:$B$151,'n,eta,X'!$A10,'X numbers only'!$D$2:$D$151,'n,eta,X'!$B10)</f>
        <v>5.1955259433588202E-3</v>
      </c>
      <c r="O10">
        <f>AVERAGEIFS('X numbers only'!R$2:R$151,'X numbers only'!$B$2:$B$151,'n,eta,X'!$A10,'X numbers only'!$D$2:$D$151,'n,eta,X'!$B10)</f>
        <v>0.77590843759792238</v>
      </c>
      <c r="P10">
        <f>AVERAGEIFS('X numbers only'!S$2:S$151,'X numbers only'!$B$2:$B$151,'n,eta,X'!$A10,'X numbers only'!$D$2:$D$151,'n,eta,X'!$B10)</f>
        <v>0.67013070314172607</v>
      </c>
      <c r="Q10">
        <f>AVERAGEIFS('X numbers only'!T$2:T$151,'X numbers only'!$B$2:$B$151,'n,eta,X'!$A10,'X numbers only'!$D$2:$D$151,'n,eta,X'!$B10)</f>
        <v>0.21852911181917856</v>
      </c>
      <c r="R10">
        <f>AVERAGEIFS('X numbers only'!U$2:U$151,'X numbers only'!$B$2:$B$151,'n,eta,X'!$A10,'X numbers only'!$D$2:$D$151,'n,eta,X'!$B10)</f>
        <v>3.6692463954031613E-4</v>
      </c>
      <c r="S10">
        <f>AVERAGEIFS('X numbers only'!X$2:X$151,'X numbers only'!$B$2:$B$151,'n,eta,X'!$A10,'X numbers only'!$D$2:$D$151,'n,eta,X'!$B10)</f>
        <v>3.475008662595118E-3</v>
      </c>
      <c r="T10">
        <f>AVERAGEIFS('X numbers only'!Y$2:Y$151,'X numbers only'!$B$2:$B$151,'n,eta,X'!$A10,'X numbers only'!$D$2:$D$151,'n,eta,X'!$B10)</f>
        <v>0.70074077414262381</v>
      </c>
      <c r="U10">
        <f>AVERAGEIFS('X numbers only'!Z$2:Z$151,'X numbers only'!$B$2:$B$151,'n,eta,X'!$A10,'X numbers only'!$D$2:$D$151,'n,eta,X'!$B10)</f>
        <v>0.60125253064225126</v>
      </c>
      <c r="V10">
        <f>AVERAGEIFS('X numbers only'!AA$2:AA$151,'X numbers only'!$B$2:$B$151,'n,eta,X'!$A10,'X numbers only'!$D$2:$D$151,'n,eta,X'!$B10)</f>
        <v>0.29575974382866788</v>
      </c>
      <c r="W10">
        <f>AVERAGEIFS('X numbers only'!AB$2:AB$151,'X numbers only'!$B$2:$B$151,'n,eta,X'!$A10,'X numbers only'!$D$2:$D$151,'n,eta,X'!$B10)</f>
        <v>2.4473366113139043E-5</v>
      </c>
      <c r="X10" s="2">
        <f>AVERAGEIFS('X numbers only'!AC$2:AC$151,'X numbers only'!$B$2:$B$151,'n,eta,X'!$A10,'X numbers only'!$D$2:$D$151,'n,eta,X'!$B10)</f>
        <v>0.42355016333250523</v>
      </c>
      <c r="Y10">
        <f t="shared" si="0"/>
        <v>227974355.01099342</v>
      </c>
    </row>
    <row r="11" spans="1:25" x14ac:dyDescent="0.3">
      <c r="A11">
        <v>4</v>
      </c>
      <c r="B11">
        <v>0.65</v>
      </c>
      <c r="C11">
        <f>AVERAGEIFS('X numbers only'!E$2:E$151,'X numbers only'!$B$2:$B$151,'n,eta,X'!$A11,'X numbers only'!$D$2:$D$151,'n,eta,X'!$B11)</f>
        <v>12</v>
      </c>
      <c r="D11">
        <f>AVERAGEIFS('X numbers only'!F$2:F$151,'X numbers only'!$B$2:$B$151,'n,eta,X'!$A11,'X numbers only'!$D$2:$D$151,'n,eta,X'!$B11)</f>
        <v>12696.6</v>
      </c>
      <c r="E11">
        <f>AVERAGEIFS('X numbers only'!G$2:G$151,'X numbers only'!$B$2:$B$151,'n,eta,X'!$A11,'X numbers only'!$D$2:$D$151,'n,eta,X'!$B11)</f>
        <v>92516.533333333326</v>
      </c>
      <c r="F11">
        <f>AVERAGEIFS('X numbers only'!H$2:H$151,'X numbers only'!$B$2:$B$151,'n,eta,X'!$A11,'X numbers only'!$D$2:$D$151,'n,eta,X'!$B11)</f>
        <v>32.006056720870241</v>
      </c>
      <c r="G11">
        <f>AVERAGEIFS('X numbers only'!I$2:I$151,'X numbers only'!$B$2:$B$151,'n,eta,X'!$A11,'X numbers only'!$D$2:$D$151,'n,eta,X'!$B11)</f>
        <v>4876258426.666667</v>
      </c>
      <c r="H11">
        <f>AVERAGEIFS('X numbers only'!J$2:J$151,'X numbers only'!$B$2:$B$151,'n,eta,X'!$A11,'X numbers only'!$D$2:$D$151,'n,eta,X'!$B11)</f>
        <v>23153748673.333332</v>
      </c>
      <c r="I11" s="2">
        <f>AVERAGEIFS('X numbers only'!K$2:K$151,'X numbers only'!$B$2:$B$151,'n,eta,X'!$A11,'X numbers only'!$D$2:$D$151,'n,eta,X'!$B11)</f>
        <v>4.44758129404436</v>
      </c>
      <c r="J11">
        <f>AVERAGEIFS('X numbers only'!L$2:L$151,'X numbers only'!$B$2:$B$151,'n,eta,X'!$A11,'X numbers only'!$D$2:$D$151,'n,eta,X'!$B11)</f>
        <v>3.4751354942466266</v>
      </c>
      <c r="K11">
        <f>AVERAGEIFS('X numbers only'!M$2:M$151,'X numbers only'!$B$2:$B$151,'n,eta,X'!$A11,'X numbers only'!$D$2:$D$151,'n,eta,X'!$B11)</f>
        <v>6.860653910226711</v>
      </c>
      <c r="L11">
        <f>AVERAGEIFS('X numbers only'!N$2:N$151,'X numbers only'!$B$2:$B$151,'n,eta,X'!$A11,'X numbers only'!$D$2:$D$151,'n,eta,X'!$B11)</f>
        <v>0.36974660042597673</v>
      </c>
      <c r="M11">
        <f>AVERAGEIFS('X numbers only'!O$2:O$151,'X numbers only'!$B$2:$B$151,'n,eta,X'!$A11,'X numbers only'!$D$2:$D$151,'n,eta,X'!$B11)</f>
        <v>9.9420398694149412</v>
      </c>
      <c r="N11">
        <f>AVERAGEIFS('X numbers only'!Q$2:Q$151,'X numbers only'!$B$2:$B$151,'n,eta,X'!$A11,'X numbers only'!$D$2:$D$151,'n,eta,X'!$B11)</f>
        <v>3.7241500683495841E-3</v>
      </c>
      <c r="O11">
        <f>AVERAGEIFS('X numbers only'!R$2:R$151,'X numbers only'!$B$2:$B$151,'n,eta,X'!$A11,'X numbers only'!$D$2:$D$151,'n,eta,X'!$B11)</f>
        <v>0.84377162819169982</v>
      </c>
      <c r="P11">
        <f>AVERAGEIFS('X numbers only'!S$2:S$151,'X numbers only'!$B$2:$B$151,'n,eta,X'!$A11,'X numbers only'!$D$2:$D$151,'n,eta,X'!$B11)</f>
        <v>0.67803207163919443</v>
      </c>
      <c r="Q11">
        <f>AVERAGEIFS('X numbers only'!T$2:T$151,'X numbers only'!$B$2:$B$151,'n,eta,X'!$A11,'X numbers only'!$D$2:$D$151,'n,eta,X'!$B11)</f>
        <v>0.15181598959026363</v>
      </c>
      <c r="R11">
        <f>AVERAGEIFS('X numbers only'!U$2:U$151,'X numbers only'!$B$2:$B$151,'n,eta,X'!$A11,'X numbers only'!$D$2:$D$151,'n,eta,X'!$B11)</f>
        <v>6.8823214968691271E-4</v>
      </c>
      <c r="S11">
        <f>AVERAGEIFS('X numbers only'!X$2:X$151,'X numbers only'!$B$2:$B$151,'n,eta,X'!$A11,'X numbers only'!$D$2:$D$151,'n,eta,X'!$B11)</f>
        <v>8.2729823379234339E-3</v>
      </c>
      <c r="T11">
        <f>AVERAGEIFS('X numbers only'!Y$2:Y$151,'X numbers only'!$B$2:$B$151,'n,eta,X'!$A11,'X numbers only'!$D$2:$D$151,'n,eta,X'!$B11)</f>
        <v>0.75622400468686457</v>
      </c>
      <c r="U11">
        <f>AVERAGEIFS('X numbers only'!Z$2:Z$151,'X numbers only'!$B$2:$B$151,'n,eta,X'!$A11,'X numbers only'!$D$2:$D$151,'n,eta,X'!$B11)</f>
        <v>0.52775829636063976</v>
      </c>
      <c r="V11">
        <f>AVERAGEIFS('X numbers only'!AA$2:AA$151,'X numbers only'!$B$2:$B$151,'n,eta,X'!$A11,'X numbers only'!$D$2:$D$151,'n,eta,X'!$B11)</f>
        <v>0.23544748945816898</v>
      </c>
      <c r="W11">
        <f>AVERAGEIFS('X numbers only'!AB$2:AB$151,'X numbers only'!$B$2:$B$151,'n,eta,X'!$A11,'X numbers only'!$D$2:$D$151,'n,eta,X'!$B11)</f>
        <v>5.5523517043057759E-5</v>
      </c>
      <c r="X11" s="2">
        <f>AVERAGEIFS('X numbers only'!AC$2:AC$151,'X numbers only'!$B$2:$B$151,'n,eta,X'!$A11,'X numbers only'!$D$2:$D$151,'n,eta,X'!$B11)</f>
        <v>0.31405431813835599</v>
      </c>
      <c r="Y11">
        <f t="shared" si="0"/>
        <v>231022945.29951072</v>
      </c>
    </row>
    <row r="12" spans="1:25" x14ac:dyDescent="0.3">
      <c r="A12">
        <v>4</v>
      </c>
      <c r="B12">
        <v>0.8</v>
      </c>
      <c r="C12">
        <f>AVERAGEIFS('X numbers only'!E$2:E$151,'X numbers only'!$B$2:$B$151,'n,eta,X'!$A12,'X numbers only'!$D$2:$D$151,'n,eta,X'!$B12)</f>
        <v>12</v>
      </c>
      <c r="D12">
        <f>AVERAGEIFS('X numbers only'!F$2:F$151,'X numbers only'!$B$2:$B$151,'n,eta,X'!$A12,'X numbers only'!$D$2:$D$151,'n,eta,X'!$B12)</f>
        <v>12696.6</v>
      </c>
      <c r="E12">
        <f>AVERAGEIFS('X numbers only'!G$2:G$151,'X numbers only'!$B$2:$B$151,'n,eta,X'!$A12,'X numbers only'!$D$2:$D$151,'n,eta,X'!$B12)</f>
        <v>44981.599999999999</v>
      </c>
      <c r="F12">
        <f>AVERAGEIFS('X numbers only'!H$2:H$151,'X numbers only'!$B$2:$B$151,'n,eta,X'!$A12,'X numbers only'!$D$2:$D$151,'n,eta,X'!$B12)</f>
        <v>32.006056720870241</v>
      </c>
      <c r="G12">
        <f>AVERAGEIFS('X numbers only'!I$2:I$151,'X numbers only'!$B$2:$B$151,'n,eta,X'!$A12,'X numbers only'!$D$2:$D$151,'n,eta,X'!$B12)</f>
        <v>3464875426.6666665</v>
      </c>
      <c r="H12">
        <f>AVERAGEIFS('X numbers only'!J$2:J$151,'X numbers only'!$B$2:$B$151,'n,eta,X'!$A12,'X numbers only'!$D$2:$D$151,'n,eta,X'!$B12)</f>
        <v>14931993693.333332</v>
      </c>
      <c r="I12" s="2">
        <f>AVERAGEIFS('X numbers only'!K$2:K$151,'X numbers only'!$B$2:$B$151,'n,eta,X'!$A12,'X numbers only'!$D$2:$D$151,'n,eta,X'!$B12)</f>
        <v>4.0550994444198256</v>
      </c>
      <c r="J12">
        <f>AVERAGEIFS('X numbers only'!L$2:L$151,'X numbers only'!$B$2:$B$151,'n,eta,X'!$A12,'X numbers only'!$D$2:$D$151,'n,eta,X'!$B12)</f>
        <v>2.6223991259548289</v>
      </c>
      <c r="K12">
        <f>AVERAGEIFS('X numbers only'!M$2:M$151,'X numbers only'!$B$2:$B$151,'n,eta,X'!$A12,'X numbers only'!$D$2:$D$151,'n,eta,X'!$B12)</f>
        <v>6.6495309782217848</v>
      </c>
      <c r="L12">
        <f>AVERAGEIFS('X numbers only'!N$2:N$151,'X numbers only'!$B$2:$B$151,'n,eta,X'!$A12,'X numbers only'!$D$2:$D$151,'n,eta,X'!$B12)</f>
        <v>0.36081786129458954</v>
      </c>
      <c r="M12">
        <f>AVERAGEIFS('X numbers only'!O$2:O$151,'X numbers only'!$B$2:$B$151,'n,eta,X'!$A12,'X numbers only'!$D$2:$D$151,'n,eta,X'!$B12)</f>
        <v>23.843100276395941</v>
      </c>
      <c r="N12">
        <f>AVERAGEIFS('X numbers only'!Q$2:Q$151,'X numbers only'!$B$2:$B$151,'n,eta,X'!$A12,'X numbers only'!$D$2:$D$151,'n,eta,X'!$B12)</f>
        <v>2.6069221824196625E-3</v>
      </c>
      <c r="O12">
        <f>AVERAGEIFS('X numbers only'!R$2:R$151,'X numbers only'!$B$2:$B$151,'n,eta,X'!$A12,'X numbers only'!$D$2:$D$151,'n,eta,X'!$B12)</f>
        <v>0.88649985363882577</v>
      </c>
      <c r="P12">
        <f>AVERAGEIFS('X numbers only'!S$2:S$151,'X numbers only'!$B$2:$B$151,'n,eta,X'!$A12,'X numbers only'!$D$2:$D$151,'n,eta,X'!$B12)</f>
        <v>0.72327202024510429</v>
      </c>
      <c r="Q12">
        <f>AVERAGEIFS('X numbers only'!T$2:T$151,'X numbers only'!$B$2:$B$151,'n,eta,X'!$A12,'X numbers only'!$D$2:$D$151,'n,eta,X'!$B12)</f>
        <v>0.10989016381522206</v>
      </c>
      <c r="R12">
        <f>AVERAGEIFS('X numbers only'!U$2:U$151,'X numbers only'!$B$2:$B$151,'n,eta,X'!$A12,'X numbers only'!$D$2:$D$151,'n,eta,X'!$B12)</f>
        <v>1.0030603635324403E-3</v>
      </c>
      <c r="S12">
        <f>AVERAGEIFS('X numbers only'!X$2:X$151,'X numbers only'!$B$2:$B$151,'n,eta,X'!$A12,'X numbers only'!$D$2:$D$151,'n,eta,X'!$B12)</f>
        <v>1.5396434850071236E-2</v>
      </c>
      <c r="T12">
        <f>AVERAGEIFS('X numbers only'!Y$2:Y$151,'X numbers only'!$B$2:$B$151,'n,eta,X'!$A12,'X numbers only'!$D$2:$D$151,'n,eta,X'!$B12)</f>
        <v>0.803562465647221</v>
      </c>
      <c r="U12">
        <f>AVERAGEIFS('X numbers only'!Z$2:Z$151,'X numbers only'!$B$2:$B$151,'n,eta,X'!$A12,'X numbers only'!$D$2:$D$151,'n,eta,X'!$B12)</f>
        <v>0.46333296414986991</v>
      </c>
      <c r="V12">
        <f>AVERAGEIFS('X numbers only'!AA$2:AA$151,'X numbers only'!$B$2:$B$151,'n,eta,X'!$A12,'X numbers only'!$D$2:$D$151,'n,eta,X'!$B12)</f>
        <v>0.18095447595033959</v>
      </c>
      <c r="W12">
        <f>AVERAGEIFS('X numbers only'!AB$2:AB$151,'X numbers only'!$B$2:$B$151,'n,eta,X'!$A12,'X numbers only'!$D$2:$D$151,'n,eta,X'!$B12)</f>
        <v>8.6623552368134821E-5</v>
      </c>
      <c r="X12" s="2">
        <f>AVERAGEIFS('X numbers only'!AC$2:AC$151,'X numbers only'!$B$2:$B$151,'n,eta,X'!$A12,'X numbers only'!$D$2:$D$151,'n,eta,X'!$B12)</f>
        <v>0.22563386959310075</v>
      </c>
      <c r="Y12">
        <f t="shared" si="0"/>
        <v>169009118.30465165</v>
      </c>
    </row>
    <row r="13" spans="1:25" x14ac:dyDescent="0.3">
      <c r="A13">
        <v>4</v>
      </c>
      <c r="B13">
        <v>0.95</v>
      </c>
      <c r="C13">
        <f>AVERAGEIFS('X numbers only'!E$2:E$151,'X numbers only'!$B$2:$B$151,'n,eta,X'!$A13,'X numbers only'!$D$2:$D$151,'n,eta,X'!$B13)</f>
        <v>12</v>
      </c>
      <c r="D13">
        <f>AVERAGEIFS('X numbers only'!F$2:F$151,'X numbers only'!$B$2:$B$151,'n,eta,X'!$A13,'X numbers only'!$D$2:$D$151,'n,eta,X'!$B13)</f>
        <v>12696.6</v>
      </c>
      <c r="E13">
        <f>AVERAGEIFS('X numbers only'!G$2:G$151,'X numbers only'!$B$2:$B$151,'n,eta,X'!$A13,'X numbers only'!$D$2:$D$151,'n,eta,X'!$B13)</f>
        <v>23332.266666666666</v>
      </c>
      <c r="F13">
        <f>AVERAGEIFS('X numbers only'!H$2:H$151,'X numbers only'!$B$2:$B$151,'n,eta,X'!$A13,'X numbers only'!$D$2:$D$151,'n,eta,X'!$B13)</f>
        <v>32.006056720870241</v>
      </c>
      <c r="G13">
        <f>AVERAGEIFS('X numbers only'!I$2:I$151,'X numbers only'!$B$2:$B$151,'n,eta,X'!$A13,'X numbers only'!$D$2:$D$151,'n,eta,X'!$B13)</f>
        <v>2457510366.666667</v>
      </c>
      <c r="H13">
        <f>AVERAGEIFS('X numbers only'!J$2:J$151,'X numbers only'!$B$2:$B$151,'n,eta,X'!$A13,'X numbers only'!$D$2:$D$151,'n,eta,X'!$B13)</f>
        <v>9535631646.666666</v>
      </c>
      <c r="I13" s="2">
        <f>AVERAGEIFS('X numbers only'!K$2:K$151,'X numbers only'!$B$2:$B$151,'n,eta,X'!$A13,'X numbers only'!$D$2:$D$151,'n,eta,X'!$B13)</f>
        <v>3.7285975558861231</v>
      </c>
      <c r="J13">
        <f>AVERAGEIFS('X numbers only'!L$2:L$151,'X numbers only'!$B$2:$B$151,'n,eta,X'!$A13,'X numbers only'!$D$2:$D$151,'n,eta,X'!$B13)</f>
        <v>1.5428088566212681</v>
      </c>
      <c r="K13">
        <f>AVERAGEIFS('X numbers only'!M$2:M$151,'X numbers only'!$B$2:$B$151,'n,eta,X'!$A13,'X numbers only'!$D$2:$D$151,'n,eta,X'!$B13)</f>
        <v>6.5992548973809662</v>
      </c>
      <c r="L13">
        <f>AVERAGEIFS('X numbers only'!N$2:N$151,'X numbers only'!$B$2:$B$151,'n,eta,X'!$A13,'X numbers only'!$D$2:$D$151,'n,eta,X'!$B13)</f>
        <v>0.3598496115683823</v>
      </c>
      <c r="M13">
        <f>AVERAGEIFS('X numbers only'!O$2:O$151,'X numbers only'!$B$2:$B$151,'n,eta,X'!$A13,'X numbers only'!$D$2:$D$151,'n,eta,X'!$B13)</f>
        <v>43.977766209500338</v>
      </c>
      <c r="N13">
        <f>AVERAGEIFS('X numbers only'!Q$2:Q$151,'X numbers only'!$B$2:$B$151,'n,eta,X'!$A13,'X numbers only'!$D$2:$D$151,'n,eta,X'!$B13)</f>
        <v>1.7152825085466144E-3</v>
      </c>
      <c r="O13">
        <f>AVERAGEIFS('X numbers only'!R$2:R$151,'X numbers only'!$B$2:$B$151,'n,eta,X'!$A13,'X numbers only'!$D$2:$D$151,'n,eta,X'!$B13)</f>
        <v>0.91374597103880151</v>
      </c>
      <c r="P13">
        <f>AVERAGEIFS('X numbers only'!S$2:S$151,'X numbers only'!$B$2:$B$151,'n,eta,X'!$A13,'X numbers only'!$D$2:$D$151,'n,eta,X'!$B13)</f>
        <v>0.74626804761148624</v>
      </c>
      <c r="Q13">
        <f>AVERAGEIFS('X numbers only'!T$2:T$151,'X numbers only'!$B$2:$B$151,'n,eta,X'!$A13,'X numbers only'!$D$2:$D$151,'n,eta,X'!$B13)</f>
        <v>8.3161378558533269E-2</v>
      </c>
      <c r="R13">
        <f>AVERAGEIFS('X numbers only'!U$2:U$151,'X numbers only'!$B$2:$B$151,'n,eta,X'!$A13,'X numbers only'!$D$2:$D$151,'n,eta,X'!$B13)</f>
        <v>1.3773678941185984E-3</v>
      </c>
      <c r="S13">
        <f>AVERAGEIFS('X numbers only'!X$2:X$151,'X numbers only'!$B$2:$B$151,'n,eta,X'!$A13,'X numbers only'!$D$2:$D$151,'n,eta,X'!$B13)</f>
        <v>1.9747926239679948E-2</v>
      </c>
      <c r="T13">
        <f>AVERAGEIFS('X numbers only'!Y$2:Y$151,'X numbers only'!$B$2:$B$151,'n,eta,X'!$A13,'X numbers only'!$D$2:$D$151,'n,eta,X'!$B13)</f>
        <v>0.83484957454069963</v>
      </c>
      <c r="U13">
        <f>AVERAGEIFS('X numbers only'!Z$2:Z$151,'X numbers only'!$B$2:$B$151,'n,eta,X'!$A13,'X numbers only'!$D$2:$D$151,'n,eta,X'!$B13)</f>
        <v>0.31674630544077503</v>
      </c>
      <c r="V13">
        <f>AVERAGEIFS('X numbers only'!AA$2:AA$151,'X numbers only'!$B$2:$B$151,'n,eta,X'!$A13,'X numbers only'!$D$2:$D$151,'n,eta,X'!$B13)</f>
        <v>0.14527305766053042</v>
      </c>
      <c r="W13">
        <f>AVERAGEIFS('X numbers only'!AB$2:AB$151,'X numbers only'!$B$2:$B$151,'n,eta,X'!$A13,'X numbers only'!$D$2:$D$151,'n,eta,X'!$B13)</f>
        <v>1.2944155909010236E-4</v>
      </c>
      <c r="X13" s="2">
        <f>AVERAGEIFS('X numbers only'!AC$2:AC$151,'X numbers only'!$B$2:$B$151,'n,eta,X'!$A13,'X numbers only'!$D$2:$D$151,'n,eta,X'!$B13)</f>
        <v>0.18053649832551372</v>
      </c>
      <c r="Y13">
        <f t="shared" si="0"/>
        <v>156656721.66183668</v>
      </c>
    </row>
    <row r="14" spans="1:25" x14ac:dyDescent="0.3">
      <c r="A14">
        <v>5</v>
      </c>
      <c r="B14">
        <v>0.2</v>
      </c>
      <c r="C14">
        <f>AVERAGEIFS('X numbers only'!E$2:E$151,'X numbers only'!$B$2:$B$151,'n,eta,X'!$A14,'X numbers only'!$D$2:$D$151,'n,eta,X'!$B14)</f>
        <v>11</v>
      </c>
      <c r="D14">
        <f>AVERAGEIFS('X numbers only'!F$2:F$151,'X numbers only'!$B$2:$B$151,'n,eta,X'!$A14,'X numbers only'!$D$2:$D$151,'n,eta,X'!$B14)</f>
        <v>6347.8</v>
      </c>
      <c r="E14">
        <f>AVERAGEIFS('X numbers only'!G$2:G$151,'X numbers only'!$B$2:$B$151,'n,eta,X'!$A14,'X numbers only'!$D$2:$D$151,'n,eta,X'!$B14)</f>
        <v>1490293.0666666667</v>
      </c>
      <c r="F14">
        <f>AVERAGEIFS('X numbers only'!H$2:H$151,'X numbers only'!$B$2:$B$151,'n,eta,X'!$A14,'X numbers only'!$D$2:$D$151,'n,eta,X'!$B14)</f>
        <v>64.024235023783021</v>
      </c>
      <c r="G14">
        <f>AVERAGEIFS('X numbers only'!I$2:I$151,'X numbers only'!$B$2:$B$151,'n,eta,X'!$A14,'X numbers only'!$D$2:$D$151,'n,eta,X'!$B14)</f>
        <v>141179503713.33331</v>
      </c>
      <c r="H14">
        <f>AVERAGEIFS('X numbers only'!J$2:J$151,'X numbers only'!$B$2:$B$151,'n,eta,X'!$A14,'X numbers only'!$D$2:$D$151,'n,eta,X'!$B14)</f>
        <v>788265071213.33325</v>
      </c>
      <c r="I14" s="2">
        <f>AVERAGEIFS('X numbers only'!K$2:K$151,'X numbers only'!$B$2:$B$151,'n,eta,X'!$A14,'X numbers only'!$D$2:$D$151,'n,eta,X'!$B14)</f>
        <v>5.7490854361718515</v>
      </c>
      <c r="J14">
        <f>AVERAGEIFS('X numbers only'!L$2:L$151,'X numbers only'!$B$2:$B$151,'n,eta,X'!$A14,'X numbers only'!$D$2:$D$151,'n,eta,X'!$B14)</f>
        <v>4.4513613192035129</v>
      </c>
      <c r="K14">
        <f>AVERAGEIFS('X numbers only'!M$2:M$151,'X numbers only'!$B$2:$B$151,'n,eta,X'!$A14,'X numbers only'!$D$2:$D$151,'n,eta,X'!$B14)</f>
        <v>7.287091065361059</v>
      </c>
      <c r="L14">
        <f>AVERAGEIFS('X numbers only'!N$2:N$151,'X numbers only'!$B$2:$B$151,'n,eta,X'!$A14,'X numbers only'!$D$2:$D$151,'n,eta,X'!$B14)</f>
        <v>0.24992840658989596</v>
      </c>
      <c r="M14">
        <f>AVERAGEIFS('X numbers only'!O$2:O$151,'X numbers only'!$B$2:$B$151,'n,eta,X'!$A14,'X numbers only'!$D$2:$D$151,'n,eta,X'!$B14)</f>
        <v>0.63513785444203918</v>
      </c>
      <c r="N14">
        <f>AVERAGEIFS('X numbers only'!Q$2:Q$151,'X numbers only'!$B$2:$B$151,'n,eta,X'!$A14,'X numbers only'!$D$2:$D$151,'n,eta,X'!$B14)</f>
        <v>2.4887099043208374E-3</v>
      </c>
      <c r="O14">
        <f>AVERAGEIFS('X numbers only'!R$2:R$151,'X numbers only'!$B$2:$B$151,'n,eta,X'!$A14,'X numbers only'!$D$2:$D$151,'n,eta,X'!$B14)</f>
        <v>0.55270077793490058</v>
      </c>
      <c r="P14">
        <f>AVERAGEIFS('X numbers only'!S$2:S$151,'X numbers only'!$B$2:$B$151,'n,eta,X'!$A14,'X numbers only'!$D$2:$D$151,'n,eta,X'!$B14)</f>
        <v>0.54282092182593522</v>
      </c>
      <c r="Q14">
        <f>AVERAGEIFS('X numbers only'!T$2:T$151,'X numbers only'!$B$2:$B$151,'n,eta,X'!$A14,'X numbers only'!$D$2:$D$151,'n,eta,X'!$B14)</f>
        <v>0.44475732965649917</v>
      </c>
      <c r="R14">
        <f>AVERAGEIFS('X numbers only'!U$2:U$151,'X numbers only'!$B$2:$B$151,'n,eta,X'!$A14,'X numbers only'!$D$2:$D$151,'n,eta,X'!$B14)</f>
        <v>5.3182504279466167E-5</v>
      </c>
      <c r="S14">
        <f>AVERAGEIFS('X numbers only'!X$2:X$151,'X numbers only'!$B$2:$B$151,'n,eta,X'!$A14,'X numbers only'!$D$2:$D$151,'n,eta,X'!$B14)</f>
        <v>2.7363334945071301E-4</v>
      </c>
      <c r="T14">
        <f>AVERAGEIFS('X numbers only'!Y$2:Y$151,'X numbers only'!$B$2:$B$151,'n,eta,X'!$A14,'X numbers only'!$D$2:$D$151,'n,eta,X'!$B14)</f>
        <v>0.43978260587495088</v>
      </c>
      <c r="U14">
        <f>AVERAGEIFS('X numbers only'!Z$2:Z$151,'X numbers only'!$B$2:$B$151,'n,eta,X'!$A14,'X numbers only'!$D$2:$D$151,'n,eta,X'!$B14)</f>
        <v>0.42717804872573872</v>
      </c>
      <c r="V14">
        <f>AVERAGEIFS('X numbers only'!AA$2:AA$151,'X numbers only'!$B$2:$B$151,'n,eta,X'!$A14,'X numbers only'!$D$2:$D$151,'n,eta,X'!$B14)</f>
        <v>0.55994151196620856</v>
      </c>
      <c r="W14">
        <f>AVERAGEIFS('X numbers only'!AB$2:AB$151,'X numbers only'!$B$2:$B$151,'n,eta,X'!$A14,'X numbers only'!$D$2:$D$151,'n,eta,X'!$B14)</f>
        <v>2.2488093898823022E-6</v>
      </c>
      <c r="X14" s="2">
        <f>AVERAGEIFS('X numbers only'!AC$2:AC$151,'X numbers only'!$B$2:$B$151,'n,eta,X'!$A14,'X numbers only'!$D$2:$D$151,'n,eta,X'!$B14)</f>
        <v>1.4284876339742631</v>
      </c>
      <c r="Y14">
        <f t="shared" si="0"/>
        <v>422223079.07100427</v>
      </c>
    </row>
    <row r="15" spans="1:25" x14ac:dyDescent="0.3">
      <c r="A15">
        <v>5</v>
      </c>
      <c r="B15">
        <v>0.35</v>
      </c>
      <c r="C15">
        <f>AVERAGEIFS('X numbers only'!E$2:E$151,'X numbers only'!$B$2:$B$151,'n,eta,X'!$A15,'X numbers only'!$D$2:$D$151,'n,eta,X'!$B15)</f>
        <v>11</v>
      </c>
      <c r="D15">
        <f>AVERAGEIFS('X numbers only'!F$2:F$151,'X numbers only'!$B$2:$B$151,'n,eta,X'!$A15,'X numbers only'!$D$2:$D$151,'n,eta,X'!$B15)</f>
        <v>6347.8</v>
      </c>
      <c r="E15">
        <f>AVERAGEIFS('X numbers only'!G$2:G$151,'X numbers only'!$B$2:$B$151,'n,eta,X'!$A15,'X numbers only'!$D$2:$D$151,'n,eta,X'!$B15)</f>
        <v>344212.8</v>
      </c>
      <c r="F15">
        <f>AVERAGEIFS('X numbers only'!H$2:H$151,'X numbers only'!$B$2:$B$151,'n,eta,X'!$A15,'X numbers only'!$D$2:$D$151,'n,eta,X'!$B15)</f>
        <v>64.024235023783021</v>
      </c>
      <c r="G15">
        <f>AVERAGEIFS('X numbers only'!I$2:I$151,'X numbers only'!$B$2:$B$151,'n,eta,X'!$A15,'X numbers only'!$D$2:$D$151,'n,eta,X'!$B15)</f>
        <v>38946144726.666664</v>
      </c>
      <c r="H15">
        <f>AVERAGEIFS('X numbers only'!J$2:J$151,'X numbers only'!$B$2:$B$151,'n,eta,X'!$A15,'X numbers only'!$D$2:$D$151,'n,eta,X'!$B15)</f>
        <v>206557488400</v>
      </c>
      <c r="I15" s="2">
        <f>AVERAGEIFS('X numbers only'!K$2:K$151,'X numbers only'!$B$2:$B$151,'n,eta,X'!$A15,'X numbers only'!$D$2:$D$151,'n,eta,X'!$B15)</f>
        <v>5.2034427336210163</v>
      </c>
      <c r="J15">
        <f>AVERAGEIFS('X numbers only'!L$2:L$151,'X numbers only'!$B$2:$B$151,'n,eta,X'!$A15,'X numbers only'!$D$2:$D$151,'n,eta,X'!$B15)</f>
        <v>4.1722074168444188</v>
      </c>
      <c r="K15">
        <f>AVERAGEIFS('X numbers only'!M$2:M$151,'X numbers only'!$B$2:$B$151,'n,eta,X'!$A15,'X numbers only'!$D$2:$D$151,'n,eta,X'!$B15)</f>
        <v>7.3224852554929951</v>
      </c>
      <c r="L15">
        <f>AVERAGEIFS('X numbers only'!N$2:N$151,'X numbers only'!$B$2:$B$151,'n,eta,X'!$A15,'X numbers only'!$D$2:$D$151,'n,eta,X'!$B15)</f>
        <v>0.32087134792781657</v>
      </c>
      <c r="M15">
        <f>AVERAGEIFS('X numbers only'!O$2:O$151,'X numbers only'!$B$2:$B$151,'n,eta,X'!$A15,'X numbers only'!$D$2:$D$151,'n,eta,X'!$B15)</f>
        <v>3.0628826581972546</v>
      </c>
      <c r="N15">
        <f>AVERAGEIFS('X numbers only'!Q$2:Q$151,'X numbers only'!$B$2:$B$151,'n,eta,X'!$A15,'X numbers only'!$D$2:$D$151,'n,eta,X'!$B15)</f>
        <v>1.7439567683048332E-3</v>
      </c>
      <c r="O15">
        <f>AVERAGEIFS('X numbers only'!R$2:R$151,'X numbers only'!$B$2:$B$151,'n,eta,X'!$A15,'X numbers only'!$D$2:$D$151,'n,eta,X'!$B15)</f>
        <v>0.67976488803801904</v>
      </c>
      <c r="P15">
        <f>AVERAGEIFS('X numbers only'!S$2:S$151,'X numbers only'!$B$2:$B$151,'n,eta,X'!$A15,'X numbers only'!$D$2:$D$151,'n,eta,X'!$B15)</f>
        <v>0.63502636840702376</v>
      </c>
      <c r="Q15">
        <f>AVERAGEIFS('X numbers only'!T$2:T$151,'X numbers only'!$B$2:$B$151,'n,eta,X'!$A15,'X numbers only'!$D$2:$D$151,'n,eta,X'!$B15)</f>
        <v>0.3183651382407196</v>
      </c>
      <c r="R15">
        <f>AVERAGEIFS('X numbers only'!U$2:U$151,'X numbers only'!$B$2:$B$151,'n,eta,X'!$A15,'X numbers only'!$D$2:$D$151,'n,eta,X'!$B15)</f>
        <v>1.2601695295639447E-4</v>
      </c>
      <c r="S15">
        <f>AVERAGEIFS('X numbers only'!X$2:X$151,'X numbers only'!$B$2:$B$151,'n,eta,X'!$A15,'X numbers only'!$D$2:$D$151,'n,eta,X'!$B15)</f>
        <v>1.0088772542591548E-3</v>
      </c>
      <c r="T15">
        <f>AVERAGEIFS('X numbers only'!Y$2:Y$151,'X numbers only'!$B$2:$B$151,'n,eta,X'!$A15,'X numbers only'!$D$2:$D$151,'n,eta,X'!$B15)</f>
        <v>0.55027142566581633</v>
      </c>
      <c r="U15">
        <f>AVERAGEIFS('X numbers only'!Z$2:Z$151,'X numbers only'!$B$2:$B$151,'n,eta,X'!$A15,'X numbers only'!$D$2:$D$151,'n,eta,X'!$B15)</f>
        <v>0.51051128035155435</v>
      </c>
      <c r="V15">
        <f>AVERAGEIFS('X numbers only'!AA$2:AA$151,'X numbers only'!$B$2:$B$151,'n,eta,X'!$A15,'X numbers only'!$D$2:$D$151,'n,eta,X'!$B15)</f>
        <v>0.4487125370867715</v>
      </c>
      <c r="W15">
        <f>AVERAGEIFS('X numbers only'!AB$2:AB$151,'X numbers only'!$B$2:$B$151,'n,eta,X'!$A15,'X numbers only'!$D$2:$D$151,'n,eta,X'!$B15)</f>
        <v>7.1599931529407976E-6</v>
      </c>
      <c r="X15" s="2">
        <f>AVERAGEIFS('X numbers only'!AC$2:AC$151,'X numbers only'!$B$2:$B$151,'n,eta,X'!$A15,'X numbers only'!$D$2:$D$151,'n,eta,X'!$B15)</f>
        <v>0.83695563668037598</v>
      </c>
      <c r="Y15">
        <f t="shared" si="0"/>
        <v>443185005.86150461</v>
      </c>
    </row>
    <row r="16" spans="1:25" x14ac:dyDescent="0.3">
      <c r="A16">
        <v>5</v>
      </c>
      <c r="B16">
        <v>0.5</v>
      </c>
      <c r="C16">
        <f>AVERAGEIFS('X numbers only'!E$2:E$151,'X numbers only'!$B$2:$B$151,'n,eta,X'!$A16,'X numbers only'!$D$2:$D$151,'n,eta,X'!$B16)</f>
        <v>11</v>
      </c>
      <c r="D16">
        <f>AVERAGEIFS('X numbers only'!F$2:F$151,'X numbers only'!$B$2:$B$151,'n,eta,X'!$A16,'X numbers only'!$D$2:$D$151,'n,eta,X'!$B16)</f>
        <v>6347.8</v>
      </c>
      <c r="E16">
        <f>AVERAGEIFS('X numbers only'!G$2:G$151,'X numbers only'!$B$2:$B$151,'n,eta,X'!$A16,'X numbers only'!$D$2:$D$151,'n,eta,X'!$B16)</f>
        <v>125672.8</v>
      </c>
      <c r="F16">
        <f>AVERAGEIFS('X numbers only'!H$2:H$151,'X numbers only'!$B$2:$B$151,'n,eta,X'!$A16,'X numbers only'!$D$2:$D$151,'n,eta,X'!$B16)</f>
        <v>64.024235023783021</v>
      </c>
      <c r="G16">
        <f>AVERAGEIFS('X numbers only'!I$2:I$151,'X numbers only'!$B$2:$B$151,'n,eta,X'!$A16,'X numbers only'!$D$2:$D$151,'n,eta,X'!$B16)</f>
        <v>17108482140</v>
      </c>
      <c r="H16">
        <f>AVERAGEIFS('X numbers only'!J$2:J$151,'X numbers only'!$B$2:$B$151,'n,eta,X'!$A16,'X numbers only'!$D$2:$D$151,'n,eta,X'!$B16)</f>
        <v>84151081455</v>
      </c>
      <c r="I16" s="2">
        <f>AVERAGEIFS('X numbers only'!K$2:K$151,'X numbers only'!$B$2:$B$151,'n,eta,X'!$A16,'X numbers only'!$D$2:$D$151,'n,eta,X'!$B16)</f>
        <v>4.7337122046724014</v>
      </c>
      <c r="J16">
        <f>AVERAGEIFS('X numbers only'!L$2:L$151,'X numbers only'!$B$2:$B$151,'n,eta,X'!$A16,'X numbers only'!$D$2:$D$151,'n,eta,X'!$B16)</f>
        <v>3.6605319318436313</v>
      </c>
      <c r="K16">
        <f>AVERAGEIFS('X numbers only'!M$2:M$151,'X numbers only'!$B$2:$B$151,'n,eta,X'!$A16,'X numbers only'!$D$2:$D$151,'n,eta,X'!$B16)</f>
        <v>7.3156030042607183</v>
      </c>
      <c r="L16">
        <f>AVERAGEIFS('X numbers only'!N$2:N$151,'X numbers only'!$B$2:$B$151,'n,eta,X'!$A16,'X numbers only'!$D$2:$D$151,'n,eta,X'!$B16)</f>
        <v>0.35857233150406748</v>
      </c>
      <c r="M16">
        <f>AVERAGEIFS('X numbers only'!O$2:O$151,'X numbers only'!$B$2:$B$151,'n,eta,X'!$A16,'X numbers only'!$D$2:$D$151,'n,eta,X'!$B16)</f>
        <v>8.0731587435864061</v>
      </c>
      <c r="N16">
        <f>AVERAGEIFS('X numbers only'!Q$2:Q$151,'X numbers only'!$B$2:$B$151,'n,eta,X'!$A16,'X numbers only'!$D$2:$D$151,'n,eta,X'!$B16)</f>
        <v>1.3731419317558565E-3</v>
      </c>
      <c r="O16">
        <f>AVERAGEIFS('X numbers only'!R$2:R$151,'X numbers only'!$B$2:$B$151,'n,eta,X'!$A16,'X numbers only'!$D$2:$D$151,'n,eta,X'!$B16)</f>
        <v>0.74758750874878055</v>
      </c>
      <c r="P16">
        <f>AVERAGEIFS('X numbers only'!S$2:S$151,'X numbers only'!$B$2:$B$151,'n,eta,X'!$A16,'X numbers only'!$D$2:$D$151,'n,eta,X'!$B16)</f>
        <v>0.67364427277287953</v>
      </c>
      <c r="Q16">
        <f>AVERAGEIFS('X numbers only'!T$2:T$151,'X numbers only'!$B$2:$B$151,'n,eta,X'!$A16,'X numbers only'!$D$2:$D$151,'n,eta,X'!$B16)</f>
        <v>0.2508081655878398</v>
      </c>
      <c r="R16">
        <f>AVERAGEIFS('X numbers only'!U$2:U$151,'X numbers only'!$B$2:$B$151,'n,eta,X'!$A16,'X numbers only'!$D$2:$D$151,'n,eta,X'!$B16)</f>
        <v>2.3118373162384046E-4</v>
      </c>
      <c r="S16">
        <f>AVERAGEIFS('X numbers only'!X$2:X$151,'X numbers only'!$B$2:$B$151,'n,eta,X'!$A16,'X numbers only'!$D$2:$D$151,'n,eta,X'!$B16)</f>
        <v>2.3526204796296022E-3</v>
      </c>
      <c r="T16">
        <f>AVERAGEIFS('X numbers only'!Y$2:Y$151,'X numbers only'!$B$2:$B$151,'n,eta,X'!$A16,'X numbers only'!$D$2:$D$151,'n,eta,X'!$B16)</f>
        <v>0.60929666383217262</v>
      </c>
      <c r="U16">
        <f>AVERAGEIFS('X numbers only'!Z$2:Z$151,'X numbers only'!$B$2:$B$151,'n,eta,X'!$A16,'X numbers only'!$D$2:$D$151,'n,eta,X'!$B16)</f>
        <v>0.52151133435058739</v>
      </c>
      <c r="V16">
        <f>AVERAGEIFS('X numbers only'!AA$2:AA$151,'X numbers only'!$B$2:$B$151,'n,eta,X'!$A16,'X numbers only'!$D$2:$D$151,'n,eta,X'!$B16)</f>
        <v>0.38833412929410543</v>
      </c>
      <c r="W16">
        <f>AVERAGEIFS('X numbers only'!AB$2:AB$151,'X numbers only'!$B$2:$B$151,'n,eta,X'!$A16,'X numbers only'!$D$2:$D$151,'n,eta,X'!$B16)</f>
        <v>1.6586394092406983E-5</v>
      </c>
      <c r="X16" s="2">
        <f>AVERAGEIFS('X numbers only'!AC$2:AC$151,'X numbers only'!$B$2:$B$151,'n,eta,X'!$A16,'X numbers only'!$D$2:$D$151,'n,eta,X'!$B16)</f>
        <v>0.64189291843722507</v>
      </c>
      <c r="Y16">
        <f t="shared" si="0"/>
        <v>439037175.69551486</v>
      </c>
    </row>
    <row r="17" spans="1:25" x14ac:dyDescent="0.3">
      <c r="A17">
        <v>5</v>
      </c>
      <c r="B17">
        <v>0.65</v>
      </c>
      <c r="C17">
        <f>AVERAGEIFS('X numbers only'!E$2:E$151,'X numbers only'!$B$2:$B$151,'n,eta,X'!$A17,'X numbers only'!$D$2:$D$151,'n,eta,X'!$B17)</f>
        <v>11</v>
      </c>
      <c r="D17">
        <f>AVERAGEIFS('X numbers only'!F$2:F$151,'X numbers only'!$B$2:$B$151,'n,eta,X'!$A17,'X numbers only'!$D$2:$D$151,'n,eta,X'!$B17)</f>
        <v>6347.8</v>
      </c>
      <c r="E17">
        <f>AVERAGEIFS('X numbers only'!G$2:G$151,'X numbers only'!$B$2:$B$151,'n,eta,X'!$A17,'X numbers only'!$D$2:$D$151,'n,eta,X'!$B17)</f>
        <v>45126.400000000001</v>
      </c>
      <c r="F17">
        <f>AVERAGEIFS('X numbers only'!H$2:H$151,'X numbers only'!$B$2:$B$151,'n,eta,X'!$A17,'X numbers only'!$D$2:$D$151,'n,eta,X'!$B17)</f>
        <v>64.024235023783021</v>
      </c>
      <c r="G17">
        <f>AVERAGEIFS('X numbers only'!I$2:I$151,'X numbers only'!$B$2:$B$151,'n,eta,X'!$A17,'X numbers only'!$D$2:$D$151,'n,eta,X'!$B17)</f>
        <v>8638596740</v>
      </c>
      <c r="H17">
        <f>AVERAGEIFS('X numbers only'!J$2:J$151,'X numbers only'!$B$2:$B$151,'n,eta,X'!$A17,'X numbers only'!$D$2:$D$151,'n,eta,X'!$B17)</f>
        <v>36654211806.666664</v>
      </c>
      <c r="I17" s="2">
        <f>AVERAGEIFS('X numbers only'!K$2:K$151,'X numbers only'!$B$2:$B$151,'n,eta,X'!$A17,'X numbers only'!$D$2:$D$151,'n,eta,X'!$B17)</f>
        <v>3.90630076704428</v>
      </c>
      <c r="J17">
        <f>AVERAGEIFS('X numbers only'!L$2:L$151,'X numbers only'!$B$2:$B$151,'n,eta,X'!$A17,'X numbers only'!$D$2:$D$151,'n,eta,X'!$B17)</f>
        <v>2.7708888792019053</v>
      </c>
      <c r="K17">
        <f>AVERAGEIFS('X numbers only'!M$2:M$151,'X numbers only'!$B$2:$B$151,'n,eta,X'!$A17,'X numbers only'!$D$2:$D$151,'n,eta,X'!$B17)</f>
        <v>7.3245016618882515</v>
      </c>
      <c r="L17">
        <f>AVERAGEIFS('X numbers only'!N$2:N$151,'X numbers only'!$B$2:$B$151,'n,eta,X'!$A17,'X numbers only'!$D$2:$D$151,'n,eta,X'!$B17)</f>
        <v>0.37272586321839463</v>
      </c>
      <c r="M17">
        <f>AVERAGEIFS('X numbers only'!O$2:O$151,'X numbers only'!$B$2:$B$151,'n,eta,X'!$A17,'X numbers only'!$D$2:$D$151,'n,eta,X'!$B17)</f>
        <v>21.025601627882565</v>
      </c>
      <c r="N17">
        <f>AVERAGEIFS('X numbers only'!Q$2:Q$151,'X numbers only'!$B$2:$B$151,'n,eta,X'!$A17,'X numbers only'!$D$2:$D$151,'n,eta,X'!$B17)</f>
        <v>1.1141602661662578E-3</v>
      </c>
      <c r="O17">
        <f>AVERAGEIFS('X numbers only'!R$2:R$151,'X numbers only'!$B$2:$B$151,'n,eta,X'!$A17,'X numbers only'!$D$2:$D$151,'n,eta,X'!$B17)</f>
        <v>0.82748691927058304</v>
      </c>
      <c r="P17">
        <f>AVERAGEIFS('X numbers only'!S$2:S$151,'X numbers only'!$B$2:$B$151,'n,eta,X'!$A17,'X numbers only'!$D$2:$D$151,'n,eta,X'!$B17)</f>
        <v>0.66596460145129355</v>
      </c>
      <c r="Q17">
        <f>AVERAGEIFS('X numbers only'!T$2:T$151,'X numbers only'!$B$2:$B$151,'n,eta,X'!$A17,'X numbers only'!$D$2:$D$151,'n,eta,X'!$B17)</f>
        <v>0.1710166620855739</v>
      </c>
      <c r="R17">
        <f>AVERAGEIFS('X numbers only'!U$2:U$151,'X numbers only'!$B$2:$B$151,'n,eta,X'!$A17,'X numbers only'!$D$2:$D$151,'n,eta,X'!$B17)</f>
        <v>3.822583776767202E-4</v>
      </c>
      <c r="S17">
        <f>AVERAGEIFS('X numbers only'!X$2:X$151,'X numbers only'!$B$2:$B$151,'n,eta,X'!$A17,'X numbers only'!$D$2:$D$151,'n,eta,X'!$B17)</f>
        <v>6.0869937260566026E-3</v>
      </c>
      <c r="T17">
        <f>AVERAGEIFS('X numbers only'!Y$2:Y$151,'X numbers only'!$B$2:$B$151,'n,eta,X'!$A17,'X numbers only'!$D$2:$D$151,'n,eta,X'!$B17)</f>
        <v>0.6709077607767594</v>
      </c>
      <c r="U17">
        <f>AVERAGEIFS('X numbers only'!Z$2:Z$151,'X numbers only'!$B$2:$B$151,'n,eta,X'!$A17,'X numbers only'!$D$2:$D$151,'n,eta,X'!$B17)</f>
        <v>0.47461568965602774</v>
      </c>
      <c r="V17" t="s">
        <v>51</v>
      </c>
      <c r="W17">
        <f>AVERAGEIFS('X numbers only'!AB$2:AB$151,'X numbers only'!$B$2:$B$151,'n,eta,X'!$A17,'X numbers only'!$D$2:$D$151,'n,eta,X'!$B17)</f>
        <v>3.5850731103097629E-5</v>
      </c>
      <c r="X17" s="2">
        <f>AVERAGEIFS('X numbers only'!AC$2:AC$151,'X numbers only'!$B$2:$B$151,'n,eta,X'!$A17,'X numbers only'!$D$2:$D$151,'n,eta,X'!$B17)</f>
        <v>0.48926608387438036</v>
      </c>
      <c r="Y17">
        <f t="shared" si="0"/>
        <v>444406926.06848657</v>
      </c>
    </row>
    <row r="18" spans="1:25" x14ac:dyDescent="0.3">
      <c r="A18">
        <v>5</v>
      </c>
      <c r="B18">
        <v>0.8</v>
      </c>
      <c r="C18">
        <f>AVERAGEIFS('X numbers only'!E$2:E$151,'X numbers only'!$B$2:$B$151,'n,eta,X'!$A18,'X numbers only'!$D$2:$D$151,'n,eta,X'!$B18)</f>
        <v>11</v>
      </c>
      <c r="D18">
        <f>AVERAGEIFS('X numbers only'!F$2:F$151,'X numbers only'!$B$2:$B$151,'n,eta,X'!$A18,'X numbers only'!$D$2:$D$151,'n,eta,X'!$B18)</f>
        <v>6347.8</v>
      </c>
      <c r="E18">
        <f>AVERAGEIFS('X numbers only'!G$2:G$151,'X numbers only'!$B$2:$B$151,'n,eta,X'!$A18,'X numbers only'!$D$2:$D$151,'n,eta,X'!$B18)</f>
        <v>24029.066666666669</v>
      </c>
      <c r="F18">
        <f>AVERAGEIFS('X numbers only'!H$2:H$151,'X numbers only'!$B$2:$B$151,'n,eta,X'!$A18,'X numbers only'!$D$2:$D$151,'n,eta,X'!$B18)</f>
        <v>64.024235023783021</v>
      </c>
      <c r="G18">
        <f>AVERAGEIFS('X numbers only'!I$2:I$151,'X numbers only'!$B$2:$B$151,'n,eta,X'!$A18,'X numbers only'!$D$2:$D$151,'n,eta,X'!$B18)</f>
        <v>6132655000</v>
      </c>
      <c r="H18">
        <f>AVERAGEIFS('X numbers only'!J$2:J$151,'X numbers only'!$B$2:$B$151,'n,eta,X'!$A18,'X numbers only'!$D$2:$D$151,'n,eta,X'!$B18)</f>
        <v>23071294986.666664</v>
      </c>
      <c r="I18" s="2">
        <f>AVERAGEIFS('X numbers only'!K$2:K$151,'X numbers only'!$B$2:$B$151,'n,eta,X'!$A18,'X numbers only'!$D$2:$D$151,'n,eta,X'!$B18)</f>
        <v>3.5124786535424328</v>
      </c>
      <c r="J18">
        <f>AVERAGEIFS('X numbers only'!L$2:L$151,'X numbers only'!$B$2:$B$151,'n,eta,X'!$A18,'X numbers only'!$D$2:$D$151,'n,eta,X'!$B18)</f>
        <v>2.1177197556540945</v>
      </c>
      <c r="K18">
        <f>AVERAGEIFS('X numbers only'!M$2:M$151,'X numbers only'!$B$2:$B$151,'n,eta,X'!$A18,'X numbers only'!$D$2:$D$151,'n,eta,X'!$B18)</f>
        <v>7.2558840954227097</v>
      </c>
      <c r="L18">
        <f>AVERAGEIFS('X numbers only'!N$2:N$151,'X numbers only'!$B$2:$B$151,'n,eta,X'!$A18,'X numbers only'!$D$2:$D$151,'n,eta,X'!$B18)</f>
        <v>0.35193153841689923</v>
      </c>
      <c r="M18">
        <f>AVERAGEIFS('X numbers only'!O$2:O$151,'X numbers only'!$B$2:$B$151,'n,eta,X'!$A18,'X numbers only'!$D$2:$D$151,'n,eta,X'!$B18)</f>
        <v>34.678989669716202</v>
      </c>
      <c r="N18">
        <f>AVERAGEIFS('X numbers only'!Q$2:Q$151,'X numbers only'!$B$2:$B$151,'n,eta,X'!$A18,'X numbers only'!$D$2:$D$151,'n,eta,X'!$B18)</f>
        <v>7.7176140233450776E-4</v>
      </c>
      <c r="O18">
        <f>AVERAGEIFS('X numbers only'!R$2:R$151,'X numbers only'!$B$2:$B$151,'n,eta,X'!$A18,'X numbers only'!$D$2:$D$151,'n,eta,X'!$B18)</f>
        <v>0.87147810793714164</v>
      </c>
      <c r="P18">
        <f>AVERAGEIFS('X numbers only'!S$2:S$151,'X numbers only'!$B$2:$B$151,'n,eta,X'!$A18,'X numbers only'!$D$2:$D$151,'n,eta,X'!$B18)</f>
        <v>0.72157956433892512</v>
      </c>
      <c r="Q18">
        <f>AVERAGEIFS('X numbers only'!T$2:T$151,'X numbers only'!$B$2:$B$151,'n,eta,X'!$A18,'X numbers only'!$D$2:$D$151,'n,eta,X'!$B18)</f>
        <v>0.1271718264684448</v>
      </c>
      <c r="R18">
        <f>AVERAGEIFS('X numbers only'!U$2:U$151,'X numbers only'!$B$2:$B$151,'n,eta,X'!$A18,'X numbers only'!$D$2:$D$151,'n,eta,X'!$B18)</f>
        <v>5.7830419207904817E-4</v>
      </c>
      <c r="S18">
        <f>AVERAGEIFS('X numbers only'!X$2:X$151,'X numbers only'!$B$2:$B$151,'n,eta,X'!$A18,'X numbers only'!$D$2:$D$151,'n,eta,X'!$B18)</f>
        <v>7.4735597248108106E-3</v>
      </c>
      <c r="T18">
        <f>AVERAGEIFS('X numbers only'!Y$2:Y$151,'X numbers only'!$B$2:$B$151,'n,eta,X'!$A18,'X numbers only'!$D$2:$D$151,'n,eta,X'!$B18)</f>
        <v>0.73002413571167657</v>
      </c>
      <c r="U18">
        <f>AVERAGEIFS('X numbers only'!Z$2:Z$151,'X numbers only'!$B$2:$B$151,'n,eta,X'!$A18,'X numbers only'!$D$2:$D$151,'n,eta,X'!$B18)</f>
        <v>0.43362786099661649</v>
      </c>
      <c r="V18">
        <f>AVERAGEIFS('X numbers only'!AA$2:AA$151,'X numbers only'!$B$2:$B$151,'n,eta,X'!$A18,'X numbers only'!$D$2:$D$151,'n,eta,X'!$B18)</f>
        <v>0.26244634365535779</v>
      </c>
      <c r="W18">
        <f>AVERAGEIFS('X numbers only'!AB$2:AB$151,'X numbers only'!$B$2:$B$151,'n,eta,X'!$A18,'X numbers only'!$D$2:$D$151,'n,eta,X'!$B18)</f>
        <v>5.596090815488998E-5</v>
      </c>
      <c r="X18" s="2">
        <f>AVERAGEIFS('X numbers only'!AC$2:AC$151,'X numbers only'!$B$2:$B$151,'n,eta,X'!$A18,'X numbers only'!$D$2:$D$151,'n,eta,X'!$B18)</f>
        <v>0.36021078874583595</v>
      </c>
      <c r="Y18">
        <f t="shared" si="0"/>
        <v>404485881.66039914</v>
      </c>
    </row>
    <row r="19" spans="1:25" x14ac:dyDescent="0.3">
      <c r="A19">
        <v>5</v>
      </c>
      <c r="B19">
        <v>0.95</v>
      </c>
      <c r="C19">
        <f>AVERAGEIFS('X numbers only'!E$2:E$151,'X numbers only'!$B$2:$B$151,'n,eta,X'!$A19,'X numbers only'!$D$2:$D$151,'n,eta,X'!$B19)</f>
        <v>11</v>
      </c>
      <c r="D19">
        <f>AVERAGEIFS('X numbers only'!F$2:F$151,'X numbers only'!$B$2:$B$151,'n,eta,X'!$A19,'X numbers only'!$D$2:$D$151,'n,eta,X'!$B19)</f>
        <v>6347.8</v>
      </c>
      <c r="E19">
        <f>AVERAGEIFS('X numbers only'!G$2:G$151,'X numbers only'!$B$2:$B$151,'n,eta,X'!$A19,'X numbers only'!$D$2:$D$151,'n,eta,X'!$B19)</f>
        <v>10852.8</v>
      </c>
      <c r="F19">
        <f>AVERAGEIFS('X numbers only'!H$2:H$151,'X numbers only'!$B$2:$B$151,'n,eta,X'!$A19,'X numbers only'!$D$2:$D$151,'n,eta,X'!$B19)</f>
        <v>64.024235023783021</v>
      </c>
      <c r="G19">
        <f>AVERAGEIFS('X numbers only'!I$2:I$151,'X numbers only'!$B$2:$B$151,'n,eta,X'!$A19,'X numbers only'!$D$2:$D$151,'n,eta,X'!$B19)</f>
        <v>4575559260</v>
      </c>
      <c r="H19">
        <f>AVERAGEIFS('X numbers only'!J$2:J$151,'X numbers only'!$B$2:$B$151,'n,eta,X'!$A19,'X numbers only'!$D$2:$D$151,'n,eta,X'!$B19)</f>
        <v>14865147926.666668</v>
      </c>
      <c r="I19" s="2">
        <f>AVERAGEIFS('X numbers only'!K$2:K$151,'X numbers only'!$B$2:$B$151,'n,eta,X'!$A19,'X numbers only'!$D$2:$D$151,'n,eta,X'!$B19)</f>
        <v>3.0991081872471185</v>
      </c>
      <c r="J19">
        <f>AVERAGEIFS('X numbers only'!L$2:L$151,'X numbers only'!$B$2:$B$151,'n,eta,X'!$A19,'X numbers only'!$D$2:$D$151,'n,eta,X'!$B19)</f>
        <v>1.2543233123247277</v>
      </c>
      <c r="K19">
        <f>AVERAGEIFS('X numbers only'!M$2:M$151,'X numbers only'!$B$2:$B$151,'n,eta,X'!$A19,'X numbers only'!$D$2:$D$151,'n,eta,X'!$B19)</f>
        <v>7.0841773386516733</v>
      </c>
      <c r="L19">
        <f>AVERAGEIFS('X numbers only'!N$2:N$151,'X numbers only'!$B$2:$B$151,'n,eta,X'!$A19,'X numbers only'!$D$2:$D$151,'n,eta,X'!$B19)</f>
        <v>0.36735120853106951</v>
      </c>
      <c r="M19">
        <f>AVERAGEIFS('X numbers only'!O$2:O$151,'X numbers only'!$B$2:$B$151,'n,eta,X'!$A19,'X numbers only'!$D$2:$D$151,'n,eta,X'!$B19)</f>
        <v>75.538310974208343</v>
      </c>
      <c r="N19">
        <f>AVERAGEIFS('X numbers only'!Q$2:Q$151,'X numbers only'!$B$2:$B$151,'n,eta,X'!$A19,'X numbers only'!$D$2:$D$151,'n,eta,X'!$B19)</f>
        <v>5.0663693865773171E-4</v>
      </c>
      <c r="O19">
        <f>AVERAGEIFS('X numbers only'!R$2:R$151,'X numbers only'!$B$2:$B$151,'n,eta,X'!$A19,'X numbers only'!$D$2:$D$151,'n,eta,X'!$B19)</f>
        <v>0.90661388611543892</v>
      </c>
      <c r="P19">
        <f>AVERAGEIFS('X numbers only'!S$2:S$151,'X numbers only'!$B$2:$B$151,'n,eta,X'!$A19,'X numbers only'!$D$2:$D$151,'n,eta,X'!$B19)</f>
        <v>0.75383062847517712</v>
      </c>
      <c r="Q19">
        <f>AVERAGEIFS('X numbers only'!T$2:T$151,'X numbers only'!$B$2:$B$151,'n,eta,X'!$A19,'X numbers only'!$D$2:$D$151,'n,eta,X'!$B19)</f>
        <v>9.2133940869414371E-2</v>
      </c>
      <c r="R19">
        <f>AVERAGEIFS('X numbers only'!U$2:U$151,'X numbers only'!$B$2:$B$151,'n,eta,X'!$A19,'X numbers only'!$D$2:$D$151,'n,eta,X'!$B19)</f>
        <v>7.4553607648895957E-4</v>
      </c>
      <c r="S19">
        <f>AVERAGEIFS('X numbers only'!X$2:X$151,'X numbers only'!$B$2:$B$151,'n,eta,X'!$A19,'X numbers only'!$D$2:$D$151,'n,eta,X'!$B19)</f>
        <v>1.1761688095176356E-2</v>
      </c>
      <c r="T19">
        <f>AVERAGEIFS('X numbers only'!Y$2:Y$151,'X numbers only'!$B$2:$B$151,'n,eta,X'!$A19,'X numbers only'!$D$2:$D$151,'n,eta,X'!$B19)</f>
        <v>0.77307457776174526</v>
      </c>
      <c r="U19">
        <f>AVERAGEIFS('X numbers only'!Z$2:Z$151,'X numbers only'!$B$2:$B$151,'n,eta,X'!$A19,'X numbers only'!$D$2:$D$151,'n,eta,X'!$B19)</f>
        <v>0.30672787486705333</v>
      </c>
      <c r="V19">
        <f>AVERAGEIFS('X numbers only'!AA$2:AA$151,'X numbers only'!$B$2:$B$151,'n,eta,X'!$A19,'X numbers only'!$D$2:$D$151,'n,eta,X'!$B19)</f>
        <v>0.21507737703427904</v>
      </c>
      <c r="W19">
        <f>AVERAGEIFS('X numbers only'!AB$2:AB$151,'X numbers only'!$B$2:$B$151,'n,eta,X'!$A19,'X numbers only'!$D$2:$D$151,'n,eta,X'!$B19)</f>
        <v>8.6357108799292316E-5</v>
      </c>
      <c r="X19" s="2">
        <f>AVERAGEIFS('X numbers only'!AC$2:AC$151,'X numbers only'!$B$2:$B$151,'n,eta,X'!$A19,'X numbers only'!$D$2:$D$151,'n,eta,X'!$B19)</f>
        <v>0.29842630548558124</v>
      </c>
      <c r="Y19">
        <f t="shared" si="0"/>
        <v>318342222.33764666</v>
      </c>
    </row>
    <row r="20" spans="1:25" x14ac:dyDescent="0.3">
      <c r="A20">
        <v>6</v>
      </c>
      <c r="B20">
        <v>0.2</v>
      </c>
      <c r="C20">
        <f>AVERAGEIFS('X numbers only'!E$2:E$151,'X numbers only'!$B$2:$B$151,'n,eta,X'!$A20,'X numbers only'!$D$2:$D$151,'n,eta,X'!$B20)</f>
        <v>10</v>
      </c>
      <c r="D20">
        <f>AVERAGEIFS('X numbers only'!F$2:F$151,'X numbers only'!$B$2:$B$151,'n,eta,X'!$A20,'X numbers only'!$D$2:$D$151,'n,eta,X'!$B20)</f>
        <v>3173.4</v>
      </c>
      <c r="E20">
        <f>AVERAGEIFS('X numbers only'!G$2:G$151,'X numbers only'!$B$2:$B$151,'n,eta,X'!$A20,'X numbers only'!$D$2:$D$151,'n,eta,X'!$B20)</f>
        <v>757356.8</v>
      </c>
      <c r="F20">
        <f>AVERAGEIFS('X numbers only'!H$2:H$151,'X numbers only'!$B$2:$B$151,'n,eta,X'!$A20,'X numbers only'!$D$2:$D$151,'n,eta,X'!$B20)</f>
        <v>128.09700529955091</v>
      </c>
      <c r="G20">
        <f>AVERAGEIFS('X numbers only'!I$2:I$151,'X numbers only'!$B$2:$B$151,'n,eta,X'!$A20,'X numbers only'!$D$2:$D$151,'n,eta,X'!$B20)</f>
        <v>179431524433.33334</v>
      </c>
      <c r="H20">
        <f>AVERAGEIFS('X numbers only'!J$2:J$151,'X numbers only'!$B$2:$B$151,'n,eta,X'!$A20,'X numbers only'!$D$2:$D$151,'n,eta,X'!$B20)</f>
        <v>1125910401840</v>
      </c>
      <c r="I20" s="2">
        <f>AVERAGEIFS('X numbers only'!K$2:K$151,'X numbers only'!$B$2:$B$151,'n,eta,X'!$A20,'X numbers only'!$D$2:$D$151,'n,eta,X'!$B20)</f>
        <v>6.3264476787856854</v>
      </c>
      <c r="J20">
        <f>AVERAGEIFS('X numbers only'!L$2:L$151,'X numbers only'!$B$2:$B$151,'n,eta,X'!$A20,'X numbers only'!$D$2:$D$151,'n,eta,X'!$B20)</f>
        <v>3.7502226602540034</v>
      </c>
      <c r="K20">
        <f>AVERAGEIFS('X numbers only'!M$2:M$151,'X numbers only'!$B$2:$B$151,'n,eta,X'!$A20,'X numbers only'!$D$2:$D$151,'n,eta,X'!$B20)</f>
        <v>7.6523231199043753</v>
      </c>
      <c r="L20">
        <f>AVERAGEIFS('X numbers only'!N$2:N$151,'X numbers only'!$B$2:$B$151,'n,eta,X'!$A20,'X numbers only'!$D$2:$D$151,'n,eta,X'!$B20)</f>
        <v>0.2789539978528176</v>
      </c>
      <c r="M20">
        <f>AVERAGEIFS('X numbers only'!O$2:O$151,'X numbers only'!$B$2:$B$151,'n,eta,X'!$A20,'X numbers only'!$D$2:$D$151,'n,eta,X'!$B20)</f>
        <v>1.7405942564614656</v>
      </c>
      <c r="N20">
        <f>AVERAGEIFS('X numbers only'!Q$2:Q$151,'X numbers only'!$B$2:$B$151,'n,eta,X'!$A20,'X numbers only'!$D$2:$D$151,'n,eta,X'!$B20)</f>
        <v>6.6345634351538843E-4</v>
      </c>
      <c r="O20">
        <f>AVERAGEIFS('X numbers only'!R$2:R$151,'X numbers only'!$B$2:$B$151,'n,eta,X'!$A20,'X numbers only'!$D$2:$D$151,'n,eta,X'!$B20)</f>
        <v>0.36941250049871177</v>
      </c>
      <c r="P20">
        <f>AVERAGEIFS('X numbers only'!S$2:S$151,'X numbers only'!$B$2:$B$151,'n,eta,X'!$A20,'X numbers only'!$D$2:$D$151,'n,eta,X'!$B20)</f>
        <v>0.35957495289257169</v>
      </c>
      <c r="Q20">
        <f>AVERAGEIFS('X numbers only'!T$2:T$151,'X numbers only'!$B$2:$B$151,'n,eta,X'!$A20,'X numbers only'!$D$2:$D$151,'n,eta,X'!$B20)</f>
        <v>0.62988215749576149</v>
      </c>
      <c r="R20">
        <f>AVERAGEIFS('X numbers only'!U$2:U$151,'X numbers only'!$B$2:$B$151,'n,eta,X'!$A20,'X numbers only'!$D$2:$D$151,'n,eta,X'!$B20)</f>
        <v>4.1885662011281307E-5</v>
      </c>
      <c r="S20">
        <f>AVERAGEIFS('X numbers only'!X$2:X$151,'X numbers only'!$B$2:$B$151,'n,eta,X'!$A20,'X numbers only'!$D$2:$D$151,'n,eta,X'!$B20)</f>
        <v>1.8089559929388384E-4</v>
      </c>
      <c r="T20">
        <f>AVERAGEIFS('X numbers only'!Y$2:Y$151,'X numbers only'!$B$2:$B$151,'n,eta,X'!$A20,'X numbers only'!$D$2:$D$151,'n,eta,X'!$B20)</f>
        <v>0.240330598743934</v>
      </c>
      <c r="U20">
        <f>AVERAGEIFS('X numbers only'!Z$2:Z$151,'X numbers only'!$B$2:$B$151,'n,eta,X'!$A20,'X numbers only'!$D$2:$D$151,'n,eta,X'!$B20)</f>
        <v>0.22824400680209936</v>
      </c>
      <c r="V20">
        <f>AVERAGEIFS('X numbers only'!AA$2:AA$151,'X numbers only'!$B$2:$B$151,'n,eta,X'!$A20,'X numbers only'!$D$2:$D$151,'n,eta,X'!$B20)</f>
        <v>0.75948679829302079</v>
      </c>
      <c r="W20">
        <f>AVERAGEIFS('X numbers only'!AB$2:AB$151,'X numbers only'!$B$2:$B$151,'n,eta,X'!$A20,'X numbers only'!$D$2:$D$151,'n,eta,X'!$B20)</f>
        <v>1.7073637513700366E-6</v>
      </c>
      <c r="X20" s="2">
        <f>AVERAGEIFS('X numbers only'!AC$2:AC$151,'X numbers only'!$B$2:$B$151,'n,eta,X'!$A20,'X numbers only'!$D$2:$D$151,'n,eta,X'!$B20)</f>
        <v>4.4038127766679631</v>
      </c>
      <c r="Y20">
        <f t="shared" si="0"/>
        <v>688546061.70516777</v>
      </c>
    </row>
    <row r="21" spans="1:25" x14ac:dyDescent="0.3">
      <c r="A21">
        <v>6</v>
      </c>
      <c r="B21">
        <v>0.35</v>
      </c>
      <c r="C21">
        <f>AVERAGEIFS('X numbers only'!E$2:E$151,'X numbers only'!$B$2:$B$151,'n,eta,X'!$A21,'X numbers only'!$D$2:$D$151,'n,eta,X'!$B21)</f>
        <v>10</v>
      </c>
      <c r="D21">
        <f>AVERAGEIFS('X numbers only'!F$2:F$151,'X numbers only'!$B$2:$B$151,'n,eta,X'!$A21,'X numbers only'!$D$2:$D$151,'n,eta,X'!$B21)</f>
        <v>3173.4</v>
      </c>
      <c r="E21">
        <f>AVERAGEIFS('X numbers only'!G$2:G$151,'X numbers only'!$B$2:$B$151,'n,eta,X'!$A21,'X numbers only'!$D$2:$D$151,'n,eta,X'!$B21)</f>
        <v>177529.06666666665</v>
      </c>
      <c r="F21">
        <f>AVERAGEIFS('X numbers only'!H$2:H$151,'X numbers only'!$B$2:$B$151,'n,eta,X'!$A21,'X numbers only'!$D$2:$D$151,'n,eta,X'!$B21)</f>
        <v>128.09700529955091</v>
      </c>
      <c r="G21">
        <f>AVERAGEIFS('X numbers only'!I$2:I$151,'X numbers only'!$B$2:$B$151,'n,eta,X'!$A21,'X numbers only'!$D$2:$D$151,'n,eta,X'!$B21)</f>
        <v>54315150413.333336</v>
      </c>
      <c r="H21">
        <f>AVERAGEIFS('X numbers only'!J$2:J$151,'X numbers only'!$B$2:$B$151,'n,eta,X'!$A21,'X numbers only'!$D$2:$D$151,'n,eta,X'!$B21)</f>
        <v>305625704400</v>
      </c>
      <c r="I21" s="2">
        <f>AVERAGEIFS('X numbers only'!K$2:K$151,'X numbers only'!$B$2:$B$151,'n,eta,X'!$A21,'X numbers only'!$D$2:$D$151,'n,eta,X'!$B21)</f>
        <v>5.453358186990461</v>
      </c>
      <c r="J21">
        <f>AVERAGEIFS('X numbers only'!L$2:L$151,'X numbers only'!$B$2:$B$151,'n,eta,X'!$A21,'X numbers only'!$D$2:$D$151,'n,eta,X'!$B21)</f>
        <v>3.5991534760551716</v>
      </c>
      <c r="K21">
        <f>AVERAGEIFS('X numbers only'!M$2:M$151,'X numbers only'!$B$2:$B$151,'n,eta,X'!$A21,'X numbers only'!$D$2:$D$151,'n,eta,X'!$B21)</f>
        <v>7.6922304748691017</v>
      </c>
      <c r="L21">
        <f>AVERAGEIFS('X numbers only'!N$2:N$151,'X numbers only'!$B$2:$B$151,'n,eta,X'!$A21,'X numbers only'!$D$2:$D$151,'n,eta,X'!$B21)</f>
        <v>0.39086938546111033</v>
      </c>
      <c r="M21">
        <f>AVERAGEIFS('X numbers only'!O$2:O$151,'X numbers only'!$B$2:$B$151,'n,eta,X'!$A21,'X numbers only'!$D$2:$D$151,'n,eta,X'!$B21)</f>
        <v>4.9020732499524273</v>
      </c>
      <c r="N21">
        <f>AVERAGEIFS('X numbers only'!Q$2:Q$151,'X numbers only'!$B$2:$B$151,'n,eta,X'!$A21,'X numbers only'!$D$2:$D$151,'n,eta,X'!$B21)</f>
        <v>5.2220029073201703E-4</v>
      </c>
      <c r="O21">
        <f>AVERAGEIFS('X numbers only'!R$2:R$151,'X numbers only'!$B$2:$B$151,'n,eta,X'!$A21,'X numbers only'!$D$2:$D$151,'n,eta,X'!$B21)</f>
        <v>0.56331711377055238</v>
      </c>
      <c r="P21">
        <f>AVERAGEIFS('X numbers only'!S$2:S$151,'X numbers only'!$B$2:$B$151,'n,eta,X'!$A21,'X numbers only'!$D$2:$D$151,'n,eta,X'!$B21)</f>
        <v>0.52715559515978661</v>
      </c>
      <c r="Q21">
        <f>AVERAGEIFS('X numbers only'!T$2:T$151,'X numbers only'!$B$2:$B$151,'n,eta,X'!$A21,'X numbers only'!$D$2:$D$151,'n,eta,X'!$B21)</f>
        <v>0.43608051078664206</v>
      </c>
      <c r="R21">
        <f>AVERAGEIFS('X numbers only'!U$2:U$151,'X numbers only'!$B$2:$B$151,'n,eta,X'!$A21,'X numbers only'!$D$2:$D$151,'n,eta,X'!$B21)</f>
        <v>8.0175152073547884E-5</v>
      </c>
      <c r="S21">
        <f>AVERAGEIFS('X numbers only'!X$2:X$151,'X numbers only'!$B$2:$B$151,'n,eta,X'!$A21,'X numbers only'!$D$2:$D$151,'n,eta,X'!$B21)</f>
        <v>4.6915181087712262E-4</v>
      </c>
      <c r="T21">
        <f>AVERAGEIFS('X numbers only'!Y$2:Y$151,'X numbers only'!$B$2:$B$151,'n,eta,X'!$A21,'X numbers only'!$D$2:$D$151,'n,eta,X'!$B21)</f>
        <v>0.38380544056993265</v>
      </c>
      <c r="U21">
        <f>AVERAGEIFS('X numbers only'!Z$2:Z$151,'X numbers only'!$B$2:$B$151,'n,eta,X'!$A21,'X numbers only'!$D$2:$D$151,'n,eta,X'!$B21)</f>
        <v>0.34928682592602411</v>
      </c>
      <c r="V21">
        <f>AVERAGEIFS('X numbers only'!AA$2:AA$151,'X numbers only'!$B$2:$B$151,'n,eta,X'!$A21,'X numbers only'!$D$2:$D$151,'n,eta,X'!$B21)</f>
        <v>0.61572009375845582</v>
      </c>
      <c r="W21">
        <f>AVERAGEIFS('X numbers only'!AB$2:AB$151,'X numbers only'!$B$2:$B$151,'n,eta,X'!$A21,'X numbers only'!$D$2:$D$151,'n,eta,X'!$B21)</f>
        <v>5.3138607343880073E-6</v>
      </c>
      <c r="X21" s="2">
        <f>AVERAGEIFS('X numbers only'!AC$2:AC$151,'X numbers only'!$B$2:$B$151,'n,eta,X'!$A21,'X numbers only'!$D$2:$D$151,'n,eta,X'!$B21)</f>
        <v>1.6440343807656135</v>
      </c>
      <c r="Y21">
        <f t="shared" si="0"/>
        <v>725308690.42106807</v>
      </c>
    </row>
    <row r="22" spans="1:25" x14ac:dyDescent="0.3">
      <c r="A22">
        <v>6</v>
      </c>
      <c r="B22">
        <v>0.5</v>
      </c>
      <c r="C22">
        <f>AVERAGEIFS('X numbers only'!E$2:E$151,'X numbers only'!$B$2:$B$151,'n,eta,X'!$A22,'X numbers only'!$D$2:$D$151,'n,eta,X'!$B22)</f>
        <v>10</v>
      </c>
      <c r="D22">
        <f>AVERAGEIFS('X numbers only'!F$2:F$151,'X numbers only'!$B$2:$B$151,'n,eta,X'!$A22,'X numbers only'!$D$2:$D$151,'n,eta,X'!$B22)</f>
        <v>3173.4</v>
      </c>
      <c r="E22">
        <f>AVERAGEIFS('X numbers only'!G$2:G$151,'X numbers only'!$B$2:$B$151,'n,eta,X'!$A22,'X numbers only'!$D$2:$D$151,'n,eta,X'!$B22)</f>
        <v>66495</v>
      </c>
      <c r="F22">
        <f>AVERAGEIFS('X numbers only'!H$2:H$151,'X numbers only'!$B$2:$B$151,'n,eta,X'!$A22,'X numbers only'!$D$2:$D$151,'n,eta,X'!$B22)</f>
        <v>128.09700529955091</v>
      </c>
      <c r="G22">
        <f>AVERAGEIFS('X numbers only'!I$2:I$151,'X numbers only'!$B$2:$B$151,'n,eta,X'!$A22,'X numbers only'!$D$2:$D$151,'n,eta,X'!$B22)</f>
        <v>26076897655</v>
      </c>
      <c r="H22">
        <f>AVERAGEIFS('X numbers only'!J$2:J$151,'X numbers only'!$B$2:$B$151,'n,eta,X'!$A22,'X numbers only'!$D$2:$D$151,'n,eta,X'!$B22)</f>
        <v>128249319245</v>
      </c>
      <c r="I22" s="2">
        <f>AVERAGEIFS('X numbers only'!K$2:K$151,'X numbers only'!$B$2:$B$151,'n,eta,X'!$A22,'X numbers only'!$D$2:$D$151,'n,eta,X'!$B22)</f>
        <v>4.6888202002486867</v>
      </c>
      <c r="J22">
        <f>AVERAGEIFS('X numbers only'!L$2:L$151,'X numbers only'!$B$2:$B$151,'n,eta,X'!$A22,'X numbers only'!$D$2:$D$151,'n,eta,X'!$B22)</f>
        <v>2.8906338734152093</v>
      </c>
      <c r="K22">
        <f>AVERAGEIFS('X numbers only'!M$2:M$151,'X numbers only'!$B$2:$B$151,'n,eta,X'!$A22,'X numbers only'!$D$2:$D$151,'n,eta,X'!$B22)</f>
        <v>7.7128056456587188</v>
      </c>
      <c r="L22">
        <f>AVERAGEIFS('X numbers only'!N$2:N$151,'X numbers only'!$B$2:$B$151,'n,eta,X'!$A22,'X numbers only'!$D$2:$D$151,'n,eta,X'!$B22)</f>
        <v>0.33962217456198363</v>
      </c>
      <c r="M22">
        <f>AVERAGEIFS('X numbers only'!O$2:O$151,'X numbers only'!$B$2:$B$151,'n,eta,X'!$A22,'X numbers only'!$D$2:$D$151,'n,eta,X'!$B22)</f>
        <v>12.215896548012392</v>
      </c>
      <c r="N22">
        <f>AVERAGEIFS('X numbers only'!Q$2:Q$151,'X numbers only'!$B$2:$B$151,'n,eta,X'!$A22,'X numbers only'!$D$2:$D$151,'n,eta,X'!$B22)</f>
        <v>4.8542468008364617E-4</v>
      </c>
      <c r="O22">
        <f>AVERAGEIFS('X numbers only'!R$2:R$151,'X numbers only'!$B$2:$B$151,'n,eta,X'!$A22,'X numbers only'!$D$2:$D$151,'n,eta,X'!$B22)</f>
        <v>0.66606178807365435</v>
      </c>
      <c r="P22">
        <f>AVERAGEIFS('X numbers only'!S$2:S$151,'X numbers only'!$B$2:$B$151,'n,eta,X'!$A22,'X numbers only'!$D$2:$D$151,'n,eta,X'!$B22)</f>
        <v>0.61055491074063739</v>
      </c>
      <c r="Q22">
        <f>AVERAGEIFS('X numbers only'!T$2:T$151,'X numbers only'!$B$2:$B$151,'n,eta,X'!$A22,'X numbers only'!$D$2:$D$151,'n,eta,X'!$B22)</f>
        <v>0.33328914439130219</v>
      </c>
      <c r="R22">
        <f>AVERAGEIFS('X numbers only'!U$2:U$151,'X numbers only'!$B$2:$B$151,'n,eta,X'!$A22,'X numbers only'!$D$2:$D$151,'n,eta,X'!$B22)</f>
        <v>1.6364285495976176E-4</v>
      </c>
      <c r="S22">
        <f>AVERAGEIFS('X numbers only'!X$2:X$151,'X numbers only'!$B$2:$B$151,'n,eta,X'!$A22,'X numbers only'!$D$2:$D$151,'n,eta,X'!$B22)</f>
        <v>1.2721195646342534E-3</v>
      </c>
      <c r="T22">
        <f>AVERAGEIFS('X numbers only'!Y$2:Y$151,'X numbers only'!$B$2:$B$151,'n,eta,X'!$A22,'X numbers only'!$D$2:$D$151,'n,eta,X'!$B22)</f>
        <v>0.44907428175158604</v>
      </c>
      <c r="U22">
        <f>AVERAGEIFS('X numbers only'!Z$2:Z$151,'X numbers only'!$B$2:$B$151,'n,eta,X'!$A22,'X numbers only'!$D$2:$D$151,'n,eta,X'!$B22)</f>
        <v>0.37645531207518557</v>
      </c>
      <c r="V22">
        <f>AVERAGEIFS('X numbers only'!AA$2:AA$151,'X numbers only'!$B$2:$B$151,'n,eta,X'!$A22,'X numbers only'!$D$2:$D$151,'n,eta,X'!$B22)</f>
        <v>0.54964217157659867</v>
      </c>
      <c r="W22">
        <f>AVERAGEIFS('X numbers only'!AB$2:AB$151,'X numbers only'!$B$2:$B$151,'n,eta,X'!$A22,'X numbers only'!$D$2:$D$151,'n,eta,X'!$B22)</f>
        <v>1.1427107181101804E-5</v>
      </c>
      <c r="X22" s="2">
        <f>AVERAGEIFS('X numbers only'!AC$2:AC$151,'X numbers only'!$B$2:$B$151,'n,eta,X'!$A22,'X numbers only'!$D$2:$D$151,'n,eta,X'!$B22)</f>
        <v>1.2395070692933892</v>
      </c>
      <c r="Y22">
        <f t="shared" si="0"/>
        <v>744944430.4291662</v>
      </c>
    </row>
    <row r="23" spans="1:25" x14ac:dyDescent="0.3">
      <c r="A23">
        <v>6</v>
      </c>
      <c r="B23">
        <v>0.65</v>
      </c>
      <c r="C23">
        <f>AVERAGEIFS('X numbers only'!E$2:E$151,'X numbers only'!$B$2:$B$151,'n,eta,X'!$A23,'X numbers only'!$D$2:$D$151,'n,eta,X'!$B23)</f>
        <v>10</v>
      </c>
      <c r="D23">
        <f>AVERAGEIFS('X numbers only'!F$2:F$151,'X numbers only'!$B$2:$B$151,'n,eta,X'!$A23,'X numbers only'!$D$2:$D$151,'n,eta,X'!$B23)</f>
        <v>3173.4</v>
      </c>
      <c r="E23">
        <f>AVERAGEIFS('X numbers only'!G$2:G$151,'X numbers only'!$B$2:$B$151,'n,eta,X'!$A23,'X numbers only'!$D$2:$D$151,'n,eta,X'!$B23)</f>
        <v>25764.266666666666</v>
      </c>
      <c r="F23">
        <f>AVERAGEIFS('X numbers only'!H$2:H$151,'X numbers only'!$B$2:$B$151,'n,eta,X'!$A23,'X numbers only'!$D$2:$D$151,'n,eta,X'!$B23)</f>
        <v>128.09700529955091</v>
      </c>
      <c r="G23">
        <f>AVERAGEIFS('X numbers only'!I$2:I$151,'X numbers only'!$B$2:$B$151,'n,eta,X'!$A23,'X numbers only'!$D$2:$D$151,'n,eta,X'!$B23)</f>
        <v>14239220513.333332</v>
      </c>
      <c r="H23">
        <f>AVERAGEIFS('X numbers only'!J$2:J$151,'X numbers only'!$B$2:$B$151,'n,eta,X'!$A23,'X numbers only'!$D$2:$D$151,'n,eta,X'!$B23)</f>
        <v>55380919160</v>
      </c>
      <c r="I23" s="2">
        <f>AVERAGEIFS('X numbers only'!K$2:K$151,'X numbers only'!$B$2:$B$151,'n,eta,X'!$A23,'X numbers only'!$D$2:$D$151,'n,eta,X'!$B23)</f>
        <v>3.5848442109559202</v>
      </c>
      <c r="J23">
        <f>AVERAGEIFS('X numbers only'!L$2:L$151,'X numbers only'!$B$2:$B$151,'n,eta,X'!$A23,'X numbers only'!$D$2:$D$151,'n,eta,X'!$B23)</f>
        <v>1.9414327242964766</v>
      </c>
      <c r="K23">
        <f>AVERAGEIFS('X numbers only'!M$2:M$151,'X numbers only'!$B$2:$B$151,'n,eta,X'!$A23,'X numbers only'!$D$2:$D$151,'n,eta,X'!$B23)</f>
        <v>7.6829116442782377</v>
      </c>
      <c r="L23">
        <f>AVERAGEIFS('X numbers only'!N$2:N$151,'X numbers only'!$B$2:$B$151,'n,eta,X'!$A23,'X numbers only'!$D$2:$D$151,'n,eta,X'!$B23)</f>
        <v>0.36804121411148288</v>
      </c>
      <c r="M23">
        <f>AVERAGEIFS('X numbers only'!O$2:O$151,'X numbers only'!$B$2:$B$151,'n,eta,X'!$A23,'X numbers only'!$D$2:$D$151,'n,eta,X'!$B23)</f>
        <v>33.786062844192521</v>
      </c>
      <c r="N23">
        <f>AVERAGEIFS('X numbers only'!Q$2:Q$151,'X numbers only'!$B$2:$B$151,'n,eta,X'!$A23,'X numbers only'!$D$2:$D$151,'n,eta,X'!$B23)</f>
        <v>2.9799410164943837E-4</v>
      </c>
      <c r="O23">
        <f>AVERAGEIFS('X numbers only'!R$2:R$151,'X numbers only'!$B$2:$B$151,'n,eta,X'!$A23,'X numbers only'!$D$2:$D$151,'n,eta,X'!$B23)</f>
        <v>0.7797034855728644</v>
      </c>
      <c r="P23">
        <f>AVERAGEIFS('X numbers only'!S$2:S$151,'X numbers only'!$B$2:$B$151,'n,eta,X'!$A23,'X numbers only'!$D$2:$D$151,'n,eta,X'!$B23)</f>
        <v>0.66623308631340739</v>
      </c>
      <c r="Q23">
        <f>AVERAGEIFS('X numbers only'!T$2:T$151,'X numbers only'!$B$2:$B$151,'n,eta,X'!$A23,'X numbers only'!$D$2:$D$151,'n,eta,X'!$B23)</f>
        <v>0.21975082135071911</v>
      </c>
      <c r="R23">
        <f>AVERAGEIFS('X numbers only'!U$2:U$151,'X numbers only'!$B$2:$B$151,'n,eta,X'!$A23,'X numbers only'!$D$2:$D$151,'n,eta,X'!$B23)</f>
        <v>2.4769897476714691E-4</v>
      </c>
      <c r="S23">
        <f>AVERAGEIFS('X numbers only'!X$2:X$151,'X numbers only'!$B$2:$B$151,'n,eta,X'!$A23,'X numbers only'!$D$2:$D$151,'n,eta,X'!$B23)</f>
        <v>2.8051718144788294E-3</v>
      </c>
      <c r="T23">
        <f>AVERAGEIFS('X numbers only'!Y$2:Y$151,'X numbers only'!$B$2:$B$151,'n,eta,X'!$A23,'X numbers only'!$D$2:$D$151,'n,eta,X'!$B23)</f>
        <v>0.52619180250812003</v>
      </c>
      <c r="U23">
        <f>AVERAGEIFS('X numbers only'!Z$2:Z$151,'X numbers only'!$B$2:$B$151,'n,eta,X'!$A23,'X numbers only'!$D$2:$D$151,'n,eta,X'!$B23)</f>
        <v>0.36275895809072745</v>
      </c>
      <c r="V23">
        <f>AVERAGEIFS('X numbers only'!AA$2:AA$151,'X numbers only'!$B$2:$B$151,'n,eta,X'!$A23,'X numbers only'!$D$2:$D$151,'n,eta,X'!$B23)</f>
        <v>0.47097848915273949</v>
      </c>
      <c r="W23">
        <f>AVERAGEIFS('X numbers only'!AB$2:AB$151,'X numbers only'!$B$2:$B$151,'n,eta,X'!$A23,'X numbers only'!$D$2:$D$151,'n,eta,X'!$B23)</f>
        <v>2.4536524661470977E-5</v>
      </c>
      <c r="X23" s="2">
        <f>AVERAGEIFS('X numbers only'!AC$2:AC$151,'X numbers only'!$B$2:$B$151,'n,eta,X'!$A23,'X numbers only'!$D$2:$D$151,'n,eta,X'!$B23)</f>
        <v>0.90858247622893895</v>
      </c>
      <c r="Y23">
        <f t="shared" si="0"/>
        <v>716569612.33872652</v>
      </c>
    </row>
    <row r="24" spans="1:25" x14ac:dyDescent="0.3">
      <c r="A24">
        <v>6</v>
      </c>
      <c r="B24">
        <v>0.8</v>
      </c>
      <c r="C24">
        <f>AVERAGEIFS('X numbers only'!E$2:E$151,'X numbers only'!$B$2:$B$151,'n,eta,X'!$A24,'X numbers only'!$D$2:$D$151,'n,eta,X'!$B24)</f>
        <v>10</v>
      </c>
      <c r="D24">
        <f>AVERAGEIFS('X numbers only'!F$2:F$151,'X numbers only'!$B$2:$B$151,'n,eta,X'!$A24,'X numbers only'!$D$2:$D$151,'n,eta,X'!$B24)</f>
        <v>3173.4</v>
      </c>
      <c r="E24">
        <f>AVERAGEIFS('X numbers only'!G$2:G$151,'X numbers only'!$B$2:$B$151,'n,eta,X'!$A24,'X numbers only'!$D$2:$D$151,'n,eta,X'!$B24)</f>
        <v>13134.133333333331</v>
      </c>
      <c r="F24">
        <f>AVERAGEIFS('X numbers only'!H$2:H$151,'X numbers only'!$B$2:$B$151,'n,eta,X'!$A24,'X numbers only'!$D$2:$D$151,'n,eta,X'!$B24)</f>
        <v>128.09700529955091</v>
      </c>
      <c r="G24">
        <f>AVERAGEIFS('X numbers only'!I$2:I$151,'X numbers only'!$B$2:$B$151,'n,eta,X'!$A24,'X numbers only'!$D$2:$D$151,'n,eta,X'!$B24)</f>
        <v>10641668973.333334</v>
      </c>
      <c r="H24">
        <f>AVERAGEIFS('X numbers only'!J$2:J$151,'X numbers only'!$B$2:$B$151,'n,eta,X'!$A24,'X numbers only'!$D$2:$D$151,'n,eta,X'!$B24)</f>
        <v>33642867360</v>
      </c>
      <c r="I24" s="2">
        <f>AVERAGEIFS('X numbers only'!K$2:K$151,'X numbers only'!$B$2:$B$151,'n,eta,X'!$A24,'X numbers only'!$D$2:$D$151,'n,eta,X'!$B24)</f>
        <v>3.0278352162283442</v>
      </c>
      <c r="J24">
        <f>AVERAGEIFS('X numbers only'!L$2:L$151,'X numbers only'!$B$2:$B$151,'n,eta,X'!$A24,'X numbers only'!$D$2:$D$151,'n,eta,X'!$B24)</f>
        <v>1.3984111144739217</v>
      </c>
      <c r="K24">
        <f>AVERAGEIFS('X numbers only'!M$2:M$151,'X numbers only'!$B$2:$B$151,'n,eta,X'!$A24,'X numbers only'!$D$2:$D$151,'n,eta,X'!$B24)</f>
        <v>7.6158132460414123</v>
      </c>
      <c r="L24">
        <f>AVERAGEIFS('X numbers only'!N$2:N$151,'X numbers only'!$B$2:$B$151,'n,eta,X'!$A24,'X numbers only'!$D$2:$D$151,'n,eta,X'!$B24)</f>
        <v>0.3386455484049169</v>
      </c>
      <c r="M24">
        <f>AVERAGEIFS('X numbers only'!O$2:O$151,'X numbers only'!$B$2:$B$151,'n,eta,X'!$A24,'X numbers only'!$D$2:$D$151,'n,eta,X'!$B24)</f>
        <v>59.506126287227005</v>
      </c>
      <c r="N24">
        <f>AVERAGEIFS('X numbers only'!Q$2:Q$151,'X numbers only'!$B$2:$B$151,'n,eta,X'!$A24,'X numbers only'!$D$2:$D$151,'n,eta,X'!$B24)</f>
        <v>2.3335768948202625E-4</v>
      </c>
      <c r="O24">
        <f>AVERAGEIFS('X numbers only'!R$2:R$151,'X numbers only'!$B$2:$B$151,'n,eta,X'!$A24,'X numbers only'!$D$2:$D$151,'n,eta,X'!$B24)</f>
        <v>0.84329473702785918</v>
      </c>
      <c r="P24">
        <f>AVERAGEIFS('X numbers only'!S$2:S$151,'X numbers only'!$B$2:$B$151,'n,eta,X'!$A24,'X numbers only'!$D$2:$D$151,'n,eta,X'!$B24)</f>
        <v>0.74899785712560762</v>
      </c>
      <c r="Q24">
        <f>AVERAGEIFS('X numbers only'!T$2:T$151,'X numbers only'!$B$2:$B$151,'n,eta,X'!$A24,'X numbers only'!$D$2:$D$151,'n,eta,X'!$B24)</f>
        <v>0.15610612551756675</v>
      </c>
      <c r="R24">
        <f>AVERAGEIFS('X numbers only'!U$2:U$151,'X numbers only'!$B$2:$B$151,'n,eta,X'!$A24,'X numbers only'!$D$2:$D$151,'n,eta,X'!$B24)</f>
        <v>3.657797650919574E-4</v>
      </c>
      <c r="S24">
        <f>AVERAGEIFS('X numbers only'!X$2:X$151,'X numbers only'!$B$2:$B$151,'n,eta,X'!$A24,'X numbers only'!$D$2:$D$151,'n,eta,X'!$B24)</f>
        <v>4.5347920642115121E-3</v>
      </c>
      <c r="T24">
        <f>AVERAGEIFS('X numbers only'!Y$2:Y$151,'X numbers only'!$B$2:$B$151,'n,eta,X'!$A24,'X numbers only'!$D$2:$D$151,'n,eta,X'!$B24)</f>
        <v>0.60270930117277344</v>
      </c>
      <c r="U24">
        <f>AVERAGEIFS('X numbers only'!Z$2:Z$151,'X numbers only'!$B$2:$B$151,'n,eta,X'!$A24,'X numbers only'!$D$2:$D$151,'n,eta,X'!$B24)</f>
        <v>0.34540534420097163</v>
      </c>
      <c r="V24">
        <f>AVERAGEIFS('X numbers only'!AA$2:AA$151,'X numbers only'!$B$2:$B$151,'n,eta,X'!$A24,'X numbers only'!$D$2:$D$151,'n,eta,X'!$B24)</f>
        <v>0.3927164540045599</v>
      </c>
      <c r="W24">
        <f>AVERAGEIFS('X numbers only'!AB$2:AB$151,'X numbers only'!$B$2:$B$151,'n,eta,X'!$A24,'X numbers only'!$D$2:$D$151,'n,eta,X'!$B24)</f>
        <v>3.9452758455209744E-5</v>
      </c>
      <c r="X24" s="2">
        <f>AVERAGEIFS('X numbers only'!AC$2:AC$151,'X numbers only'!$B$2:$B$151,'n,eta,X'!$A24,'X numbers only'!$D$2:$D$151,'n,eta,X'!$B24)</f>
        <v>0.65608655576717323</v>
      </c>
      <c r="Y24">
        <f t="shared" si="0"/>
        <v>656391363.17726779</v>
      </c>
    </row>
    <row r="25" spans="1:25" x14ac:dyDescent="0.3">
      <c r="A25">
        <v>6</v>
      </c>
      <c r="B25">
        <v>0.95</v>
      </c>
      <c r="C25">
        <f>AVERAGEIFS('X numbers only'!E$2:E$151,'X numbers only'!$B$2:$B$151,'n,eta,X'!$A25,'X numbers only'!$D$2:$D$151,'n,eta,X'!$B25)</f>
        <v>10</v>
      </c>
      <c r="D25">
        <f>AVERAGEIFS('X numbers only'!F$2:F$151,'X numbers only'!$B$2:$B$151,'n,eta,X'!$A25,'X numbers only'!$D$2:$D$151,'n,eta,X'!$B25)</f>
        <v>3173.4</v>
      </c>
      <c r="E25">
        <f>AVERAGEIFS('X numbers only'!G$2:G$151,'X numbers only'!$B$2:$B$151,'n,eta,X'!$A25,'X numbers only'!$D$2:$D$151,'n,eta,X'!$B25)</f>
        <v>7782.4</v>
      </c>
      <c r="F25">
        <f>AVERAGEIFS('X numbers only'!H$2:H$151,'X numbers only'!$B$2:$B$151,'n,eta,X'!$A25,'X numbers only'!$D$2:$D$151,'n,eta,X'!$B25)</f>
        <v>128.09700529955091</v>
      </c>
      <c r="G25">
        <f>AVERAGEIFS('X numbers only'!I$2:I$151,'X numbers only'!$B$2:$B$151,'n,eta,X'!$A25,'X numbers only'!$D$2:$D$151,'n,eta,X'!$B25)</f>
        <v>8446186106.666666</v>
      </c>
      <c r="H25">
        <f>AVERAGEIFS('X numbers only'!J$2:J$151,'X numbers only'!$B$2:$B$151,'n,eta,X'!$A25,'X numbers only'!$D$2:$D$151,'n,eta,X'!$B25)</f>
        <v>20954329600</v>
      </c>
      <c r="I25" s="2">
        <f>AVERAGEIFS('X numbers only'!K$2:K$151,'X numbers only'!$B$2:$B$151,'n,eta,X'!$A25,'X numbers only'!$D$2:$D$151,'n,eta,X'!$B25)</f>
        <v>2.3130340739170805</v>
      </c>
      <c r="J25">
        <f>AVERAGEIFS('X numbers only'!L$2:L$151,'X numbers only'!$B$2:$B$151,'n,eta,X'!$A25,'X numbers only'!$D$2:$D$151,'n,eta,X'!$B25)</f>
        <v>0.68580472253056468</v>
      </c>
      <c r="K25">
        <f>AVERAGEIFS('X numbers only'!M$2:M$151,'X numbers only'!$B$2:$B$151,'n,eta,X'!$A25,'X numbers only'!$D$2:$D$151,'n,eta,X'!$B25)</f>
        <v>7.5476778692701583</v>
      </c>
      <c r="L25">
        <f>AVERAGEIFS('X numbers only'!N$2:N$151,'X numbers only'!$B$2:$B$151,'n,eta,X'!$A25,'X numbers only'!$D$2:$D$151,'n,eta,X'!$B25)</f>
        <v>0.38589881214277766</v>
      </c>
      <c r="M25">
        <f>AVERAGEIFS('X numbers only'!O$2:O$151,'X numbers only'!$B$2:$B$151,'n,eta,X'!$A25,'X numbers only'!$D$2:$D$151,'n,eta,X'!$B25)</f>
        <v>125.36410416975302</v>
      </c>
      <c r="N25">
        <f>AVERAGEIFS('X numbers only'!Q$2:Q$151,'X numbers only'!$B$2:$B$151,'n,eta,X'!$A25,'X numbers only'!$D$2:$D$151,'n,eta,X'!$B25)</f>
        <v>1.4466757806555806E-4</v>
      </c>
      <c r="O25">
        <f>AVERAGEIFS('X numbers only'!R$2:R$151,'X numbers only'!$B$2:$B$151,'n,eta,X'!$A25,'X numbers only'!$D$2:$D$151,'n,eta,X'!$B25)</f>
        <v>0.89229015108220899</v>
      </c>
      <c r="P25">
        <f>AVERAGEIFS('X numbers only'!S$2:S$151,'X numbers only'!$B$2:$B$151,'n,eta,X'!$A25,'X numbers only'!$D$2:$D$151,'n,eta,X'!$B25)</f>
        <v>0.76696496070718168</v>
      </c>
      <c r="Q25">
        <f>AVERAGEIFS('X numbers only'!T$2:T$151,'X numbers only'!$B$2:$B$151,'n,eta,X'!$A25,'X numbers only'!$D$2:$D$151,'n,eta,X'!$B25)</f>
        <v>0.10716615773470495</v>
      </c>
      <c r="R25">
        <f>AVERAGEIFS('X numbers only'!U$2:U$151,'X numbers only'!$B$2:$B$151,'n,eta,X'!$A25,'X numbers only'!$D$2:$D$151,'n,eta,X'!$B25)</f>
        <v>3.9902360502068712E-4</v>
      </c>
      <c r="S25">
        <f>AVERAGEIFS('X numbers only'!X$2:X$151,'X numbers only'!$B$2:$B$151,'n,eta,X'!$A25,'X numbers only'!$D$2:$D$151,'n,eta,X'!$B25)</f>
        <v>7.6481108886301092E-3</v>
      </c>
      <c r="T25">
        <f>AVERAGEIFS('X numbers only'!Y$2:Y$151,'X numbers only'!$B$2:$B$151,'n,eta,X'!$A25,'X numbers only'!$D$2:$D$151,'n,eta,X'!$B25)</f>
        <v>0.64465895318806998</v>
      </c>
      <c r="U25">
        <f>AVERAGEIFS('X numbers only'!Z$2:Z$151,'X numbers only'!$B$2:$B$151,'n,eta,X'!$A25,'X numbers only'!$D$2:$D$151,'n,eta,X'!$B25)</f>
        <v>0.23203885254895412</v>
      </c>
      <c r="V25">
        <f>AVERAGEIFS('X numbers only'!AA$2:AA$151,'X numbers only'!$B$2:$B$151,'n,eta,X'!$A25,'X numbers only'!$D$2:$D$151,'n,eta,X'!$B25)</f>
        <v>0.34762752059785718</v>
      </c>
      <c r="W25">
        <f>AVERAGEIFS('X numbers only'!AB$2:AB$151,'X numbers only'!$B$2:$B$151,'n,eta,X'!$A25,'X numbers only'!$D$2:$D$151,'n,eta,X'!$B25)</f>
        <v>6.5415325442604502E-5</v>
      </c>
      <c r="X25" s="2">
        <f>AVERAGEIFS('X numbers only'!AC$2:AC$151,'X numbers only'!$B$2:$B$151,'n,eta,X'!$A25,'X numbers only'!$D$2:$D$151,'n,eta,X'!$B25)</f>
        <v>0.57711308270407291</v>
      </c>
      <c r="Y25">
        <f t="shared" si="0"/>
        <v>599975566.39979923</v>
      </c>
    </row>
    <row r="26" spans="1:25" x14ac:dyDescent="0.3">
      <c r="A26">
        <v>7</v>
      </c>
      <c r="B26">
        <v>0.2</v>
      </c>
      <c r="C26">
        <f>AVERAGEIFS('X numbers only'!E$2:E$151,'X numbers only'!$B$2:$B$151,'n,eta,X'!$A26,'X numbers only'!$D$2:$D$151,'n,eta,X'!$B26)</f>
        <v>9</v>
      </c>
      <c r="D26">
        <f>AVERAGEIFS('X numbers only'!F$2:F$151,'X numbers only'!$B$2:$B$151,'n,eta,X'!$A26,'X numbers only'!$D$2:$D$151,'n,eta,X'!$B26)</f>
        <v>1586.2</v>
      </c>
      <c r="E26">
        <f>AVERAGEIFS('X numbers only'!G$2:G$151,'X numbers only'!$B$2:$B$151,'n,eta,X'!$A26,'X numbers only'!$D$2:$D$151,'n,eta,X'!$B26)</f>
        <v>306749.86666666664</v>
      </c>
      <c r="F26">
        <f>AVERAGEIFS('X numbers only'!H$2:H$151,'X numbers only'!$B$2:$B$151,'n,eta,X'!$A26,'X numbers only'!$D$2:$D$151,'n,eta,X'!$B26)</f>
        <v>256.38854414979471</v>
      </c>
      <c r="G26">
        <f>AVERAGEIFS('X numbers only'!I$2:I$151,'X numbers only'!$B$2:$B$151,'n,eta,X'!$A26,'X numbers only'!$D$2:$D$151,'n,eta,X'!$B26)</f>
        <v>221833137446.66669</v>
      </c>
      <c r="H26">
        <f>AVERAGEIFS('X numbers only'!J$2:J$151,'X numbers only'!$B$2:$B$151,'n,eta,X'!$A26,'X numbers only'!$D$2:$D$151,'n,eta,X'!$B26)</f>
        <v>1604741201960</v>
      </c>
      <c r="I26" s="2">
        <f>AVERAGEIFS('X numbers only'!K$2:K$151,'X numbers only'!$B$2:$B$151,'n,eta,X'!$A26,'X numbers only'!$D$2:$D$151,'n,eta,X'!$B26)</f>
        <v>7.1243756083316985</v>
      </c>
      <c r="J26">
        <f>AVERAGEIFS('X numbers only'!L$2:L$151,'X numbers only'!$B$2:$B$151,'n,eta,X'!$A26,'X numbers only'!$D$2:$D$151,'n,eta,X'!$B26)</f>
        <v>3.2404485272786898</v>
      </c>
      <c r="K26">
        <f>AVERAGEIFS('X numbers only'!M$2:M$151,'X numbers only'!$B$2:$B$151,'n,eta,X'!$A26,'X numbers only'!$D$2:$D$151,'n,eta,X'!$B26)</f>
        <v>7.9419412769567685</v>
      </c>
      <c r="L26">
        <f>AVERAGEIFS('X numbers only'!N$2:N$151,'X numbers only'!$B$2:$B$151,'n,eta,X'!$A26,'X numbers only'!$D$2:$D$151,'n,eta,X'!$B26)</f>
        <v>0.30902423169908311</v>
      </c>
      <c r="M26">
        <f>AVERAGEIFS('X numbers only'!O$2:O$151,'X numbers only'!$B$2:$B$151,'n,eta,X'!$A26,'X numbers only'!$D$2:$D$151,'n,eta,X'!$B26)</f>
        <v>4.7329744057335175</v>
      </c>
      <c r="N26">
        <f>AVERAGEIFS('X numbers only'!Q$2:Q$151,'X numbers only'!$B$2:$B$151,'n,eta,X'!$A26,'X numbers only'!$D$2:$D$151,'n,eta,X'!$B26)</f>
        <v>2.0969652637950633E-4</v>
      </c>
      <c r="O26">
        <f>AVERAGEIFS('X numbers only'!R$2:R$151,'X numbers only'!$B$2:$B$151,'n,eta,X'!$A26,'X numbers only'!$D$2:$D$151,'n,eta,X'!$B26)</f>
        <v>0.20307311898522981</v>
      </c>
      <c r="P26">
        <f>AVERAGEIFS('X numbers only'!S$2:S$151,'X numbers only'!$B$2:$B$151,'n,eta,X'!$A26,'X numbers only'!$D$2:$D$151,'n,eta,X'!$B26)</f>
        <v>0.19455346689620284</v>
      </c>
      <c r="Q26">
        <f>AVERAGEIFS('X numbers only'!T$2:T$151,'X numbers only'!$B$2:$B$151,'n,eta,X'!$A26,'X numbers only'!$D$2:$D$151,'n,eta,X'!$B26)</f>
        <v>0.7966818409865325</v>
      </c>
      <c r="R26">
        <f>AVERAGEIFS('X numbers only'!U$2:U$151,'X numbers only'!$B$2:$B$151,'n,eta,X'!$A26,'X numbers only'!$D$2:$D$151,'n,eta,X'!$B26)</f>
        <v>3.5343501858231218E-5</v>
      </c>
      <c r="S26">
        <f>AVERAGEIFS('X numbers only'!X$2:X$151,'X numbers only'!$B$2:$B$151,'n,eta,X'!$A26,'X numbers only'!$D$2:$D$151,'n,eta,X'!$B26)</f>
        <v>1.3290678777614929E-4</v>
      </c>
      <c r="T26">
        <f>AVERAGEIFS('X numbers only'!Y$2:Y$151,'X numbers only'!$B$2:$B$151,'n,eta,X'!$A26,'X numbers only'!$D$2:$D$151,'n,eta,X'!$B26)</f>
        <v>0.1121131942106659</v>
      </c>
      <c r="U26">
        <f>AVERAGEIFS('X numbers only'!Z$2:Z$151,'X numbers only'!$B$2:$B$151,'n,eta,X'!$A26,'X numbers only'!$D$2:$D$151,'n,eta,X'!$B26)</f>
        <v>0.10067620075540733</v>
      </c>
      <c r="V26">
        <f>AVERAGEIFS('X numbers only'!AA$2:AA$151,'X numbers only'!$B$2:$B$151,'n,eta,X'!$A26,'X numbers only'!$D$2:$D$151,'n,eta,X'!$B26)</f>
        <v>0.88775249903082165</v>
      </c>
      <c r="W26">
        <f>AVERAGEIFS('X numbers only'!AB$2:AB$151,'X numbers only'!$B$2:$B$151,'n,eta,X'!$A26,'X numbers only'!$D$2:$D$151,'n,eta,X'!$B26)</f>
        <v>1.3999707362115561E-6</v>
      </c>
      <c r="X26" s="2">
        <f>AVERAGEIFS('X numbers only'!AC$2:AC$151,'X numbers only'!$B$2:$B$151,'n,eta,X'!$A26,'X numbers only'!$D$2:$D$151,'n,eta,X'!$B26)</f>
        <v>13.11413973058561</v>
      </c>
      <c r="Y26">
        <f t="shared" si="0"/>
        <v>998312974.63252497</v>
      </c>
    </row>
    <row r="27" spans="1:25" x14ac:dyDescent="0.3">
      <c r="A27">
        <v>7</v>
      </c>
      <c r="B27">
        <v>0.35</v>
      </c>
      <c r="C27">
        <f>AVERAGEIFS('X numbers only'!E$2:E$151,'X numbers only'!$B$2:$B$151,'n,eta,X'!$A27,'X numbers only'!$D$2:$D$151,'n,eta,X'!$B27)</f>
        <v>9</v>
      </c>
      <c r="D27">
        <f>AVERAGEIFS('X numbers only'!F$2:F$151,'X numbers only'!$B$2:$B$151,'n,eta,X'!$A27,'X numbers only'!$D$2:$D$151,'n,eta,X'!$B27)</f>
        <v>1586.2</v>
      </c>
      <c r="E27">
        <f>AVERAGEIFS('X numbers only'!G$2:G$151,'X numbers only'!$B$2:$B$151,'n,eta,X'!$A27,'X numbers only'!$D$2:$D$151,'n,eta,X'!$B27)</f>
        <v>77372.800000000003</v>
      </c>
      <c r="F27">
        <f>AVERAGEIFS('X numbers only'!H$2:H$151,'X numbers only'!$B$2:$B$151,'n,eta,X'!$A27,'X numbers only'!$D$2:$D$151,'n,eta,X'!$B27)</f>
        <v>256.38854414979471</v>
      </c>
      <c r="G27">
        <f>AVERAGEIFS('X numbers only'!I$2:I$151,'X numbers only'!$B$2:$B$151,'n,eta,X'!$A27,'X numbers only'!$D$2:$D$151,'n,eta,X'!$B27)</f>
        <v>70350365146.666656</v>
      </c>
      <c r="H27">
        <f>AVERAGEIFS('X numbers only'!J$2:J$151,'X numbers only'!$B$2:$B$151,'n,eta,X'!$A27,'X numbers only'!$D$2:$D$151,'n,eta,X'!$B27)</f>
        <v>461377088933.33331</v>
      </c>
      <c r="I27" s="2">
        <f>AVERAGEIFS('X numbers only'!K$2:K$151,'X numbers only'!$B$2:$B$151,'n,eta,X'!$A27,'X numbers only'!$D$2:$D$151,'n,eta,X'!$B27)</f>
        <v>6.3397115582201637</v>
      </c>
      <c r="J27">
        <f>AVERAGEIFS('X numbers only'!L$2:L$151,'X numbers only'!$B$2:$B$151,'n,eta,X'!$A27,'X numbers only'!$D$2:$D$151,'n,eta,X'!$B27)</f>
        <v>3.6189718628191172</v>
      </c>
      <c r="K27">
        <f>AVERAGEIFS('X numbers only'!M$2:M$151,'X numbers only'!$B$2:$B$151,'n,eta,X'!$A27,'X numbers only'!$D$2:$D$151,'n,eta,X'!$B27)</f>
        <v>8.0342798975283429</v>
      </c>
      <c r="L27">
        <f>AVERAGEIFS('X numbers only'!N$2:N$151,'X numbers only'!$B$2:$B$151,'n,eta,X'!$A27,'X numbers only'!$D$2:$D$151,'n,eta,X'!$B27)</f>
        <v>0.31864593491302973</v>
      </c>
      <c r="M27">
        <f>AVERAGEIFS('X numbers only'!O$2:O$151,'X numbers only'!$B$2:$B$151,'n,eta,X'!$A27,'X numbers only'!$D$2:$D$151,'n,eta,X'!$B27)</f>
        <v>9.7773421466456618</v>
      </c>
      <c r="N27">
        <f>AVERAGEIFS('X numbers only'!Q$2:Q$151,'X numbers only'!$B$2:$B$151,'n,eta,X'!$A27,'X numbers only'!$D$2:$D$151,'n,eta,X'!$B27)</f>
        <v>2.5685642763657098E-4</v>
      </c>
      <c r="O27">
        <f>AVERAGEIFS('X numbers only'!R$2:R$151,'X numbers only'!$B$2:$B$151,'n,eta,X'!$A27,'X numbers only'!$D$2:$D$151,'n,eta,X'!$B27)</f>
        <v>0.40136277566094425</v>
      </c>
      <c r="P27">
        <f>AVERAGEIFS('X numbers only'!S$2:S$151,'X numbers only'!$B$2:$B$151,'n,eta,X'!$A27,'X numbers only'!$D$2:$D$151,'n,eta,X'!$B27)</f>
        <v>0.37227488479454618</v>
      </c>
      <c r="Q27">
        <f>AVERAGEIFS('X numbers only'!T$2:T$151,'X numbers only'!$B$2:$B$151,'n,eta,X'!$A27,'X numbers only'!$D$2:$D$151,'n,eta,X'!$B27)</f>
        <v>0.59830702582416673</v>
      </c>
      <c r="R27">
        <f>AVERAGEIFS('X numbers only'!U$2:U$151,'X numbers only'!$B$2:$B$151,'n,eta,X'!$A27,'X numbers only'!$D$2:$D$151,'n,eta,X'!$B27)</f>
        <v>7.3342087252356101E-5</v>
      </c>
      <c r="S27">
        <f>AVERAGEIFS('X numbers only'!X$2:X$151,'X numbers only'!$B$2:$B$151,'n,eta,X'!$A27,'X numbers only'!$D$2:$D$151,'n,eta,X'!$B27)</f>
        <v>3.474309013993939E-4</v>
      </c>
      <c r="T27">
        <f>AVERAGEIFS('X numbers only'!Y$2:Y$151,'X numbers only'!$B$2:$B$151,'n,eta,X'!$A27,'X numbers only'!$D$2:$D$151,'n,eta,X'!$B27)</f>
        <v>0.24073049134404895</v>
      </c>
      <c r="U27">
        <f>AVERAGEIFS('X numbers only'!Z$2:Z$151,'X numbers only'!$B$2:$B$151,'n,eta,X'!$A27,'X numbers only'!$D$2:$D$151,'n,eta,X'!$B27)</f>
        <v>0.2133865202882419</v>
      </c>
      <c r="V27">
        <f>AVERAGEIFS('X numbers only'!AA$2:AA$151,'X numbers only'!$B$2:$B$151,'n,eta,X'!$A27,'X numbers only'!$D$2:$D$151,'n,eta,X'!$B27)</f>
        <v>0.75891844690045807</v>
      </c>
      <c r="W27">
        <f>AVERAGEIFS('X numbers only'!AB$2:AB$151,'X numbers only'!$B$2:$B$151,'n,eta,X'!$A27,'X numbers only'!$D$2:$D$151,'n,eta,X'!$B27)</f>
        <v>3.6308540935712827E-6</v>
      </c>
      <c r="X27" s="2">
        <f>AVERAGEIFS('X numbers only'!AC$2:AC$151,'X numbers only'!$B$2:$B$151,'n,eta,X'!$A27,'X numbers only'!$D$2:$D$151,'n,eta,X'!$B27)</f>
        <v>3.255112119683262</v>
      </c>
      <c r="Y27">
        <f t="shared" si="0"/>
        <v>1120648916.8874285</v>
      </c>
    </row>
    <row r="28" spans="1:25" x14ac:dyDescent="0.3">
      <c r="A28">
        <v>7</v>
      </c>
      <c r="B28">
        <v>0.5</v>
      </c>
      <c r="C28">
        <f>AVERAGEIFS('X numbers only'!E$2:E$151,'X numbers only'!$B$2:$B$151,'n,eta,X'!$A28,'X numbers only'!$D$2:$D$151,'n,eta,X'!$B28)</f>
        <v>9</v>
      </c>
      <c r="D28">
        <f>AVERAGEIFS('X numbers only'!F$2:F$151,'X numbers only'!$B$2:$B$151,'n,eta,X'!$A28,'X numbers only'!$D$2:$D$151,'n,eta,X'!$B28)</f>
        <v>1586.2</v>
      </c>
      <c r="E28">
        <f>AVERAGEIFS('X numbers only'!G$2:G$151,'X numbers only'!$B$2:$B$151,'n,eta,X'!$A28,'X numbers only'!$D$2:$D$151,'n,eta,X'!$B28)</f>
        <v>31460</v>
      </c>
      <c r="F28">
        <f>AVERAGEIFS('X numbers only'!H$2:H$151,'X numbers only'!$B$2:$B$151,'n,eta,X'!$A28,'X numbers only'!$D$2:$D$151,'n,eta,X'!$B28)</f>
        <v>256.38854414979471</v>
      </c>
      <c r="G28">
        <f>AVERAGEIFS('X numbers only'!I$2:I$151,'X numbers only'!$B$2:$B$151,'n,eta,X'!$A28,'X numbers only'!$D$2:$D$151,'n,eta,X'!$B28)</f>
        <v>33575059370</v>
      </c>
      <c r="H28">
        <f>AVERAGEIFS('X numbers only'!J$2:J$151,'X numbers only'!$B$2:$B$151,'n,eta,X'!$A28,'X numbers only'!$D$2:$D$151,'n,eta,X'!$B28)</f>
        <v>195605964640</v>
      </c>
      <c r="I28" s="2">
        <f>AVERAGEIFS('X numbers only'!K$2:K$151,'X numbers only'!$B$2:$B$151,'n,eta,X'!$A28,'X numbers only'!$D$2:$D$151,'n,eta,X'!$B28)</f>
        <v>5.5210217106077808</v>
      </c>
      <c r="J28">
        <f>AVERAGEIFS('X numbers only'!L$2:L$151,'X numbers only'!$B$2:$B$151,'n,eta,X'!$A28,'X numbers only'!$D$2:$D$151,'n,eta,X'!$B28)</f>
        <v>2.8004586680593619</v>
      </c>
      <c r="K28">
        <f>AVERAGEIFS('X numbers only'!M$2:M$151,'X numbers only'!$B$2:$B$151,'n,eta,X'!$A28,'X numbers only'!$D$2:$D$151,'n,eta,X'!$B28)</f>
        <v>8.0446188359932016</v>
      </c>
      <c r="L28">
        <f>AVERAGEIFS('X numbers only'!N$2:N$151,'X numbers only'!$B$2:$B$151,'n,eta,X'!$A28,'X numbers only'!$D$2:$D$151,'n,eta,X'!$B28)</f>
        <v>0.36242320260375893</v>
      </c>
      <c r="M28">
        <f>AVERAGEIFS('X numbers only'!O$2:O$151,'X numbers only'!$B$2:$B$151,'n,eta,X'!$A28,'X numbers only'!$D$2:$D$151,'n,eta,X'!$B28)</f>
        <v>28.906917641485773</v>
      </c>
      <c r="N28">
        <f>AVERAGEIFS('X numbers only'!Q$2:Q$151,'X numbers only'!$B$2:$B$151,'n,eta,X'!$A28,'X numbers only'!$D$2:$D$151,'n,eta,X'!$B28)</f>
        <v>1.5877672521159093E-4</v>
      </c>
      <c r="O28">
        <f>AVERAGEIFS('X numbers only'!R$2:R$151,'X numbers only'!$B$2:$B$151,'n,eta,X'!$A28,'X numbers only'!$D$2:$D$151,'n,eta,X'!$B28)</f>
        <v>0.51754246394657444</v>
      </c>
      <c r="P28">
        <f>AVERAGEIFS('X numbers only'!S$2:S$151,'X numbers only'!$B$2:$B$151,'n,eta,X'!$A28,'X numbers only'!$D$2:$D$151,'n,eta,X'!$B28)</f>
        <v>0.47193959324618734</v>
      </c>
      <c r="Q28">
        <f>AVERAGEIFS('X numbers only'!T$2:T$151,'X numbers only'!$B$2:$B$151,'n,eta,X'!$A28,'X numbers only'!$D$2:$D$151,'n,eta,X'!$B28)</f>
        <v>0.48217535483088891</v>
      </c>
      <c r="R28">
        <f>AVERAGEIFS('X numbers only'!U$2:U$151,'X numbers only'!$B$2:$B$151,'n,eta,X'!$A28,'X numbers only'!$D$2:$D$151,'n,eta,X'!$B28)</f>
        <v>1.2340449732502808E-4</v>
      </c>
      <c r="S28">
        <f>AVERAGEIFS('X numbers only'!X$2:X$151,'X numbers only'!$B$2:$B$151,'n,eta,X'!$A28,'X numbers only'!$D$2:$D$151,'n,eta,X'!$B28)</f>
        <v>8.2046252494276384E-4</v>
      </c>
      <c r="T28">
        <f>AVERAGEIFS('X numbers only'!Y$2:Y$151,'X numbers only'!$B$2:$B$151,'n,eta,X'!$A28,'X numbers only'!$D$2:$D$151,'n,eta,X'!$B28)</f>
        <v>0.29670682704598816</v>
      </c>
      <c r="U28">
        <f>AVERAGEIFS('X numbers only'!Z$2:Z$151,'X numbers only'!$B$2:$B$151,'n,eta,X'!$A28,'X numbers only'!$D$2:$D$151,'n,eta,X'!$B28)</f>
        <v>0.23923735727792583</v>
      </c>
      <c r="V28">
        <f>AVERAGEIFS('X numbers only'!AA$2:AA$151,'X numbers only'!$B$2:$B$151,'n,eta,X'!$A28,'X numbers only'!$D$2:$D$151,'n,eta,X'!$B28)</f>
        <v>0.70246506870399106</v>
      </c>
      <c r="W28">
        <f>AVERAGEIFS('X numbers only'!AB$2:AB$151,'X numbers only'!$B$2:$B$151,'n,eta,X'!$A28,'X numbers only'!$D$2:$D$151,'n,eta,X'!$B28)</f>
        <v>7.6417250779720155E-6</v>
      </c>
      <c r="X28" s="2">
        <f>AVERAGEIFS('X numbers only'!AC$2:AC$151,'X numbers only'!$B$2:$B$151,'n,eta,X'!$A28,'X numbers only'!$D$2:$D$151,'n,eta,X'!$B28)</f>
        <v>2.4073576792900928</v>
      </c>
      <c r="Y28">
        <f t="shared" si="0"/>
        <v>1135153820.4006042</v>
      </c>
    </row>
    <row r="29" spans="1:25" x14ac:dyDescent="0.3">
      <c r="A29">
        <v>7</v>
      </c>
      <c r="B29">
        <v>0.65</v>
      </c>
      <c r="C29">
        <f>AVERAGEIFS('X numbers only'!E$2:E$151,'X numbers only'!$B$2:$B$151,'n,eta,X'!$A29,'X numbers only'!$D$2:$D$151,'n,eta,X'!$B29)</f>
        <v>9</v>
      </c>
      <c r="D29">
        <f>AVERAGEIFS('X numbers only'!F$2:F$151,'X numbers only'!$B$2:$B$151,'n,eta,X'!$A29,'X numbers only'!$D$2:$D$151,'n,eta,X'!$B29)</f>
        <v>1586.2</v>
      </c>
      <c r="E29">
        <f>AVERAGEIFS('X numbers only'!G$2:G$151,'X numbers only'!$B$2:$B$151,'n,eta,X'!$A29,'X numbers only'!$D$2:$D$151,'n,eta,X'!$B29)</f>
        <v>11503.733333333334</v>
      </c>
      <c r="F29">
        <f>AVERAGEIFS('X numbers only'!H$2:H$151,'X numbers only'!$B$2:$B$151,'n,eta,X'!$A29,'X numbers only'!$D$2:$D$151,'n,eta,X'!$B29)</f>
        <v>256.38854414979471</v>
      </c>
      <c r="G29">
        <f>AVERAGEIFS('X numbers only'!I$2:I$151,'X numbers only'!$B$2:$B$151,'n,eta,X'!$A29,'X numbers only'!$D$2:$D$151,'n,eta,X'!$B29)</f>
        <v>17891894840</v>
      </c>
      <c r="H29">
        <f>AVERAGEIFS('X numbers only'!J$2:J$151,'X numbers only'!$B$2:$B$151,'n,eta,X'!$A29,'X numbers only'!$D$2:$D$151,'n,eta,X'!$B29)</f>
        <v>82276994953.333328</v>
      </c>
      <c r="I29" s="2">
        <f>AVERAGEIFS('X numbers only'!K$2:K$151,'X numbers only'!$B$2:$B$151,'n,eta,X'!$A29,'X numbers only'!$D$2:$D$151,'n,eta,X'!$B29)</f>
        <v>4.3147698409030841</v>
      </c>
      <c r="J29">
        <f>AVERAGEIFS('X numbers only'!L$2:L$151,'X numbers only'!$B$2:$B$151,'n,eta,X'!$A29,'X numbers only'!$D$2:$D$151,'n,eta,X'!$B29)</f>
        <v>1.908789579078124</v>
      </c>
      <c r="K29">
        <f>AVERAGEIFS('X numbers only'!M$2:M$151,'X numbers only'!$B$2:$B$151,'n,eta,X'!$A29,'X numbers only'!$D$2:$D$151,'n,eta,X'!$B29)</f>
        <v>8.0268140579790099</v>
      </c>
      <c r="L29">
        <f>AVERAGEIFS('X numbers only'!N$2:N$151,'X numbers only'!$B$2:$B$151,'n,eta,X'!$A29,'X numbers only'!$D$2:$D$151,'n,eta,X'!$B29)</f>
        <v>0.35232767827389377</v>
      </c>
      <c r="M29">
        <f>AVERAGEIFS('X numbers only'!O$2:O$151,'X numbers only'!$B$2:$B$151,'n,eta,X'!$A29,'X numbers only'!$D$2:$D$151,'n,eta,X'!$B29)</f>
        <v>63.702829304876012</v>
      </c>
      <c r="N29">
        <f>AVERAGEIFS('X numbers only'!Q$2:Q$151,'X numbers only'!$B$2:$B$151,'n,eta,X'!$A29,'X numbers only'!$D$2:$D$151,'n,eta,X'!$B29)</f>
        <v>1.2261417742803125E-4</v>
      </c>
      <c r="O29">
        <f>AVERAGEIFS('X numbers only'!R$2:R$151,'X numbers only'!$B$2:$B$151,'n,eta,X'!$A29,'X numbers only'!$D$2:$D$151,'n,eta,X'!$B29)</f>
        <v>0.67451152042327744</v>
      </c>
      <c r="P29">
        <f>AVERAGEIFS('X numbers only'!S$2:S$151,'X numbers only'!$B$2:$B$151,'n,eta,X'!$A29,'X numbers only'!$D$2:$D$151,'n,eta,X'!$B29)</f>
        <v>0.59097644269711758</v>
      </c>
      <c r="Q29">
        <f>AVERAGEIFS('X numbers only'!T$2:T$151,'X numbers only'!$B$2:$B$151,'n,eta,X'!$A29,'X numbers only'!$D$2:$D$151,'n,eta,X'!$B29)</f>
        <v>0.32512656038994386</v>
      </c>
      <c r="R29">
        <f>AVERAGEIFS('X numbers only'!U$2:U$151,'X numbers only'!$B$2:$B$151,'n,eta,X'!$A29,'X numbers only'!$D$2:$D$151,'n,eta,X'!$B29)</f>
        <v>2.3930500935055799E-4</v>
      </c>
      <c r="S29">
        <f>AVERAGEIFS('X numbers only'!X$2:X$151,'X numbers only'!$B$2:$B$151,'n,eta,X'!$A29,'X numbers only'!$D$2:$D$151,'n,eta,X'!$B29)</f>
        <v>1.7718308813806267E-3</v>
      </c>
      <c r="T29">
        <f>AVERAGEIFS('X numbers only'!Y$2:Y$151,'X numbers only'!$B$2:$B$151,'n,eta,X'!$A29,'X numbers only'!$D$2:$D$151,'n,eta,X'!$B29)</f>
        <v>0.39568914201404715</v>
      </c>
      <c r="U29">
        <f>AVERAGEIFS('X numbers only'!Z$2:Z$151,'X numbers only'!$B$2:$B$151,'n,eta,X'!$A29,'X numbers only'!$D$2:$D$151,'n,eta,X'!$B29)</f>
        <v>0.2636329479517075</v>
      </c>
      <c r="V29">
        <f>AVERAGEIFS('X numbers only'!AA$2:AA$151,'X numbers only'!$B$2:$B$151,'n,eta,X'!$A29,'X numbers only'!$D$2:$D$151,'n,eta,X'!$B29)</f>
        <v>0.60252043736176486</v>
      </c>
      <c r="W29">
        <f>AVERAGEIFS('X numbers only'!AB$2:AB$151,'X numbers only'!$B$2:$B$151,'n,eta,X'!$A29,'X numbers only'!$D$2:$D$151,'n,eta,X'!$B29)</f>
        <v>1.8589742807343664E-5</v>
      </c>
      <c r="X29" s="2">
        <f>AVERAGEIFS('X numbers only'!AC$2:AC$151,'X numbers only'!$B$2:$B$151,'n,eta,X'!$A29,'X numbers only'!$D$2:$D$151,'n,eta,X'!$B29)</f>
        <v>1.5620147556231729</v>
      </c>
      <c r="Y29">
        <f t="shared" si="0"/>
        <v>1110278745.8026481</v>
      </c>
    </row>
    <row r="30" spans="1:25" x14ac:dyDescent="0.3">
      <c r="A30">
        <v>7</v>
      </c>
      <c r="B30">
        <v>0.8</v>
      </c>
      <c r="C30">
        <f>AVERAGEIFS('X numbers only'!E$2:E$151,'X numbers only'!$B$2:$B$151,'n,eta,X'!$A30,'X numbers only'!$D$2:$D$151,'n,eta,X'!$B30)</f>
        <v>9</v>
      </c>
      <c r="D30">
        <f>AVERAGEIFS('X numbers only'!F$2:F$151,'X numbers only'!$B$2:$B$151,'n,eta,X'!$A30,'X numbers only'!$D$2:$D$151,'n,eta,X'!$B30)</f>
        <v>1586.2</v>
      </c>
      <c r="E30">
        <f>AVERAGEIFS('X numbers only'!G$2:G$151,'X numbers only'!$B$2:$B$151,'n,eta,X'!$A30,'X numbers only'!$D$2:$D$151,'n,eta,X'!$B30)</f>
        <v>6146.4</v>
      </c>
      <c r="F30">
        <f>AVERAGEIFS('X numbers only'!H$2:H$151,'X numbers only'!$B$2:$B$151,'n,eta,X'!$A30,'X numbers only'!$D$2:$D$151,'n,eta,X'!$B30)</f>
        <v>256.38854414979471</v>
      </c>
      <c r="G30">
        <f>AVERAGEIFS('X numbers only'!I$2:I$151,'X numbers only'!$B$2:$B$151,'n,eta,X'!$A30,'X numbers only'!$D$2:$D$151,'n,eta,X'!$B30)</f>
        <v>13459412573.333334</v>
      </c>
      <c r="H30">
        <f>AVERAGEIFS('X numbers only'!J$2:J$151,'X numbers only'!$B$2:$B$151,'n,eta,X'!$A30,'X numbers only'!$D$2:$D$151,'n,eta,X'!$B30)</f>
        <v>50083653460</v>
      </c>
      <c r="I30" s="2">
        <f>AVERAGEIFS('X numbers only'!K$2:K$151,'X numbers only'!$B$2:$B$151,'n,eta,X'!$A30,'X numbers only'!$D$2:$D$151,'n,eta,X'!$B30)</f>
        <v>3.4885544221758793</v>
      </c>
      <c r="J30">
        <f>AVERAGEIFS('X numbers only'!L$2:L$151,'X numbers only'!$B$2:$B$151,'n,eta,X'!$A30,'X numbers only'!$D$2:$D$151,'n,eta,X'!$B30)</f>
        <v>1.4068612673943626</v>
      </c>
      <c r="K30">
        <f>AVERAGEIFS('X numbers only'!M$2:M$151,'X numbers only'!$B$2:$B$151,'n,eta,X'!$A30,'X numbers only'!$D$2:$D$151,'n,eta,X'!$B30)</f>
        <v>7.9776954009808083</v>
      </c>
      <c r="L30">
        <f>AVERAGEIFS('X numbers only'!N$2:N$151,'X numbers only'!$B$2:$B$151,'n,eta,X'!$A30,'X numbers only'!$D$2:$D$151,'n,eta,X'!$B30)</f>
        <v>0.36527395340823343</v>
      </c>
      <c r="M30">
        <f>AVERAGEIFS('X numbers only'!O$2:O$151,'X numbers only'!$B$2:$B$151,'n,eta,X'!$A30,'X numbers only'!$D$2:$D$151,'n,eta,X'!$B30)</f>
        <v>104.15616392695181</v>
      </c>
      <c r="N30">
        <f>AVERAGEIFS('X numbers only'!Q$2:Q$151,'X numbers only'!$B$2:$B$151,'n,eta,X'!$A30,'X numbers only'!$D$2:$D$151,'n,eta,X'!$B30)</f>
        <v>9.7295931460000801E-5</v>
      </c>
      <c r="O30">
        <f>AVERAGEIFS('X numbers only'!R$2:R$151,'X numbers only'!$B$2:$B$151,'n,eta,X'!$A30,'X numbers only'!$D$2:$D$151,'n,eta,X'!$B30)</f>
        <v>0.76463905903028195</v>
      </c>
      <c r="P30">
        <f>AVERAGEIFS('X numbers only'!S$2:S$151,'X numbers only'!$B$2:$B$151,'n,eta,X'!$A30,'X numbers only'!$D$2:$D$151,'n,eta,X'!$B30)</f>
        <v>0.65070699494658546</v>
      </c>
      <c r="Q30">
        <f>AVERAGEIFS('X numbers only'!T$2:T$151,'X numbers only'!$B$2:$B$151,'n,eta,X'!$A30,'X numbers only'!$D$2:$D$151,'n,eta,X'!$B30)</f>
        <v>0.23500885163196719</v>
      </c>
      <c r="R30">
        <f>AVERAGEIFS('X numbers only'!U$2:U$151,'X numbers only'!$B$2:$B$151,'n,eta,X'!$A30,'X numbers only'!$D$2:$D$151,'n,eta,X'!$B30)</f>
        <v>2.5479340629082277E-4</v>
      </c>
      <c r="S30">
        <f>AVERAGEIFS('X numbers only'!X$2:X$151,'X numbers only'!$B$2:$B$151,'n,eta,X'!$A30,'X numbers only'!$D$2:$D$151,'n,eta,X'!$B30)</f>
        <v>2.7990088565929059E-3</v>
      </c>
      <c r="T30">
        <f>AVERAGEIFS('X numbers only'!Y$2:Y$151,'X numbers only'!$B$2:$B$151,'n,eta,X'!$A30,'X numbers only'!$D$2:$D$151,'n,eta,X'!$B30)</f>
        <v>0.46083897274412766</v>
      </c>
      <c r="U30">
        <f>AVERAGEIFS('X numbers only'!Z$2:Z$151,'X numbers only'!$B$2:$B$151,'n,eta,X'!$A30,'X numbers only'!$D$2:$D$151,'n,eta,X'!$B30)</f>
        <v>0.26464683388365601</v>
      </c>
      <c r="V30">
        <f>AVERAGEIFS('X numbers only'!AA$2:AA$151,'X numbers only'!$B$2:$B$151,'n,eta,X'!$A30,'X numbers only'!$D$2:$D$151,'n,eta,X'!$B30)</f>
        <v>0.53633585280264739</v>
      </c>
      <c r="W30">
        <f>AVERAGEIFS('X numbers only'!AB$2:AB$151,'X numbers only'!$B$2:$B$151,'n,eta,X'!$A30,'X numbers only'!$D$2:$D$151,'n,eta,X'!$B30)</f>
        <v>2.6165596632099985E-5</v>
      </c>
      <c r="X30" s="2">
        <f>AVERAGEIFS('X numbers only'!AC$2:AC$151,'X numbers only'!$B$2:$B$151,'n,eta,X'!$A30,'X numbers only'!$D$2:$D$151,'n,eta,X'!$B30)</f>
        <v>1.1770785268533328</v>
      </c>
      <c r="Y30">
        <f t="shared" si="0"/>
        <v>1044177915.280597</v>
      </c>
    </row>
    <row r="31" spans="1:25" x14ac:dyDescent="0.3">
      <c r="A31">
        <v>7</v>
      </c>
      <c r="B31">
        <v>0.95</v>
      </c>
      <c r="C31">
        <f>AVERAGEIFS('X numbers only'!E$2:E$151,'X numbers only'!$B$2:$B$151,'n,eta,X'!$A31,'X numbers only'!$D$2:$D$151,'n,eta,X'!$B31)</f>
        <v>9</v>
      </c>
      <c r="D31">
        <f>AVERAGEIFS('X numbers only'!F$2:F$151,'X numbers only'!$B$2:$B$151,'n,eta,X'!$A31,'X numbers only'!$D$2:$D$151,'n,eta,X'!$B31)</f>
        <v>1586.2</v>
      </c>
      <c r="E31">
        <f>AVERAGEIFS('X numbers only'!G$2:G$151,'X numbers only'!$B$2:$B$151,'n,eta,X'!$A31,'X numbers only'!$D$2:$D$151,'n,eta,X'!$B31)</f>
        <v>2918.4</v>
      </c>
      <c r="F31">
        <f>AVERAGEIFS('X numbers only'!H$2:H$151,'X numbers only'!$B$2:$B$151,'n,eta,X'!$A31,'X numbers only'!$D$2:$D$151,'n,eta,X'!$B31)</f>
        <v>256.38854414979471</v>
      </c>
      <c r="G31">
        <f>AVERAGEIFS('X numbers only'!I$2:I$151,'X numbers only'!$B$2:$B$151,'n,eta,X'!$A31,'X numbers only'!$D$2:$D$151,'n,eta,X'!$B31)</f>
        <v>10225513993.333334</v>
      </c>
      <c r="H31">
        <f>AVERAGEIFS('X numbers only'!J$2:J$151,'X numbers only'!$B$2:$B$151,'n,eta,X'!$A31,'X numbers only'!$D$2:$D$151,'n,eta,X'!$B31)</f>
        <v>28519464493.333336</v>
      </c>
      <c r="I31" s="2">
        <f>AVERAGEIFS('X numbers only'!K$2:K$151,'X numbers only'!$B$2:$B$151,'n,eta,X'!$A31,'X numbers only'!$D$2:$D$151,'n,eta,X'!$B31)</f>
        <v>2.6636068699383508</v>
      </c>
      <c r="J31">
        <f>AVERAGEIFS('X numbers only'!L$2:L$151,'X numbers only'!$B$2:$B$151,'n,eta,X'!$A31,'X numbers only'!$D$2:$D$151,'n,eta,X'!$B31)</f>
        <v>0.76060522532723662</v>
      </c>
      <c r="K31">
        <f>AVERAGEIFS('X numbers only'!M$2:M$151,'X numbers only'!$B$2:$B$151,'n,eta,X'!$A31,'X numbers only'!$D$2:$D$151,'n,eta,X'!$B31)</f>
        <v>7.9090096692321818</v>
      </c>
      <c r="L31">
        <f>AVERAGEIFS('X numbers only'!N$2:N$151,'X numbers only'!$B$2:$B$151,'n,eta,X'!$A31,'X numbers only'!$D$2:$D$151,'n,eta,X'!$B31)</f>
        <v>0.37943816566016703</v>
      </c>
      <c r="M31">
        <f>AVERAGEIFS('X numbers only'!O$2:O$151,'X numbers only'!$B$2:$B$151,'n,eta,X'!$A31,'X numbers only'!$D$2:$D$151,'n,eta,X'!$B31)</f>
        <v>233.98229473044913</v>
      </c>
      <c r="N31">
        <f>AVERAGEIFS('X numbers only'!Q$2:Q$151,'X numbers only'!$B$2:$B$151,'n,eta,X'!$A31,'X numbers only'!$D$2:$D$151,'n,eta,X'!$B31)</f>
        <v>5.5664405434537249E-5</v>
      </c>
      <c r="O31">
        <f>AVERAGEIFS('X numbers only'!R$2:R$151,'X numbers only'!$B$2:$B$151,'n,eta,X'!$A31,'X numbers only'!$D$2:$D$151,'n,eta,X'!$B31)</f>
        <v>0.85630852426108817</v>
      </c>
      <c r="P31">
        <f>AVERAGEIFS('X numbers only'!S$2:S$151,'X numbers only'!$B$2:$B$151,'n,eta,X'!$A31,'X numbers only'!$D$2:$D$151,'n,eta,X'!$B31)</f>
        <v>0.75701393368451408</v>
      </c>
      <c r="Q31">
        <f>AVERAGEIFS('X numbers only'!T$2:T$151,'X numbers only'!$B$2:$B$151,'n,eta,X'!$A31,'X numbers only'!$D$2:$D$151,'n,eta,X'!$B31)</f>
        <v>0.14329714147575007</v>
      </c>
      <c r="R31">
        <f>AVERAGEIFS('X numbers only'!U$2:U$151,'X numbers only'!$B$2:$B$151,'n,eta,X'!$A31,'X numbers only'!$D$2:$D$151,'n,eta,X'!$B31)</f>
        <v>3.3866985772735409E-4</v>
      </c>
      <c r="S31">
        <f>AVERAGEIFS('X numbers only'!X$2:X$151,'X numbers only'!$B$2:$B$151,'n,eta,X'!$A31,'X numbers only'!$D$2:$D$151,'n,eta,X'!$B31)</f>
        <v>4.8123222904107379E-3</v>
      </c>
      <c r="T31">
        <f>AVERAGEIFS('X numbers only'!Y$2:Y$151,'X numbers only'!$B$2:$B$151,'n,eta,X'!$A31,'X numbers only'!$D$2:$D$151,'n,eta,X'!$B31)</f>
        <v>0.5790145018806061</v>
      </c>
      <c r="U31">
        <f>AVERAGEIFS('X numbers only'!Z$2:Z$151,'X numbers only'!$B$2:$B$151,'n,eta,X'!$A31,'X numbers only'!$D$2:$D$151,'n,eta,X'!$B31)</f>
        <v>0.2300544453819518</v>
      </c>
      <c r="V31">
        <f>AVERAGEIFS('X numbers only'!AA$2:AA$151,'X numbers only'!$B$2:$B$151,'n,eta,X'!$A31,'X numbers only'!$D$2:$D$151,'n,eta,X'!$B31)</f>
        <v>0.41612580673899879</v>
      </c>
      <c r="W31">
        <f>AVERAGEIFS('X numbers only'!AB$2:AB$151,'X numbers only'!$B$2:$B$151,'n,eta,X'!$A31,'X numbers only'!$D$2:$D$151,'n,eta,X'!$B31)</f>
        <v>4.736908998436598E-5</v>
      </c>
      <c r="X31" s="2">
        <f>AVERAGEIFS('X numbers only'!AC$2:AC$151,'X numbers only'!$B$2:$B$151,'n,eta,X'!$A31,'X numbers only'!$D$2:$D$151,'n,eta,X'!$B31)</f>
        <v>0.81208735707155755</v>
      </c>
      <c r="Y31">
        <f t="shared" si="0"/>
        <v>957681427.00597703</v>
      </c>
    </row>
    <row r="33" spans="1:8" x14ac:dyDescent="0.3">
      <c r="H33" s="10" t="s">
        <v>70</v>
      </c>
    </row>
    <row r="39" spans="1:8" ht="28.8" x14ac:dyDescent="0.3">
      <c r="A39" t="s">
        <v>2</v>
      </c>
      <c r="B39" s="6" t="s">
        <v>34</v>
      </c>
      <c r="C39" s="6" t="s">
        <v>35</v>
      </c>
      <c r="D39" s="6" t="s">
        <v>36</v>
      </c>
      <c r="E39" s="6" t="s">
        <v>37</v>
      </c>
      <c r="F39" s="6" t="s">
        <v>38</v>
      </c>
      <c r="G39" s="5" t="s">
        <v>48</v>
      </c>
      <c r="H39" s="5" t="s">
        <v>45</v>
      </c>
    </row>
    <row r="40" spans="1:8" x14ac:dyDescent="0.3">
      <c r="A40">
        <v>3</v>
      </c>
      <c r="B40">
        <f>AVERAGEIF($A$2:$A$31,$A40,I$2:I$31)</f>
        <v>4.8016180715483303</v>
      </c>
      <c r="C40">
        <f t="shared" ref="C40:G44" si="1">AVERAGEIF($A$2:$A$31,$A40,J$2:J$31)</f>
        <v>3.0926458416525588</v>
      </c>
      <c r="D40">
        <f t="shared" si="1"/>
        <v>6.7787147443649696</v>
      </c>
      <c r="E40">
        <f t="shared" si="1"/>
        <v>0.35877171818298415</v>
      </c>
      <c r="F40">
        <f t="shared" si="1"/>
        <v>9.8144738783722971</v>
      </c>
      <c r="G40">
        <f>AVERAGEIF($A$2:$A$31,$A40,U$2:U$31)</f>
        <v>0.27489748423948451</v>
      </c>
      <c r="H40">
        <f>AVERAGEIF($A$2:$A$31,$A40,V$2:V$31)</f>
        <v>0.51349552586620018</v>
      </c>
    </row>
    <row r="41" spans="1:8" x14ac:dyDescent="0.3">
      <c r="A41">
        <v>4</v>
      </c>
      <c r="B41">
        <f>AVERAGEIF($A$2:$A$31,$A41,I$2:I$31)</f>
        <v>4.8138617814382894</v>
      </c>
      <c r="C41">
        <f t="shared" si="1"/>
        <v>3.8290448950991376</v>
      </c>
      <c r="D41">
        <f t="shared" si="1"/>
        <v>6.7664228188967286</v>
      </c>
      <c r="E41">
        <f t="shared" si="1"/>
        <v>0.34784649509198662</v>
      </c>
      <c r="F41">
        <f t="shared" si="1"/>
        <v>13.915296533085437</v>
      </c>
      <c r="G41">
        <f>AVERAGEIF($A$2:$A$31,$A41,U$2:U$31)</f>
        <v>0.51618139592075685</v>
      </c>
      <c r="H41">
        <f>AVERAGEIF($A$2:$A$31,$A41,V$2:V$31)</f>
        <v>0.26841128259212571</v>
      </c>
    </row>
    <row r="42" spans="1:8" x14ac:dyDescent="0.3">
      <c r="A42">
        <v>5</v>
      </c>
      <c r="B42">
        <f>AVERAGEIF($A$2:$A$31,$A42,I$2:I$31)</f>
        <v>4.3673546637165161</v>
      </c>
      <c r="C42">
        <f t="shared" si="1"/>
        <v>3.0711721025120489</v>
      </c>
      <c r="D42">
        <f t="shared" si="1"/>
        <v>7.2649570701795669</v>
      </c>
      <c r="E42">
        <f t="shared" si="1"/>
        <v>0.33689678269802387</v>
      </c>
      <c r="F42">
        <f t="shared" si="1"/>
        <v>23.835680254672138</v>
      </c>
      <c r="G42">
        <f>AVERAGEIF($A$2:$A$31,$A42,U$2:U$31)</f>
        <v>0.44569534815792972</v>
      </c>
      <c r="H42">
        <f>AVERAGEIF($A$2:$A$31,$A42,V$2:V$31)</f>
        <v>0.37490237980734442</v>
      </c>
    </row>
    <row r="43" spans="1:8" x14ac:dyDescent="0.3">
      <c r="A43">
        <v>6</v>
      </c>
      <c r="B43">
        <f>AVERAGEIF($A$2:$A$31,$A43,I$2:I$31)</f>
        <v>4.2323899278543626</v>
      </c>
      <c r="C43">
        <f t="shared" si="1"/>
        <v>2.3776097618375576</v>
      </c>
      <c r="D43">
        <f t="shared" si="1"/>
        <v>7.6506270000036674</v>
      </c>
      <c r="E43">
        <f t="shared" si="1"/>
        <v>0.35033852208918148</v>
      </c>
      <c r="F43">
        <f t="shared" si="1"/>
        <v>39.585809559266472</v>
      </c>
      <c r="G43">
        <f>AVERAGEIF($A$2:$A$31,$A43,U$2:U$31)</f>
        <v>0.31569821660732705</v>
      </c>
      <c r="H43">
        <f>AVERAGEIF($A$2:$A$31,$A43,V$2:V$31)</f>
        <v>0.52269525456387189</v>
      </c>
    </row>
    <row r="44" spans="1:8" x14ac:dyDescent="0.3">
      <c r="A44">
        <v>7</v>
      </c>
      <c r="B44">
        <f>AVERAGEIF($A$2:$A$31,$A44,I$2:I$31)</f>
        <v>4.9086733350294933</v>
      </c>
      <c r="C44">
        <f t="shared" si="1"/>
        <v>2.2893558549928152</v>
      </c>
      <c r="D44">
        <f t="shared" si="1"/>
        <v>7.9890598564450519</v>
      </c>
      <c r="E44">
        <f t="shared" si="1"/>
        <v>0.34785552775969436</v>
      </c>
      <c r="F44">
        <f t="shared" si="1"/>
        <v>74.209753692690313</v>
      </c>
      <c r="G44">
        <f>AVERAGEIF($A$2:$A$31,$A44,U$2:U$31)</f>
        <v>0.21860571758981506</v>
      </c>
      <c r="H44">
        <f>AVERAGEIF($A$2:$A$31,$A44,V$2:V$31)</f>
        <v>0.65068635192311364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1A6FA-D78B-4779-A921-F2A2E91839F6}">
  <dimension ref="A1:H19"/>
  <sheetViews>
    <sheetView workbookViewId="0">
      <selection activeCell="G29" sqref="G29"/>
    </sheetView>
  </sheetViews>
  <sheetFormatPr defaultRowHeight="14.4" x14ac:dyDescent="0.3"/>
  <sheetData>
    <row r="1" spans="1:8" x14ac:dyDescent="0.3">
      <c r="A1" t="s">
        <v>0</v>
      </c>
      <c r="B1" t="s">
        <v>1</v>
      </c>
      <c r="C1" t="s">
        <v>2</v>
      </c>
      <c r="D1" t="s">
        <v>3</v>
      </c>
      <c r="E1" t="s">
        <v>4</v>
      </c>
      <c r="F1" t="s">
        <v>8</v>
      </c>
      <c r="G1" t="s">
        <v>9</v>
      </c>
      <c r="H1" t="s">
        <v>10</v>
      </c>
    </row>
    <row r="2" spans="1:8" x14ac:dyDescent="0.3">
      <c r="A2">
        <v>1</v>
      </c>
      <c r="B2">
        <v>131072</v>
      </c>
      <c r="C2">
        <v>4</v>
      </c>
      <c r="D2">
        <v>125</v>
      </c>
      <c r="E2">
        <v>0.1</v>
      </c>
      <c r="F2">
        <v>42.908000000000001</v>
      </c>
      <c r="G2">
        <v>258.11900000000003</v>
      </c>
      <c r="H2">
        <v>6.0156381094434597</v>
      </c>
    </row>
    <row r="3" spans="1:8" x14ac:dyDescent="0.3">
      <c r="A3">
        <v>2</v>
      </c>
      <c r="B3">
        <v>131072</v>
      </c>
      <c r="C3">
        <v>4</v>
      </c>
      <c r="D3">
        <v>125</v>
      </c>
      <c r="E3">
        <v>0.15</v>
      </c>
      <c r="F3">
        <v>28.204999999999998</v>
      </c>
      <c r="G3">
        <v>176.63499999999999</v>
      </c>
      <c r="H3">
        <v>6.2625421024641001</v>
      </c>
    </row>
    <row r="4" spans="1:8" x14ac:dyDescent="0.3">
      <c r="A4">
        <v>3</v>
      </c>
      <c r="B4">
        <v>131072</v>
      </c>
      <c r="C4">
        <v>4</v>
      </c>
      <c r="D4">
        <v>125</v>
      </c>
      <c r="E4">
        <v>0.2</v>
      </c>
      <c r="F4">
        <v>18.306999999999999</v>
      </c>
      <c r="G4">
        <v>111.749</v>
      </c>
      <c r="H4">
        <v>6.10416780466488</v>
      </c>
    </row>
    <row r="5" spans="1:8" x14ac:dyDescent="0.3">
      <c r="A5">
        <v>4</v>
      </c>
      <c r="B5">
        <v>131072</v>
      </c>
      <c r="C5">
        <v>4</v>
      </c>
      <c r="D5">
        <v>125</v>
      </c>
      <c r="E5">
        <v>0.3</v>
      </c>
      <c r="F5">
        <v>8.2560000000000002</v>
      </c>
      <c r="G5">
        <v>48.16</v>
      </c>
      <c r="H5">
        <v>5.8333333333333304</v>
      </c>
    </row>
    <row r="6" spans="1:8" x14ac:dyDescent="0.3">
      <c r="A6">
        <v>5</v>
      </c>
      <c r="B6">
        <v>131072</v>
      </c>
      <c r="C6">
        <v>4</v>
      </c>
      <c r="D6">
        <v>125</v>
      </c>
      <c r="E6">
        <v>0.35</v>
      </c>
      <c r="F6">
        <v>6.55</v>
      </c>
      <c r="G6">
        <v>35.25</v>
      </c>
      <c r="H6">
        <v>5.3816793893129704</v>
      </c>
    </row>
    <row r="7" spans="1:8" x14ac:dyDescent="0.3">
      <c r="A7">
        <v>6</v>
      </c>
      <c r="B7">
        <v>131072</v>
      </c>
      <c r="C7">
        <v>4</v>
      </c>
      <c r="D7">
        <v>125</v>
      </c>
      <c r="E7">
        <v>0.4</v>
      </c>
      <c r="F7">
        <v>4.5830000000000002</v>
      </c>
      <c r="G7">
        <v>23.553000000000001</v>
      </c>
      <c r="H7">
        <v>5.1392101243726804</v>
      </c>
    </row>
    <row r="8" spans="1:8" x14ac:dyDescent="0.3">
      <c r="A8">
        <v>7</v>
      </c>
      <c r="B8">
        <v>131072</v>
      </c>
      <c r="C8">
        <v>4</v>
      </c>
      <c r="D8">
        <v>125</v>
      </c>
      <c r="E8">
        <v>0.45</v>
      </c>
      <c r="F8">
        <v>3.681</v>
      </c>
      <c r="G8">
        <v>18.584</v>
      </c>
      <c r="H8">
        <v>5.0486280901928797</v>
      </c>
    </row>
    <row r="9" spans="1:8" x14ac:dyDescent="0.3">
      <c r="A9">
        <v>8</v>
      </c>
      <c r="B9">
        <v>131072</v>
      </c>
      <c r="C9">
        <v>4</v>
      </c>
      <c r="D9">
        <v>125</v>
      </c>
      <c r="E9">
        <v>0.5</v>
      </c>
      <c r="F9">
        <v>3.31</v>
      </c>
      <c r="G9">
        <v>16.088000000000001</v>
      </c>
      <c r="H9">
        <v>4.86042296072507</v>
      </c>
    </row>
    <row r="10" spans="1:8" x14ac:dyDescent="0.3">
      <c r="A10">
        <v>9</v>
      </c>
      <c r="B10">
        <v>131072</v>
      </c>
      <c r="C10">
        <v>4</v>
      </c>
      <c r="D10">
        <v>125</v>
      </c>
      <c r="E10">
        <v>0.55000000000000004</v>
      </c>
      <c r="F10">
        <v>2.74</v>
      </c>
      <c r="G10">
        <v>12.353999999999999</v>
      </c>
      <c r="H10">
        <v>4.5087591240875904</v>
      </c>
    </row>
    <row r="11" spans="1:8" x14ac:dyDescent="0.3">
      <c r="A11">
        <v>10</v>
      </c>
      <c r="B11">
        <v>131072</v>
      </c>
      <c r="C11">
        <v>4</v>
      </c>
      <c r="D11">
        <v>125</v>
      </c>
      <c r="E11">
        <v>0.6</v>
      </c>
      <c r="F11">
        <v>2.5110000000000001</v>
      </c>
      <c r="G11">
        <v>9.9079999999999995</v>
      </c>
      <c r="H11">
        <v>3.9458383114297</v>
      </c>
    </row>
    <row r="12" spans="1:8" x14ac:dyDescent="0.3">
      <c r="A12">
        <v>11</v>
      </c>
      <c r="B12">
        <v>131072</v>
      </c>
      <c r="C12">
        <v>4</v>
      </c>
      <c r="D12">
        <v>125</v>
      </c>
      <c r="E12">
        <v>0.65</v>
      </c>
      <c r="F12">
        <v>1.5109999999999999</v>
      </c>
      <c r="G12">
        <v>7.101</v>
      </c>
      <c r="H12">
        <v>4.6995367306419498</v>
      </c>
    </row>
    <row r="13" spans="1:8" x14ac:dyDescent="0.3">
      <c r="A13">
        <v>12</v>
      </c>
      <c r="B13">
        <v>131072</v>
      </c>
      <c r="C13">
        <v>4</v>
      </c>
      <c r="D13">
        <v>125</v>
      </c>
      <c r="E13">
        <v>0.7</v>
      </c>
      <c r="F13">
        <v>1.43</v>
      </c>
      <c r="G13">
        <v>6.8970000000000002</v>
      </c>
      <c r="H13">
        <v>4.8230769230769202</v>
      </c>
    </row>
    <row r="14" spans="1:8" x14ac:dyDescent="0.3">
      <c r="A14">
        <v>13</v>
      </c>
      <c r="B14">
        <v>131072</v>
      </c>
      <c r="C14">
        <v>4</v>
      </c>
      <c r="D14">
        <v>125</v>
      </c>
      <c r="E14">
        <v>0.75</v>
      </c>
      <c r="F14">
        <v>1.3089999999999999</v>
      </c>
      <c r="G14">
        <v>5.6219999999999999</v>
      </c>
      <c r="H14">
        <v>4.29488158899923</v>
      </c>
    </row>
    <row r="15" spans="1:8" x14ac:dyDescent="0.3">
      <c r="A15">
        <v>14</v>
      </c>
      <c r="B15">
        <v>131072</v>
      </c>
      <c r="C15">
        <v>4</v>
      </c>
      <c r="D15">
        <v>125</v>
      </c>
      <c r="E15">
        <v>0.8</v>
      </c>
      <c r="F15">
        <v>1.103</v>
      </c>
      <c r="G15">
        <v>5.056</v>
      </c>
      <c r="H15">
        <v>4.5838621940163096</v>
      </c>
    </row>
    <row r="16" spans="1:8" x14ac:dyDescent="0.3">
      <c r="A16">
        <v>15</v>
      </c>
      <c r="B16">
        <v>131072</v>
      </c>
      <c r="C16">
        <v>4</v>
      </c>
      <c r="D16">
        <v>125</v>
      </c>
      <c r="E16">
        <v>0.85</v>
      </c>
      <c r="F16">
        <v>0.97099999999999997</v>
      </c>
      <c r="G16">
        <v>3.7530000000000001</v>
      </c>
      <c r="H16">
        <v>3.8650875386199699</v>
      </c>
    </row>
    <row r="17" spans="1:8" x14ac:dyDescent="0.3">
      <c r="A17">
        <v>16</v>
      </c>
      <c r="B17">
        <v>131072</v>
      </c>
      <c r="C17">
        <v>4</v>
      </c>
      <c r="D17">
        <v>125</v>
      </c>
      <c r="E17">
        <v>0.9</v>
      </c>
      <c r="F17">
        <v>0.89300000000000002</v>
      </c>
      <c r="G17">
        <v>3.35</v>
      </c>
      <c r="H17">
        <v>3.75139977603583</v>
      </c>
    </row>
    <row r="18" spans="1:8" x14ac:dyDescent="0.3">
      <c r="A18">
        <v>17</v>
      </c>
      <c r="B18">
        <v>131072</v>
      </c>
      <c r="C18">
        <v>4</v>
      </c>
      <c r="D18">
        <v>125</v>
      </c>
      <c r="E18">
        <v>0.95</v>
      </c>
      <c r="F18">
        <v>0.82599999999999996</v>
      </c>
      <c r="G18">
        <v>2.9169999999999998</v>
      </c>
      <c r="H18">
        <v>3.5314769975786899</v>
      </c>
    </row>
    <row r="19" spans="1:8" x14ac:dyDescent="0.3">
      <c r="A19">
        <v>18</v>
      </c>
      <c r="B19">
        <v>131072</v>
      </c>
      <c r="C19">
        <v>4</v>
      </c>
      <c r="D19">
        <v>125</v>
      </c>
      <c r="E19">
        <v>1</v>
      </c>
      <c r="F19">
        <v>0.88</v>
      </c>
      <c r="G19">
        <v>3.4340000000000002</v>
      </c>
      <c r="H19">
        <v>3.9022727272727198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6E976-1A45-40F6-B60F-275DAA0B5127}">
  <dimension ref="A1:R151"/>
  <sheetViews>
    <sheetView topLeftCell="G1" workbookViewId="0">
      <selection activeCell="X16" sqref="X16"/>
    </sheetView>
  </sheetViews>
  <sheetFormatPr defaultRowHeight="14.4" x14ac:dyDescent="0.3"/>
  <sheetData>
    <row r="1" spans="1:8" ht="28.8" x14ac:dyDescent="0.3">
      <c r="A1" s="5" t="s">
        <v>44</v>
      </c>
      <c r="B1" s="5" t="s">
        <v>52</v>
      </c>
      <c r="C1" s="5" t="s">
        <v>53</v>
      </c>
      <c r="D1" s="5" t="s">
        <v>13</v>
      </c>
      <c r="E1" s="5" t="s">
        <v>55</v>
      </c>
      <c r="F1" s="5" t="s">
        <v>54</v>
      </c>
      <c r="G1" s="5" t="s">
        <v>56</v>
      </c>
      <c r="H1" s="5" t="s">
        <v>59</v>
      </c>
    </row>
    <row r="2" spans="1:8" x14ac:dyDescent="0.3">
      <c r="A2">
        <v>3.5910097744546642E-2</v>
      </c>
      <c r="B2">
        <v>1.0779558E-2</v>
      </c>
      <c r="C2">
        <v>0.96388679499999996</v>
      </c>
      <c r="D2">
        <v>6.7695685409999999</v>
      </c>
      <c r="E2">
        <f>4.089 + (3.487*C2) - (2.096*B2)</f>
        <v>7.4274793005969997</v>
      </c>
      <c r="F2">
        <f>POWER(D2,10)</f>
        <v>202120283.03949672</v>
      </c>
      <c r="G2">
        <f>C2/B2</f>
        <v>89.4180257669192</v>
      </c>
      <c r="H2">
        <f>1-C2-B2</f>
        <v>2.5333647000000035E-2</v>
      </c>
    </row>
    <row r="3" spans="1:8" x14ac:dyDescent="0.3">
      <c r="A3">
        <v>4.5568379537931157E-2</v>
      </c>
      <c r="B3">
        <v>3.3506629000000003E-2</v>
      </c>
      <c r="C3">
        <v>0.95429370899999999</v>
      </c>
      <c r="D3">
        <v>7.2300658350000004</v>
      </c>
      <c r="E3">
        <f>4.089 + (3.487*C3) - (2.096*B3)</f>
        <v>7.3463922688989998</v>
      </c>
      <c r="F3">
        <f>POWER(D3,10)</f>
        <v>390321540.17124969</v>
      </c>
      <c r="G3">
        <f>C3/B3</f>
        <v>28.480743586589981</v>
      </c>
      <c r="H3">
        <f t="shared" ref="H3:H66" si="0">1-C3-B3</f>
        <v>1.2199662000000007E-2</v>
      </c>
    </row>
    <row r="4" spans="1:8" x14ac:dyDescent="0.3">
      <c r="A4">
        <v>8.5550985390121959E-2</v>
      </c>
      <c r="B4">
        <v>6.3103556000000005E-2</v>
      </c>
      <c r="C4">
        <v>0.914170021</v>
      </c>
      <c r="D4">
        <v>6.4367166779999998</v>
      </c>
      <c r="E4">
        <f>4.089 + (3.487*C4) - (2.096*B4)</f>
        <v>7.1444458098510006</v>
      </c>
      <c r="F4">
        <f>POWER(D4,10)</f>
        <v>122079835.12947166</v>
      </c>
      <c r="G4">
        <f>C4/B4</f>
        <v>14.486822596812134</v>
      </c>
      <c r="H4">
        <f t="shared" si="0"/>
        <v>2.2726422999999996E-2</v>
      </c>
    </row>
    <row r="5" spans="1:8" x14ac:dyDescent="0.3">
      <c r="A5">
        <v>9.9378066738232906E-2</v>
      </c>
      <c r="B5">
        <v>9.1160068999999996E-2</v>
      </c>
      <c r="C5">
        <v>0.900533001</v>
      </c>
      <c r="D5">
        <v>7.298130005</v>
      </c>
      <c r="E5">
        <f>4.089 + (3.487*C5) - (2.096*B5)</f>
        <v>7.0380870698629998</v>
      </c>
      <c r="F5">
        <f>POWER(D5,10)</f>
        <v>428662955.41883838</v>
      </c>
      <c r="G5">
        <f>C5/B5</f>
        <v>9.8785906030852182</v>
      </c>
      <c r="H5">
        <f t="shared" si="0"/>
        <v>8.306930000000004E-3</v>
      </c>
    </row>
    <row r="6" spans="1:8" x14ac:dyDescent="0.3">
      <c r="A6">
        <v>0.16443448281295708</v>
      </c>
      <c r="B6">
        <v>0.159432672</v>
      </c>
      <c r="C6">
        <v>0.83541327099999996</v>
      </c>
      <c r="D6">
        <v>7.319900541</v>
      </c>
      <c r="E6">
        <f>4.089 + (3.487*C6) - (2.096*B6)</f>
        <v>6.6679151954650013</v>
      </c>
      <c r="F6">
        <f>POWER(D6,10)</f>
        <v>441623119.65957773</v>
      </c>
      <c r="G6">
        <f>C6/B6</f>
        <v>5.2399126259390547</v>
      </c>
      <c r="H6">
        <f t="shared" si="0"/>
        <v>5.1540570000000452E-3</v>
      </c>
    </row>
    <row r="7" spans="1:8" x14ac:dyDescent="0.3">
      <c r="A7">
        <v>0.17615399722175584</v>
      </c>
      <c r="B7">
        <v>0.16275399099999999</v>
      </c>
      <c r="C7">
        <v>0.82367858100000002</v>
      </c>
      <c r="D7">
        <v>6.509359678</v>
      </c>
      <c r="E7">
        <f>4.089 + (3.487*C7) - (2.096*B7)</f>
        <v>6.6200348468110004</v>
      </c>
      <c r="F7">
        <f>POWER(D7,10)</f>
        <v>136578611.6425299</v>
      </c>
      <c r="G7">
        <f>C7/B7</f>
        <v>5.0608810016830867</v>
      </c>
      <c r="H7">
        <f t="shared" si="0"/>
        <v>1.3567427999999992E-2</v>
      </c>
    </row>
    <row r="8" spans="1:8" x14ac:dyDescent="0.3">
      <c r="A8">
        <v>0.20432548715841048</v>
      </c>
      <c r="B8">
        <v>0.18030623100000001</v>
      </c>
      <c r="C8">
        <v>0.79543077900000003</v>
      </c>
      <c r="D8">
        <v>6.5635311940000003</v>
      </c>
      <c r="E8">
        <f>4.089 + (3.487*C8) - (2.096*B8)</f>
        <v>6.4847452661970006</v>
      </c>
      <c r="F8">
        <f>POWER(D8,10)</f>
        <v>148380057.90483379</v>
      </c>
      <c r="G8">
        <f>C8/B8</f>
        <v>4.4115545790538988</v>
      </c>
      <c r="H8">
        <f t="shared" si="0"/>
        <v>2.4262989999999957E-2</v>
      </c>
    </row>
    <row r="9" spans="1:8" x14ac:dyDescent="0.3">
      <c r="A9">
        <v>0.21148577661773615</v>
      </c>
      <c r="B9">
        <v>0.17165311899999999</v>
      </c>
      <c r="C9">
        <v>0.78814933600000003</v>
      </c>
      <c r="D9">
        <v>5.8049334239999997</v>
      </c>
      <c r="E9">
        <f>4.089 + (3.487*C9) - (2.096*B9)</f>
        <v>6.4774917972080006</v>
      </c>
      <c r="F9">
        <f>POWER(D9,10)</f>
        <v>43448264.373436481</v>
      </c>
      <c r="G9">
        <f>C9/B9</f>
        <v>4.5915235364875606</v>
      </c>
      <c r="H9">
        <f t="shared" si="0"/>
        <v>4.0197544999999973E-2</v>
      </c>
    </row>
    <row r="10" spans="1:8" x14ac:dyDescent="0.3">
      <c r="A10">
        <v>0.21336977737699137</v>
      </c>
      <c r="B10">
        <v>0.18123821000000001</v>
      </c>
      <c r="C10">
        <v>0.78633788999999998</v>
      </c>
      <c r="D10">
        <v>6.2267699939999996</v>
      </c>
      <c r="E10">
        <f>4.089 + (3.487*C10) - (2.096*B10)</f>
        <v>6.4510849342700007</v>
      </c>
      <c r="F10">
        <f>POWER(D10,10)</f>
        <v>87625042.049916968</v>
      </c>
      <c r="G10">
        <f>C10/B10</f>
        <v>4.338698169663008</v>
      </c>
      <c r="H10">
        <f t="shared" si="0"/>
        <v>3.2423900000000005E-2</v>
      </c>
    </row>
    <row r="11" spans="1:8" x14ac:dyDescent="0.3">
      <c r="A11">
        <v>0.21527494421966178</v>
      </c>
      <c r="B11">
        <v>0.20850207500000001</v>
      </c>
      <c r="C11">
        <v>0.78463571799999998</v>
      </c>
      <c r="D11">
        <v>7.0042131190000001</v>
      </c>
      <c r="E11">
        <f>4.089 + (3.487*C11) - (2.096*B11)</f>
        <v>6.3880043994660003</v>
      </c>
      <c r="F11">
        <f>POWER(D11,10)</f>
        <v>284180006.61330116</v>
      </c>
      <c r="G11">
        <f>C11/B11</f>
        <v>3.7632034021723761</v>
      </c>
      <c r="H11">
        <f t="shared" si="0"/>
        <v>6.862207000000009E-3</v>
      </c>
    </row>
    <row r="12" spans="1:8" x14ac:dyDescent="0.3">
      <c r="A12">
        <v>0.21785294014213658</v>
      </c>
      <c r="B12">
        <v>0.20425464700000001</v>
      </c>
      <c r="C12">
        <v>0.78160302699999995</v>
      </c>
      <c r="D12">
        <v>6.508644254</v>
      </c>
      <c r="E12">
        <f>4.089 + (3.487*C12) - (2.096*B12)</f>
        <v>6.3863320150370004</v>
      </c>
      <c r="F12">
        <f>POWER(D12,10)</f>
        <v>136428576.44812822</v>
      </c>
      <c r="G12">
        <f>C12/B12</f>
        <v>3.8266107453604219</v>
      </c>
      <c r="H12">
        <f t="shared" si="0"/>
        <v>1.4142326000000038E-2</v>
      </c>
    </row>
    <row r="13" spans="1:8" x14ac:dyDescent="0.3">
      <c r="A13">
        <v>0.24783652932892153</v>
      </c>
      <c r="B13">
        <v>0.237201257</v>
      </c>
      <c r="C13">
        <v>0.75144589299999998</v>
      </c>
      <c r="D13">
        <v>6.3912288420000003</v>
      </c>
      <c r="E13">
        <f>4.089 + (3.487*C13) - (2.096*B13)</f>
        <v>6.2121179942190006</v>
      </c>
      <c r="F13">
        <f>POWER(D13,10)</f>
        <v>113721788.22507937</v>
      </c>
      <c r="G13">
        <f>C13/B13</f>
        <v>3.1679675837468264</v>
      </c>
      <c r="H13">
        <f t="shared" si="0"/>
        <v>1.1352850000000025E-2</v>
      </c>
    </row>
    <row r="14" spans="1:8" x14ac:dyDescent="0.3">
      <c r="A14">
        <v>0.2532692409117045</v>
      </c>
      <c r="B14">
        <v>0.19268373999999999</v>
      </c>
      <c r="C14">
        <v>0.74613497600000001</v>
      </c>
      <c r="D14">
        <v>5.4346795480000001</v>
      </c>
      <c r="E14">
        <f>4.089 + (3.487*C14) - (2.096*B14)</f>
        <v>6.2869075422720009</v>
      </c>
      <c r="F14">
        <f>POWER(D14,10)</f>
        <v>22477055.251377668</v>
      </c>
      <c r="G14">
        <f>C14/B14</f>
        <v>3.8723297357628623</v>
      </c>
      <c r="H14">
        <f t="shared" si="0"/>
        <v>6.1181284000000002E-2</v>
      </c>
    </row>
    <row r="15" spans="1:8" x14ac:dyDescent="0.3">
      <c r="A15">
        <v>0.27332311720515373</v>
      </c>
      <c r="B15">
        <v>0.25987770799999999</v>
      </c>
      <c r="C15">
        <v>0.72574130299999995</v>
      </c>
      <c r="D15">
        <v>5.7005365530000001</v>
      </c>
      <c r="E15">
        <f>4.089 + (3.487*C15) - (2.096*B15)</f>
        <v>6.0749562475930006</v>
      </c>
      <c r="F15">
        <f>POWER(D15,10)</f>
        <v>36237426.544637807</v>
      </c>
      <c r="G15">
        <f>C15/B15</f>
        <v>2.7926262263325796</v>
      </c>
      <c r="H15">
        <f t="shared" si="0"/>
        <v>1.4380989000000066E-2</v>
      </c>
    </row>
    <row r="16" spans="1:8" x14ac:dyDescent="0.3">
      <c r="A16">
        <v>0.27445588684735156</v>
      </c>
      <c r="B16">
        <v>0.25304948999999999</v>
      </c>
      <c r="C16">
        <v>0.72520663200000002</v>
      </c>
      <c r="D16">
        <v>5.9719760649999998</v>
      </c>
      <c r="E16">
        <f>4.089 + (3.487*C16) - (2.096*B16)</f>
        <v>6.0874037947440005</v>
      </c>
      <c r="F16">
        <f>POWER(D16,10)</f>
        <v>57700633.925120458</v>
      </c>
      <c r="G16">
        <f>C16/B16</f>
        <v>2.8658687753134773</v>
      </c>
      <c r="H16">
        <f t="shared" si="0"/>
        <v>2.1743877999999994E-2</v>
      </c>
    </row>
    <row r="17" spans="1:8" x14ac:dyDescent="0.3">
      <c r="A17">
        <v>0.27574876843011503</v>
      </c>
      <c r="B17">
        <v>0.267809511</v>
      </c>
      <c r="C17">
        <v>0.72411968999999998</v>
      </c>
      <c r="D17">
        <v>6.3525688870000003</v>
      </c>
      <c r="E17">
        <f>4.089 + (3.487*C17) - (2.096*B17)</f>
        <v>6.0526766239740013</v>
      </c>
      <c r="F17">
        <f>POWER(D17,10)</f>
        <v>107027118.29293226</v>
      </c>
      <c r="G17">
        <f>C17/B17</f>
        <v>2.703860991703166</v>
      </c>
      <c r="H17">
        <f t="shared" si="0"/>
        <v>8.0707990000000174E-3</v>
      </c>
    </row>
    <row r="18" spans="1:8" x14ac:dyDescent="0.3">
      <c r="A18">
        <v>0.27601753566919868</v>
      </c>
      <c r="B18">
        <v>0.25701298500000003</v>
      </c>
      <c r="C18">
        <v>0.72343192199999995</v>
      </c>
      <c r="D18">
        <v>6.6700219409999999</v>
      </c>
      <c r="E18">
        <f>4.089 + (3.487*C18) - (2.096*B18)</f>
        <v>6.0729078954539997</v>
      </c>
      <c r="F18">
        <f>POWER(D18,10)</f>
        <v>174290062.35676041</v>
      </c>
      <c r="G18">
        <f>C18/B18</f>
        <v>2.814767985360739</v>
      </c>
      <c r="H18">
        <f t="shared" si="0"/>
        <v>1.9555093000000023E-2</v>
      </c>
    </row>
    <row r="19" spans="1:8" x14ac:dyDescent="0.3">
      <c r="A19">
        <v>0.28084101815549944</v>
      </c>
      <c r="B19">
        <v>0.235721932</v>
      </c>
      <c r="C19">
        <v>0.71780519300000001</v>
      </c>
      <c r="D19">
        <v>6.0352194020000001</v>
      </c>
      <c r="E19">
        <f>4.089 + (3.487*C19) - (2.096*B19)</f>
        <v>6.0979135385190002</v>
      </c>
      <c r="F19">
        <f>POWER(D19,10)</f>
        <v>64110716.254963629</v>
      </c>
      <c r="G19">
        <f>C19/B19</f>
        <v>3.0451353716208298</v>
      </c>
      <c r="H19">
        <f t="shared" si="0"/>
        <v>4.6472874999999997E-2</v>
      </c>
    </row>
    <row r="20" spans="1:8" x14ac:dyDescent="0.3">
      <c r="A20">
        <v>0.28181952331275678</v>
      </c>
      <c r="B20">
        <v>0.27359199099999998</v>
      </c>
      <c r="C20">
        <v>0.71759039899999999</v>
      </c>
      <c r="D20">
        <v>6.2709134969999996</v>
      </c>
      <c r="E20">
        <f>4.089 + (3.487*C20) - (2.096*B20)</f>
        <v>6.0177889081769997</v>
      </c>
      <c r="F20">
        <f>POWER(D20,10)</f>
        <v>94039021.208949357</v>
      </c>
      <c r="G20">
        <f>C20/B20</f>
        <v>2.6228487039300799</v>
      </c>
      <c r="H20">
        <f t="shared" si="0"/>
        <v>8.8176100000000313E-3</v>
      </c>
    </row>
    <row r="21" spans="1:8" x14ac:dyDescent="0.3">
      <c r="A21">
        <v>0.29563375854217128</v>
      </c>
      <c r="B21">
        <v>0.240934435</v>
      </c>
      <c r="C21">
        <v>0.70379149799999996</v>
      </c>
      <c r="D21">
        <v>5.6334663330000003</v>
      </c>
      <c r="E21">
        <f>4.089 + (3.487*C21) - (2.096*B21)</f>
        <v>6.0381223777660002</v>
      </c>
      <c r="F21">
        <f>POWER(D21,10)</f>
        <v>32192672.545018081</v>
      </c>
      <c r="G21">
        <f>C21/B21</f>
        <v>2.9210913666201344</v>
      </c>
      <c r="H21">
        <f t="shared" si="0"/>
        <v>5.5274067000000038E-2</v>
      </c>
    </row>
    <row r="22" spans="1:8" x14ac:dyDescent="0.3">
      <c r="A22">
        <v>0.29845387989790795</v>
      </c>
      <c r="B22">
        <v>0.27672205599999999</v>
      </c>
      <c r="C22">
        <v>0.70124230799999998</v>
      </c>
      <c r="D22">
        <v>6.4333012380000003</v>
      </c>
      <c r="E22">
        <f>4.089 + (3.487*C22) - (2.096*B22)</f>
        <v>5.9542224986200001</v>
      </c>
      <c r="F22">
        <f>POWER(D22,10)</f>
        <v>121433601.68587469</v>
      </c>
      <c r="G22">
        <f>C22/B22</f>
        <v>2.5341034181966324</v>
      </c>
      <c r="H22">
        <f t="shared" si="0"/>
        <v>2.2035636000000025E-2</v>
      </c>
    </row>
    <row r="23" spans="1:8" x14ac:dyDescent="0.3">
      <c r="A23">
        <v>0.30019596295564571</v>
      </c>
      <c r="B23">
        <v>0.22673088199999999</v>
      </c>
      <c r="C23">
        <v>0.69891608599999999</v>
      </c>
      <c r="D23">
        <v>4.8480471280000001</v>
      </c>
      <c r="E23">
        <f>4.089 + (3.487*C23) - (2.096*B23)</f>
        <v>6.0508924632100003</v>
      </c>
      <c r="F23">
        <f>POWER(D23,10)</f>
        <v>7172463.216509765</v>
      </c>
      <c r="G23">
        <f>C23/B23</f>
        <v>3.0825800166031199</v>
      </c>
      <c r="H23">
        <f t="shared" si="0"/>
        <v>7.4353032000000013E-2</v>
      </c>
    </row>
    <row r="24" spans="1:8" x14ac:dyDescent="0.3">
      <c r="A24">
        <v>0.31844101862762902</v>
      </c>
      <c r="B24">
        <v>0.31222561100000001</v>
      </c>
      <c r="C24">
        <v>0.68136395999999999</v>
      </c>
      <c r="D24">
        <v>6.2605144580000003</v>
      </c>
      <c r="E24">
        <f>4.089 + (3.487*C24) - (2.096*B24)</f>
        <v>5.8104912478640003</v>
      </c>
      <c r="F24">
        <f>POWER(D24,10)</f>
        <v>92491160.4528227</v>
      </c>
      <c r="G24">
        <f>C24/B24</f>
        <v>2.1822808123193966</v>
      </c>
      <c r="H24">
        <f t="shared" si="0"/>
        <v>6.4104289999999953E-3</v>
      </c>
    </row>
    <row r="25" spans="1:8" x14ac:dyDescent="0.3">
      <c r="A25">
        <v>0.31734358057488016</v>
      </c>
      <c r="B25">
        <v>0.28269562999999998</v>
      </c>
      <c r="C25">
        <v>0.68080307100000004</v>
      </c>
      <c r="D25">
        <v>5.8388037930000003</v>
      </c>
      <c r="E25">
        <f>4.089 + (3.487*C25) - (2.096*B25)</f>
        <v>5.8704302680970013</v>
      </c>
      <c r="F25">
        <f>POWER(D25,10)</f>
        <v>46050973.427760288</v>
      </c>
      <c r="G25">
        <f>C25/B25</f>
        <v>2.4082546695185916</v>
      </c>
      <c r="H25">
        <f t="shared" si="0"/>
        <v>3.6501298999999987E-2</v>
      </c>
    </row>
    <row r="26" spans="1:8" x14ac:dyDescent="0.3">
      <c r="A26">
        <v>0.32574029553163258</v>
      </c>
      <c r="B26">
        <v>0.28859257799999999</v>
      </c>
      <c r="C26">
        <v>0.67380086800000005</v>
      </c>
      <c r="D26">
        <v>5.508139463</v>
      </c>
      <c r="E26">
        <f>4.089 + (3.487*C26) - (2.096*B26)</f>
        <v>5.833653583228001</v>
      </c>
      <c r="F26">
        <f>POWER(D26,10)</f>
        <v>25706874.548554286</v>
      </c>
      <c r="G26">
        <f>C26/B26</f>
        <v>2.3347823865380213</v>
      </c>
      <c r="H26">
        <f t="shared" si="0"/>
        <v>3.7606553999999959E-2</v>
      </c>
    </row>
    <row r="27" spans="1:8" x14ac:dyDescent="0.3">
      <c r="A27">
        <v>0.33093141470982346</v>
      </c>
      <c r="B27">
        <v>0.29377879699999998</v>
      </c>
      <c r="C27">
        <v>0.66708140800000004</v>
      </c>
      <c r="D27">
        <v>5.3072505249999997</v>
      </c>
      <c r="E27">
        <f>4.089 + (3.487*C27) - (2.096*B27)</f>
        <v>5.7993525111840007</v>
      </c>
      <c r="F27">
        <f>POWER(D27,10)</f>
        <v>17729475.456173785</v>
      </c>
      <c r="G27">
        <f>C27/B27</f>
        <v>2.2706928301568343</v>
      </c>
      <c r="H27">
        <f t="shared" si="0"/>
        <v>3.9139794999999977E-2</v>
      </c>
    </row>
    <row r="28" spans="1:8" x14ac:dyDescent="0.3">
      <c r="A28">
        <v>0.33487140816972411</v>
      </c>
      <c r="B28">
        <v>0.21849890999999999</v>
      </c>
      <c r="C28">
        <v>0.66387242599999996</v>
      </c>
      <c r="D28">
        <v>4.6186786140000002</v>
      </c>
      <c r="E28">
        <f>4.089 + (3.487*C28) - (2.096*B28)</f>
        <v>5.9459494341020012</v>
      </c>
      <c r="F28">
        <f>POWER(D28,10)</f>
        <v>4417508.9048252599</v>
      </c>
      <c r="G28">
        <f>C28/B28</f>
        <v>3.0383328960313807</v>
      </c>
      <c r="H28">
        <f t="shared" si="0"/>
        <v>0.11762866400000005</v>
      </c>
    </row>
    <row r="29" spans="1:8" x14ac:dyDescent="0.3">
      <c r="A29">
        <v>0.33846779838071966</v>
      </c>
      <c r="B29">
        <v>0.28842836799999999</v>
      </c>
      <c r="C29">
        <v>0.66110414100000003</v>
      </c>
      <c r="D29">
        <v>5.0341956630000002</v>
      </c>
      <c r="E29">
        <f>4.089 + (3.487*C29) - (2.096*B29)</f>
        <v>5.7897242803390006</v>
      </c>
      <c r="F29">
        <f>POWER(D29,10)</f>
        <v>10454443.303727521</v>
      </c>
      <c r="G29">
        <f>C29/B29</f>
        <v>2.2920912585131017</v>
      </c>
      <c r="H29">
        <f t="shared" si="0"/>
        <v>5.0467490999999975E-2</v>
      </c>
    </row>
    <row r="30" spans="1:8" x14ac:dyDescent="0.3">
      <c r="A30">
        <v>0.34575822405004819</v>
      </c>
      <c r="B30">
        <v>0.33532736499999999</v>
      </c>
      <c r="C30">
        <v>0.65410173999999999</v>
      </c>
      <c r="D30">
        <v>6.0730786930000002</v>
      </c>
      <c r="E30">
        <f>4.089 + (3.487*C30) - (2.096*B30)</f>
        <v>5.6670066103400005</v>
      </c>
      <c r="F30">
        <f>POWER(D30,10)</f>
        <v>68247867.54483591</v>
      </c>
      <c r="G30">
        <f>C30/B30</f>
        <v>1.9506363281744095</v>
      </c>
      <c r="H30">
        <f t="shared" si="0"/>
        <v>1.0570895000000025E-2</v>
      </c>
    </row>
    <row r="31" spans="1:8" x14ac:dyDescent="0.3">
      <c r="A31">
        <v>0.35359415466492</v>
      </c>
      <c r="B31">
        <v>0.30011579799999999</v>
      </c>
      <c r="C31">
        <v>0.64567759000000002</v>
      </c>
      <c r="D31">
        <v>5.6536961420000003</v>
      </c>
      <c r="E31">
        <f>4.089 + (3.487*C31) - (2.096*B31)</f>
        <v>5.7114350437220009</v>
      </c>
      <c r="F31">
        <f>POWER(D31,10)</f>
        <v>33367574.297735978</v>
      </c>
      <c r="G31">
        <f>C31/B31</f>
        <v>2.1514281963923807</v>
      </c>
      <c r="H31">
        <f t="shared" si="0"/>
        <v>5.4206611999999987E-2</v>
      </c>
    </row>
    <row r="32" spans="1:8" x14ac:dyDescent="0.3">
      <c r="A32">
        <v>0.36021902007548129</v>
      </c>
      <c r="B32">
        <v>0.32896424000000002</v>
      </c>
      <c r="C32">
        <v>0.635292525</v>
      </c>
      <c r="D32">
        <v>6.1077119529999999</v>
      </c>
      <c r="E32">
        <f>4.089 + (3.487*C32) - (2.096*B32)</f>
        <v>5.6147559876350002</v>
      </c>
      <c r="F32">
        <f>POWER(D32,10)</f>
        <v>72241286.291770935</v>
      </c>
      <c r="G32">
        <f>C32/B32</f>
        <v>1.9311902260257832</v>
      </c>
      <c r="H32">
        <f t="shared" si="0"/>
        <v>3.5743234999999984E-2</v>
      </c>
    </row>
    <row r="33" spans="1:18" x14ac:dyDescent="0.3">
      <c r="A33">
        <v>0.366014033095719</v>
      </c>
      <c r="B33">
        <v>0.226263775</v>
      </c>
      <c r="C33">
        <v>0.63261157000000001</v>
      </c>
      <c r="D33">
        <v>4.140628897</v>
      </c>
      <c r="E33">
        <f>4.089 + (3.487*C33) - (2.096*B33)</f>
        <v>5.8206676721899999</v>
      </c>
      <c r="F33">
        <f>POWER(D33,10)</f>
        <v>1481368.436624045</v>
      </c>
      <c r="G33">
        <f>C33/B33</f>
        <v>2.7959030118718737</v>
      </c>
      <c r="H33">
        <f t="shared" si="0"/>
        <v>0.14112465499999999</v>
      </c>
    </row>
    <row r="34" spans="1:18" x14ac:dyDescent="0.3">
      <c r="A34">
        <v>0.36849107766301004</v>
      </c>
      <c r="B34">
        <v>0.25508387700000001</v>
      </c>
      <c r="C34">
        <v>0.62794960899999996</v>
      </c>
      <c r="D34">
        <v>4.7898684310000004</v>
      </c>
      <c r="E34">
        <f>4.089 + (3.487*C34) - (2.096*B34)</f>
        <v>5.7440044803910002</v>
      </c>
      <c r="F34">
        <f>POWER(D34,10)</f>
        <v>6356760.4105570456</v>
      </c>
      <c r="G34">
        <f>C34/B34</f>
        <v>2.4617377483250338</v>
      </c>
      <c r="H34">
        <f t="shared" si="0"/>
        <v>0.11696651400000002</v>
      </c>
    </row>
    <row r="35" spans="1:18" x14ac:dyDescent="0.3">
      <c r="A35">
        <v>0.37456995741512861</v>
      </c>
      <c r="B35">
        <v>0.33451313799999999</v>
      </c>
      <c r="C35">
        <v>0.62236150400000001</v>
      </c>
      <c r="D35">
        <v>4.2953747900000003</v>
      </c>
      <c r="E35">
        <f>4.089 + (3.487*C35) - (2.096*B35)</f>
        <v>5.5580350272000008</v>
      </c>
      <c r="F35">
        <f>POWER(D35,10)</f>
        <v>2138014.4637233578</v>
      </c>
      <c r="G35">
        <f>C35/B35</f>
        <v>1.8604994342554044</v>
      </c>
      <c r="H35">
        <f t="shared" si="0"/>
        <v>4.3125358000000003E-2</v>
      </c>
    </row>
    <row r="36" spans="1:18" x14ac:dyDescent="0.3">
      <c r="A36">
        <v>0.37710513081797614</v>
      </c>
      <c r="B36">
        <v>0.36730126099999999</v>
      </c>
      <c r="C36">
        <v>0.622068442</v>
      </c>
      <c r="D36">
        <v>6.0874558419999998</v>
      </c>
      <c r="E36">
        <f>4.089 + (3.487*C36) - (2.096*B36)</f>
        <v>5.4882892141980006</v>
      </c>
      <c r="F36">
        <f>POWER(D36,10)</f>
        <v>69880859.654010937</v>
      </c>
      <c r="G36">
        <f>C36/B36</f>
        <v>1.6936191297203307</v>
      </c>
      <c r="H36">
        <f t="shared" si="0"/>
        <v>1.0630297000000011E-2</v>
      </c>
    </row>
    <row r="37" spans="1:18" x14ac:dyDescent="0.3">
      <c r="A37">
        <v>0.3863375192559047</v>
      </c>
      <c r="B37">
        <v>0.361694774</v>
      </c>
      <c r="C37">
        <v>0.613116526</v>
      </c>
      <c r="D37">
        <v>5.7208768430000001</v>
      </c>
      <c r="E37">
        <f>4.089 + (3.487*C37) - (2.096*B37)</f>
        <v>5.468825079858</v>
      </c>
      <c r="F37">
        <f>POWER(D37,10)</f>
        <v>37551387.219004646</v>
      </c>
      <c r="G37">
        <f>C37/B37</f>
        <v>1.695121329013175</v>
      </c>
      <c r="H37">
        <f t="shared" si="0"/>
        <v>2.5188700000000008E-2</v>
      </c>
    </row>
    <row r="38" spans="1:18" x14ac:dyDescent="0.3">
      <c r="A38">
        <v>0.39569854287171735</v>
      </c>
      <c r="B38">
        <v>0.31017752799999998</v>
      </c>
      <c r="C38">
        <v>0.60305613000000002</v>
      </c>
      <c r="D38">
        <v>4.1655889760000004</v>
      </c>
      <c r="E38">
        <f>4.089 + (3.487*C38) - (2.096*B38)</f>
        <v>5.5417246266219999</v>
      </c>
      <c r="F38">
        <f>POWER(D38,10)</f>
        <v>1573128.3340593441</v>
      </c>
      <c r="G38">
        <f>C38/B38</f>
        <v>1.9442289513636206</v>
      </c>
      <c r="H38">
        <f t="shared" si="0"/>
        <v>8.6766341999999996E-2</v>
      </c>
    </row>
    <row r="39" spans="1:18" x14ac:dyDescent="0.3">
      <c r="A39">
        <v>0.39650253097402433</v>
      </c>
      <c r="B39">
        <v>0.204950418</v>
      </c>
      <c r="C39">
        <v>0.60153123500000005</v>
      </c>
      <c r="D39">
        <v>3.7686811640000002</v>
      </c>
      <c r="E39">
        <f>4.089 + (3.487*C39) - (2.096*B39)</f>
        <v>5.7569633403170011</v>
      </c>
      <c r="F39">
        <f>POWER(D39,10)</f>
        <v>577954.92711615376</v>
      </c>
      <c r="G39">
        <f>C39/B39</f>
        <v>2.9350085785138535</v>
      </c>
      <c r="H39">
        <f t="shared" si="0"/>
        <v>0.19351834699999995</v>
      </c>
    </row>
    <row r="40" spans="1:18" x14ac:dyDescent="0.3">
      <c r="A40">
        <v>0.3985897625721041</v>
      </c>
      <c r="B40">
        <v>0.38678596100000001</v>
      </c>
      <c r="C40">
        <v>0.60120030099999999</v>
      </c>
      <c r="D40">
        <v>5.9025249640000004</v>
      </c>
      <c r="E40">
        <f>4.089 + (3.487*C40) - (2.096*B40)</f>
        <v>5.374682075331001</v>
      </c>
      <c r="F40">
        <f>POWER(D40,10)</f>
        <v>51330834.586009495</v>
      </c>
      <c r="G40">
        <f>C40/B40</f>
        <v>1.5543488172260729</v>
      </c>
      <c r="H40">
        <f t="shared" si="0"/>
        <v>1.2013737999999996E-2</v>
      </c>
    </row>
    <row r="41" spans="1:18" x14ac:dyDescent="0.3">
      <c r="A41">
        <v>0.39131915692279301</v>
      </c>
      <c r="B41">
        <v>0.31385287000000001</v>
      </c>
      <c r="C41">
        <v>0.60058685300000003</v>
      </c>
      <c r="D41">
        <v>5.7549040189999996</v>
      </c>
      <c r="E41">
        <f>4.089 + (3.487*C41) - (2.096*B41)</f>
        <v>5.5254107408910009</v>
      </c>
      <c r="F41">
        <f>POWER(D41,10)</f>
        <v>39845643.784060851</v>
      </c>
      <c r="G41">
        <f>C41/B41</f>
        <v>1.9135936306715946</v>
      </c>
      <c r="H41">
        <f t="shared" si="0"/>
        <v>8.5560276999999962E-2</v>
      </c>
    </row>
    <row r="42" spans="1:18" x14ac:dyDescent="0.3">
      <c r="A42">
        <v>0.39754787186850576</v>
      </c>
      <c r="B42">
        <v>0.30351689599999998</v>
      </c>
      <c r="C42">
        <v>0.59779506999999998</v>
      </c>
      <c r="D42">
        <v>5.2308703730000001</v>
      </c>
      <c r="E42">
        <f>4.089 + (3.487*C42) - (2.096*B42)</f>
        <v>5.5373399950740003</v>
      </c>
      <c r="F42">
        <f>POWER(D42,10)</f>
        <v>15336970.365730897</v>
      </c>
      <c r="G42">
        <f>C42/B42</f>
        <v>1.9695610948788829</v>
      </c>
      <c r="H42">
        <f t="shared" si="0"/>
        <v>9.8688034000000036E-2</v>
      </c>
    </row>
    <row r="43" spans="1:18" x14ac:dyDescent="0.3">
      <c r="A43">
        <v>0.40094146504288453</v>
      </c>
      <c r="B43">
        <v>0.27935732099999999</v>
      </c>
      <c r="C43">
        <v>0.59424039900000003</v>
      </c>
      <c r="D43">
        <v>4.84505988</v>
      </c>
      <c r="E43">
        <f>4.089 + (3.487*C43) - (2.096*B43)</f>
        <v>5.5755833264970001</v>
      </c>
      <c r="F43">
        <f>POWER(D43,10)</f>
        <v>7128390.5956060896</v>
      </c>
      <c r="G43">
        <f>C43/B43</f>
        <v>2.1271695936688912</v>
      </c>
      <c r="H43">
        <f t="shared" si="0"/>
        <v>0.12640227999999998</v>
      </c>
    </row>
    <row r="44" spans="1:18" x14ac:dyDescent="0.3">
      <c r="A44">
        <v>0.40423689663910345</v>
      </c>
      <c r="B44">
        <v>0.11223173</v>
      </c>
      <c r="C44">
        <v>0.59256508200000002</v>
      </c>
      <c r="D44">
        <v>3.0488105810000001</v>
      </c>
      <c r="E44">
        <f>4.089 + (3.487*C44) - (2.096*B44)</f>
        <v>5.9200367348540004</v>
      </c>
      <c r="F44">
        <f>POWER(D44,10)</f>
        <v>69391.205125968656</v>
      </c>
      <c r="G44">
        <f>C44/B44</f>
        <v>5.2798355866028261</v>
      </c>
      <c r="H44">
        <f t="shared" si="0"/>
        <v>0.29520318800000001</v>
      </c>
    </row>
    <row r="45" spans="1:18" x14ac:dyDescent="0.3">
      <c r="A45">
        <v>0.41631795424303619</v>
      </c>
      <c r="B45">
        <v>0.38810969299999998</v>
      </c>
      <c r="C45">
        <v>0.58318699699999998</v>
      </c>
      <c r="D45">
        <v>5.5987828300000002</v>
      </c>
      <c r="E45">
        <f>4.089 + (3.487*C45) - (2.096*B45)</f>
        <v>5.3090951420110004</v>
      </c>
      <c r="F45">
        <f>POWER(D45,10)</f>
        <v>30264689.361717187</v>
      </c>
      <c r="G45">
        <f>C45/B45</f>
        <v>1.50263445494519</v>
      </c>
      <c r="H45">
        <f t="shared" si="0"/>
        <v>2.8703310000000037E-2</v>
      </c>
    </row>
    <row r="46" spans="1:18" x14ac:dyDescent="0.3">
      <c r="A46">
        <v>0.41556951408846976</v>
      </c>
      <c r="B46">
        <v>0.380557755</v>
      </c>
      <c r="C46">
        <v>0.58212101199999999</v>
      </c>
      <c r="D46">
        <v>5.841852942</v>
      </c>
      <c r="E46">
        <f>4.089 + (3.487*C46) - (2.096*B46)</f>
        <v>5.3212069143640006</v>
      </c>
      <c r="F46">
        <f>POWER(D46,10)</f>
        <v>46292027.455819003</v>
      </c>
      <c r="G46">
        <f>C46/B46</f>
        <v>1.5296522127107881</v>
      </c>
      <c r="H46">
        <f t="shared" si="0"/>
        <v>3.7321233000000009E-2</v>
      </c>
    </row>
    <row r="47" spans="1:18" x14ac:dyDescent="0.3">
      <c r="A47">
        <v>0.43683421854296117</v>
      </c>
      <c r="B47">
        <v>0.37034924299999999</v>
      </c>
      <c r="C47">
        <v>0.56203840000000005</v>
      </c>
      <c r="D47">
        <v>4.9775117550000001</v>
      </c>
      <c r="E47">
        <f>4.089 + (3.487*C47) - (2.096*B47)</f>
        <v>5.2725758874720015</v>
      </c>
      <c r="F47">
        <f>POWER(D47,10)</f>
        <v>9335185.3095195964</v>
      </c>
      <c r="G47">
        <f>C47/B47</f>
        <v>1.5175902492664204</v>
      </c>
      <c r="H47">
        <f t="shared" si="0"/>
        <v>6.7612356999999956E-2</v>
      </c>
      <c r="P47" t="s">
        <v>13</v>
      </c>
      <c r="Q47" t="s">
        <v>57</v>
      </c>
      <c r="R47" t="s">
        <v>58</v>
      </c>
    </row>
    <row r="48" spans="1:18" x14ac:dyDescent="0.3">
      <c r="A48">
        <v>0.43374355354976024</v>
      </c>
      <c r="B48">
        <v>0.33472542500000002</v>
      </c>
      <c r="C48">
        <v>0.56191406399999999</v>
      </c>
      <c r="D48">
        <v>4.5474928280000002</v>
      </c>
      <c r="E48">
        <f>4.089 + (3.487*C48) - (2.096*B48)</f>
        <v>5.3468098503680004</v>
      </c>
      <c r="F48">
        <f>POWER(D48,10)</f>
        <v>3781988.7091792622</v>
      </c>
      <c r="G48">
        <f>C48/B48</f>
        <v>1.6787313482386346</v>
      </c>
      <c r="H48">
        <f t="shared" si="0"/>
        <v>0.10336051099999999</v>
      </c>
      <c r="O48">
        <v>0.5</v>
      </c>
      <c r="P48">
        <v>1.5</v>
      </c>
      <c r="Q48" t="e">
        <f>AVERAGEIFS(C$2:C$151,D$2:D$151,"&gt;"&amp;O48,D$2:D$151,"&lt;="&amp;P48)</f>
        <v>#DIV/0!</v>
      </c>
      <c r="R48" t="e">
        <f>AVERAGEIFS(B$2:B$151,D$2:D$151,"&gt;"&amp;O48,D$2:D$151,"&lt;="&amp;P48)</f>
        <v>#DIV/0!</v>
      </c>
    </row>
    <row r="49" spans="1:18" x14ac:dyDescent="0.3">
      <c r="A49">
        <v>0.43739774452934566</v>
      </c>
      <c r="B49">
        <v>0.36113892199999997</v>
      </c>
      <c r="C49">
        <v>0.56162773499999996</v>
      </c>
      <c r="D49">
        <v>4.6092037960000001</v>
      </c>
      <c r="E49">
        <f>4.089 + (3.487*C49) - (2.096*B49)</f>
        <v>5.290448731433</v>
      </c>
      <c r="F49">
        <f>POWER(D49,10)</f>
        <v>4327719.5450265622</v>
      </c>
      <c r="G49">
        <f>C49/B49</f>
        <v>1.5551570345552508</v>
      </c>
      <c r="H49">
        <f t="shared" si="0"/>
        <v>7.7233343000000065E-2</v>
      </c>
      <c r="N49">
        <v>2</v>
      </c>
      <c r="O49">
        <v>1.5</v>
      </c>
      <c r="P49">
        <v>2.5</v>
      </c>
      <c r="Q49">
        <f>AVERAGEIFS(C$2:C$151,D$2:D$151,"&gt;"&amp;O49,D$2:D$151,"&lt;="&amp;P49)</f>
        <v>0.3369326113333333</v>
      </c>
      <c r="R49">
        <f>AVERAGEIFS(B$2:B$151,D$2:D$151,"&gt;"&amp;O49,D$2:D$151,"&lt;="&amp;P49)</f>
        <v>0.25357328566666665</v>
      </c>
    </row>
    <row r="50" spans="1:18" x14ac:dyDescent="0.3">
      <c r="A50">
        <v>0.44675008339081035</v>
      </c>
      <c r="B50">
        <v>0.43791037300000002</v>
      </c>
      <c r="C50">
        <v>0.55289980699999997</v>
      </c>
      <c r="D50">
        <v>5.8068054760000001</v>
      </c>
      <c r="E50">
        <f>4.089 + (3.487*C50) - (2.096*B50)</f>
        <v>5.0991014852010004</v>
      </c>
      <c r="F50">
        <f>POWER(D50,10)</f>
        <v>43588585.621401183</v>
      </c>
      <c r="G50">
        <f>C50/B50</f>
        <v>1.2625866868880951</v>
      </c>
      <c r="H50">
        <f t="shared" si="0"/>
        <v>9.1898200000000152E-3</v>
      </c>
      <c r="N50">
        <v>3</v>
      </c>
      <c r="O50">
        <v>2.5</v>
      </c>
      <c r="P50">
        <v>3.5</v>
      </c>
      <c r="Q50">
        <f>AVERAGEIFS(C$2:C$151,D$2:D$151,"&gt;"&amp;O50,D$2:D$151,"&lt;="&amp;P50)</f>
        <v>0.33930294892000001</v>
      </c>
      <c r="R50">
        <f>AVERAGEIFS(B$2:B$151,D$2:D$151,"&gt;"&amp;O50,D$2:D$151,"&lt;="&amp;P50)</f>
        <v>0.31453665408000003</v>
      </c>
    </row>
    <row r="51" spans="1:18" x14ac:dyDescent="0.3">
      <c r="A51">
        <v>0.44746184921126642</v>
      </c>
      <c r="B51">
        <v>0.28395509800000002</v>
      </c>
      <c r="C51">
        <v>0.551455217</v>
      </c>
      <c r="D51">
        <v>3.5645162309999998</v>
      </c>
      <c r="E51">
        <f>4.089 + (3.487*C51) - (2.096*B51)</f>
        <v>5.4167544562710006</v>
      </c>
      <c r="F51">
        <f>POWER(D51,10)</f>
        <v>331135.67041530774</v>
      </c>
      <c r="G51">
        <f>C51/B51</f>
        <v>1.9420507709990118</v>
      </c>
      <c r="H51">
        <f t="shared" si="0"/>
        <v>0.16458968499999999</v>
      </c>
      <c r="N51">
        <v>4</v>
      </c>
      <c r="O51">
        <v>3.5</v>
      </c>
      <c r="P51">
        <v>4.5</v>
      </c>
      <c r="Q51">
        <f>AVERAGEIFS(C$2:C$151,D$2:D$151,"&gt;"&amp;O51,D$2:D$151,"&lt;="&amp;P51)</f>
        <v>0.36212998779487199</v>
      </c>
      <c r="R51">
        <f>AVERAGEIFS(B$2:B$151,D$2:D$151,"&gt;"&amp;O51,D$2:D$151,"&lt;="&amp;P51)</f>
        <v>0.35894392474358966</v>
      </c>
    </row>
    <row r="52" spans="1:18" x14ac:dyDescent="0.3">
      <c r="A52">
        <v>0.45216363543837018</v>
      </c>
      <c r="B52">
        <v>0.41960871700000002</v>
      </c>
      <c r="C52">
        <v>0.547391937</v>
      </c>
      <c r="D52">
        <v>5.4047961359999999</v>
      </c>
      <c r="E52">
        <f>4.089 + (3.487*C52) - (2.096*B52)</f>
        <v>5.118255813487</v>
      </c>
      <c r="F52">
        <f>POWER(D52,10)</f>
        <v>21271257.943587895</v>
      </c>
      <c r="G52">
        <f>C52/B52</f>
        <v>1.3045294695343519</v>
      </c>
      <c r="H52">
        <f t="shared" si="0"/>
        <v>3.2999345999999985E-2</v>
      </c>
      <c r="N52">
        <v>5</v>
      </c>
      <c r="O52">
        <v>4.5</v>
      </c>
      <c r="P52">
        <v>5.5</v>
      </c>
      <c r="Q52">
        <f>AVERAGEIFS(C$2:C$151,D$2:D$151,"&gt;"&amp;O52,D$2:D$151,"&lt;="&amp;P52)</f>
        <v>0.46929497141666665</v>
      </c>
      <c r="R52">
        <f>AVERAGEIFS(B$2:B$151,D$2:D$151,"&gt;"&amp;O52,D$2:D$151,"&lt;="&amp;P52)</f>
        <v>0.41862181211111105</v>
      </c>
    </row>
    <row r="53" spans="1:18" x14ac:dyDescent="0.3">
      <c r="A53">
        <v>0.4519324193727996</v>
      </c>
      <c r="B53">
        <v>0.36419124800000002</v>
      </c>
      <c r="C53">
        <v>0.54101719800000003</v>
      </c>
      <c r="D53">
        <v>5.3773750109999998</v>
      </c>
      <c r="E53">
        <f>4.089 + (3.487*C53) - (2.096*B53)</f>
        <v>5.2121821136180007</v>
      </c>
      <c r="F53">
        <f>POWER(D53,10)</f>
        <v>20216373.216650229</v>
      </c>
      <c r="G53">
        <f>C53/B53</f>
        <v>1.4855304760096817</v>
      </c>
      <c r="H53">
        <f t="shared" si="0"/>
        <v>9.4791553999999945E-2</v>
      </c>
      <c r="N53">
        <v>6</v>
      </c>
      <c r="O53">
        <v>5.5</v>
      </c>
      <c r="P53">
        <v>6.5</v>
      </c>
      <c r="Q53">
        <f>AVERAGEIFS(C$2:C$151,D$2:D$151,"&gt;"&amp;O53,D$2:D$151,"&lt;="&amp;P53)</f>
        <v>0.58746554948571439</v>
      </c>
      <c r="R53">
        <f>AVERAGEIFS(B$2:B$151,D$2:D$151,"&gt;"&amp;O53,D$2:D$151,"&lt;="&amp;P53)</f>
        <v>0.38201661874285714</v>
      </c>
    </row>
    <row r="54" spans="1:18" x14ac:dyDescent="0.3">
      <c r="A54">
        <v>0.46030380763883511</v>
      </c>
      <c r="B54">
        <v>0.40783818799999999</v>
      </c>
      <c r="C54">
        <v>0.53892484699999998</v>
      </c>
      <c r="D54">
        <v>4.896638694</v>
      </c>
      <c r="E54">
        <f>4.089 + (3.487*C54) - (2.096*B54)</f>
        <v>5.113402099441001</v>
      </c>
      <c r="F54">
        <f>POWER(D54,10)</f>
        <v>7924659.3222711552</v>
      </c>
      <c r="G54">
        <f>C54/B54</f>
        <v>1.3214183047517856</v>
      </c>
      <c r="H54">
        <f t="shared" si="0"/>
        <v>5.3236965000000025E-2</v>
      </c>
      <c r="N54">
        <v>7</v>
      </c>
      <c r="O54">
        <v>6.5</v>
      </c>
      <c r="P54">
        <v>7.5</v>
      </c>
      <c r="Q54">
        <f>AVERAGEIFS(C$2:C$151,D$2:D$151,"&gt;"&amp;O54,D$2:D$151,"&lt;="&amp;P54)</f>
        <v>0.84032297811111112</v>
      </c>
      <c r="R54">
        <f>AVERAGEIFS(B$2:B$151,D$2:D$151,"&gt;"&amp;O54,D$2:D$151,"&lt;="&amp;P54)</f>
        <v>0.14530098411111111</v>
      </c>
    </row>
    <row r="55" spans="1:18" x14ac:dyDescent="0.3">
      <c r="A55">
        <v>0.46160734193051634</v>
      </c>
      <c r="B55">
        <v>0.33436307999999998</v>
      </c>
      <c r="C55">
        <v>0.536713365</v>
      </c>
      <c r="D55">
        <v>4.4601570319999997</v>
      </c>
      <c r="E55">
        <f>4.089 + (3.487*C55) - (2.096*B55)</f>
        <v>5.2596944880750005</v>
      </c>
      <c r="F55">
        <f>POWER(D55,10)</f>
        <v>3115311.6202622061</v>
      </c>
      <c r="G55">
        <f>C55/B55</f>
        <v>1.6051813047062493</v>
      </c>
      <c r="H55">
        <f t="shared" si="0"/>
        <v>0.12892355500000002</v>
      </c>
      <c r="O55">
        <v>7.5</v>
      </c>
      <c r="P55">
        <v>8.5</v>
      </c>
      <c r="Q55" t="e">
        <f>AVERAGEIFS(C$2:C$151,D$2:D$151,"&gt;"&amp;O55,D$2:D$151,"&lt;="&amp;P55)</f>
        <v>#DIV/0!</v>
      </c>
      <c r="R55" t="e">
        <f>AVERAGEIFS(B$2:B$151,D$2:D$151,"&gt;"&amp;O55,D$2:D$151,"&lt;="&amp;P55)</f>
        <v>#DIV/0!</v>
      </c>
    </row>
    <row r="56" spans="1:18" x14ac:dyDescent="0.3">
      <c r="A56">
        <v>0.4641477732994756</v>
      </c>
      <c r="B56">
        <v>0.26703060099999998</v>
      </c>
      <c r="C56">
        <v>0.53387918999999995</v>
      </c>
      <c r="D56">
        <v>3.270111966</v>
      </c>
      <c r="E56">
        <f>4.089 + (3.487*C56) - (2.096*B56)</f>
        <v>5.3909405958340004</v>
      </c>
      <c r="F56">
        <f>POWER(D56,10)</f>
        <v>139838.32976242746</v>
      </c>
      <c r="G56">
        <f>C56/B56</f>
        <v>1.9993183852363048</v>
      </c>
      <c r="H56">
        <f t="shared" si="0"/>
        <v>0.19909020900000007</v>
      </c>
      <c r="O56">
        <v>8.5</v>
      </c>
      <c r="P56">
        <v>9.5</v>
      </c>
      <c r="Q56" t="e">
        <f>AVERAGEIFS(C$2:C$151,D$2:D$151,"&gt;"&amp;O56,D$2:D$151,"&lt;="&amp;P56)</f>
        <v>#DIV/0!</v>
      </c>
      <c r="R56" t="e">
        <f>AVERAGEIFS(B$2:B$151,D$2:D$151,"&gt;"&amp;O56,D$2:D$151,"&lt;="&amp;P56)</f>
        <v>#DIV/0!</v>
      </c>
    </row>
    <row r="57" spans="1:18" x14ac:dyDescent="0.3">
      <c r="A57">
        <v>0.46545960998840641</v>
      </c>
      <c r="B57">
        <v>0.406070443</v>
      </c>
      <c r="C57">
        <v>0.53250798899999996</v>
      </c>
      <c r="D57">
        <v>5.0167896059999997</v>
      </c>
      <c r="E57">
        <f>4.089 + (3.487*C57) - (2.096*B57)</f>
        <v>5.0947317091150008</v>
      </c>
      <c r="F57">
        <f>POWER(D57,10)</f>
        <v>10098546.737263557</v>
      </c>
      <c r="G57">
        <f>C57/B57</f>
        <v>1.3113685031244688</v>
      </c>
      <c r="H57">
        <f t="shared" si="0"/>
        <v>6.1421568000000037E-2</v>
      </c>
      <c r="O57">
        <v>9.6</v>
      </c>
      <c r="P57">
        <v>10.5</v>
      </c>
      <c r="Q57" t="e">
        <f>AVERAGEIFS(C$2:C$151,D$2:D$151,"&gt;"&amp;O57,D$2:D$151,"&lt;="&amp;P57)</f>
        <v>#DIV/0!</v>
      </c>
      <c r="R57" t="e">
        <f>AVERAGEIFS(B$2:B$151,D$2:D$151,"&gt;"&amp;O57,D$2:D$151,"&lt;="&amp;P57)</f>
        <v>#DIV/0!</v>
      </c>
    </row>
    <row r="58" spans="1:18" x14ac:dyDescent="0.3">
      <c r="A58">
        <v>0.46268112865794619</v>
      </c>
      <c r="B58">
        <v>0.26874201199999997</v>
      </c>
      <c r="C58">
        <v>0.53139436600000001</v>
      </c>
      <c r="D58">
        <v>3.8296820029999998</v>
      </c>
      <c r="E58">
        <f>4.089 + (3.487*C58) - (2.096*B58)</f>
        <v>5.37868889709</v>
      </c>
      <c r="F58">
        <f>POWER(D58,10)</f>
        <v>678620.75648585684</v>
      </c>
      <c r="G58">
        <f>C58/B58</f>
        <v>1.9773401339274042</v>
      </c>
      <c r="H58">
        <f t="shared" si="0"/>
        <v>0.19986362200000002</v>
      </c>
    </row>
    <row r="59" spans="1:18" x14ac:dyDescent="0.3">
      <c r="A59">
        <v>0.46019211612650912</v>
      </c>
      <c r="B59">
        <v>0.24985289199999999</v>
      </c>
      <c r="C59">
        <v>0.528636946</v>
      </c>
      <c r="D59">
        <v>4.1556375860000001</v>
      </c>
      <c r="E59">
        <f>4.089 + (3.487*C59) - (2.096*B59)</f>
        <v>5.4086653690700004</v>
      </c>
      <c r="F59">
        <f>POWER(D59,10)</f>
        <v>1535948.5074920245</v>
      </c>
      <c r="G59">
        <f>C59/B59</f>
        <v>2.1157927841795803</v>
      </c>
      <c r="H59">
        <f t="shared" si="0"/>
        <v>0.22151016200000001</v>
      </c>
    </row>
    <row r="60" spans="1:18" x14ac:dyDescent="0.3">
      <c r="A60">
        <v>0.47833431806766946</v>
      </c>
      <c r="B60">
        <v>0.46481025199999998</v>
      </c>
      <c r="C60">
        <v>0.52141172899999999</v>
      </c>
      <c r="D60">
        <v>5.6290819890000003</v>
      </c>
      <c r="E60">
        <f>4.089 + (3.487*C60) - (2.096*B60)</f>
        <v>4.9329204108310005</v>
      </c>
      <c r="F60">
        <f>POWER(D60,10)</f>
        <v>31943003.064991981</v>
      </c>
      <c r="G60">
        <f>C60/B60</f>
        <v>1.1217732972894927</v>
      </c>
      <c r="H60">
        <f t="shared" si="0"/>
        <v>1.377801900000003E-2</v>
      </c>
    </row>
    <row r="61" spans="1:18" x14ac:dyDescent="0.3">
      <c r="A61">
        <v>0.46874700826261206</v>
      </c>
      <c r="B61">
        <v>0.27391708100000001</v>
      </c>
      <c r="C61">
        <v>0.519595641</v>
      </c>
      <c r="D61">
        <v>4.1191229759999999</v>
      </c>
      <c r="E61">
        <f>4.089 + (3.487*C61) - (2.096*B61)</f>
        <v>5.3266997983910009</v>
      </c>
      <c r="F61">
        <f>POWER(D61,10)</f>
        <v>1406201.5738732016</v>
      </c>
      <c r="G61">
        <f>C61/B61</f>
        <v>1.8969085064103761</v>
      </c>
      <c r="H61">
        <f t="shared" si="0"/>
        <v>0.206487278</v>
      </c>
    </row>
    <row r="62" spans="1:18" x14ac:dyDescent="0.3">
      <c r="A62">
        <v>0.48335367183629319</v>
      </c>
      <c r="B62">
        <v>0.31777049099999999</v>
      </c>
      <c r="C62">
        <v>0.51456521700000002</v>
      </c>
      <c r="D62">
        <v>3.5654228319999999</v>
      </c>
      <c r="E62">
        <f>4.089 + (3.487*C62) - (2.096*B62)</f>
        <v>5.2172419625430013</v>
      </c>
      <c r="F62">
        <f>POWER(D62,10)</f>
        <v>331978.84727668477</v>
      </c>
      <c r="G62">
        <f>C62/B62</f>
        <v>1.6192983035671491</v>
      </c>
      <c r="H62">
        <f t="shared" si="0"/>
        <v>0.16766429199999999</v>
      </c>
    </row>
    <row r="63" spans="1:18" x14ac:dyDescent="0.3">
      <c r="A63">
        <v>0.47027754541090799</v>
      </c>
      <c r="B63">
        <v>0.27986652899999998</v>
      </c>
      <c r="C63">
        <v>0.51300097499999997</v>
      </c>
      <c r="D63">
        <v>5.109706181</v>
      </c>
      <c r="E63">
        <f>4.089 + (3.487*C63) - (2.096*B63)</f>
        <v>5.2912341550410007</v>
      </c>
      <c r="F63">
        <f>POWER(D63,10)</f>
        <v>12132750.867571184</v>
      </c>
      <c r="G63">
        <f>C63/B63</f>
        <v>1.833020107238333</v>
      </c>
      <c r="H63">
        <f t="shared" si="0"/>
        <v>0.20713249600000005</v>
      </c>
    </row>
    <row r="64" spans="1:18" x14ac:dyDescent="0.3">
      <c r="A64">
        <v>0.48707032644725023</v>
      </c>
      <c r="B64">
        <v>0.28167447899999998</v>
      </c>
      <c r="C64">
        <v>0.51125796800000001</v>
      </c>
      <c r="D64">
        <v>2.8145595110000001</v>
      </c>
      <c r="E64">
        <f>4.089 + (3.487*C64) - (2.096*B64)</f>
        <v>5.2813668264320004</v>
      </c>
      <c r="F64">
        <f>POWER(D64,10)</f>
        <v>31196.391226495347</v>
      </c>
      <c r="G64">
        <f>C64/B64</f>
        <v>1.8150667032919232</v>
      </c>
      <c r="H64">
        <f t="shared" si="0"/>
        <v>0.20706755300000002</v>
      </c>
    </row>
    <row r="65" spans="1:8" x14ac:dyDescent="0.3">
      <c r="A65">
        <v>0.48859368742763665</v>
      </c>
      <c r="B65">
        <v>0.34727893799999998</v>
      </c>
      <c r="C65">
        <v>0.50667757099999999</v>
      </c>
      <c r="D65">
        <v>4.0861523540000002</v>
      </c>
      <c r="E65">
        <f>4.089 + (3.487*C65) - (2.096*B65)</f>
        <v>5.1278880360290007</v>
      </c>
      <c r="F65">
        <f>POWER(D65,10)</f>
        <v>1297614.0958930827</v>
      </c>
      <c r="G65">
        <f>C65/B65</f>
        <v>1.4589930904476562</v>
      </c>
      <c r="H65">
        <f t="shared" si="0"/>
        <v>0.14604349100000003</v>
      </c>
    </row>
    <row r="66" spans="1:8" x14ac:dyDescent="0.3">
      <c r="A66">
        <v>0.49379310434194212</v>
      </c>
      <c r="B66">
        <v>0.30083665999999998</v>
      </c>
      <c r="C66">
        <v>0.50361650499999999</v>
      </c>
      <c r="D66">
        <v>3.7597374659999998</v>
      </c>
      <c r="E66">
        <f>4.089 + (3.487*C66) - (2.096*B66)</f>
        <v>5.2145571135750011</v>
      </c>
      <c r="F66">
        <f>POWER(D66,10)</f>
        <v>564384.66092070867</v>
      </c>
      <c r="G66">
        <f>C66/B66</f>
        <v>1.6740529727992592</v>
      </c>
      <c r="H66">
        <f t="shared" si="0"/>
        <v>0.19554683500000003</v>
      </c>
    </row>
    <row r="67" spans="1:8" x14ac:dyDescent="0.3">
      <c r="A67">
        <v>0.49734671659970764</v>
      </c>
      <c r="B67">
        <v>0.48053875400000001</v>
      </c>
      <c r="C67">
        <v>0.50226448599999995</v>
      </c>
      <c r="D67">
        <v>6.0155416319999997</v>
      </c>
      <c r="E67">
        <f>4.089 + (3.487*C67) - (2.096*B67)</f>
        <v>4.8331870342980006</v>
      </c>
      <c r="F67">
        <f>POWER(D67,10)</f>
        <v>62050797.530033007</v>
      </c>
      <c r="G67">
        <f>C67/B67</f>
        <v>1.0452111964314119</v>
      </c>
      <c r="H67">
        <f t="shared" ref="H67:H130" si="1">1-C67-B67</f>
        <v>1.7196760000000033E-2</v>
      </c>
    </row>
    <row r="68" spans="1:8" x14ac:dyDescent="0.3">
      <c r="A68">
        <v>0.50998129282549964</v>
      </c>
      <c r="B68">
        <v>0.43454042399999998</v>
      </c>
      <c r="C68">
        <v>0.48898060399999999</v>
      </c>
      <c r="D68">
        <v>4.6750068679999996</v>
      </c>
      <c r="E68">
        <f>4.089 + (3.487*C68) - (2.096*B68)</f>
        <v>4.8832786374440005</v>
      </c>
      <c r="F68">
        <f>POWER(D68,10)</f>
        <v>4986806.6765908543</v>
      </c>
      <c r="G68">
        <f>C68/B68</f>
        <v>1.1252821992920041</v>
      </c>
      <c r="H68">
        <f t="shared" si="1"/>
        <v>7.6478972000000034E-2</v>
      </c>
    </row>
    <row r="69" spans="1:8" x14ac:dyDescent="0.3">
      <c r="A69">
        <v>0.50153455902662269</v>
      </c>
      <c r="B69">
        <v>0.16314464400000001</v>
      </c>
      <c r="C69">
        <v>0.48852269300000001</v>
      </c>
      <c r="D69">
        <v>2.8941720200000001</v>
      </c>
      <c r="E69">
        <f>4.089 + (3.487*C69) - (2.096*B69)</f>
        <v>5.4505274566670003</v>
      </c>
      <c r="F69">
        <f>POWER(D69,10)</f>
        <v>41232.854902729145</v>
      </c>
      <c r="G69">
        <f>C69/B69</f>
        <v>2.9944145331550081</v>
      </c>
      <c r="H69">
        <f t="shared" si="1"/>
        <v>0.34833266300000004</v>
      </c>
    </row>
    <row r="70" spans="1:8" x14ac:dyDescent="0.3">
      <c r="A70">
        <v>0.51933041099104649</v>
      </c>
      <c r="B70">
        <v>0.33271653600000001</v>
      </c>
      <c r="C70">
        <v>0.47818849000000002</v>
      </c>
      <c r="D70">
        <v>2.772827055</v>
      </c>
      <c r="E70">
        <f>4.089 + (3.487*C70) - (2.096*B70)</f>
        <v>5.0590694051740002</v>
      </c>
      <c r="F70">
        <f>POWER(D70,10)</f>
        <v>26867.535342910131</v>
      </c>
      <c r="G70">
        <f>C70/B70</f>
        <v>1.4372248994561545</v>
      </c>
      <c r="H70">
        <f t="shared" si="1"/>
        <v>0.18909497400000003</v>
      </c>
    </row>
    <row r="71" spans="1:8" x14ac:dyDescent="0.3">
      <c r="A71">
        <v>0.52075807488610082</v>
      </c>
      <c r="B71">
        <v>0.48750679899999999</v>
      </c>
      <c r="C71">
        <v>0.478081119</v>
      </c>
      <c r="D71">
        <v>5.4742693730000003</v>
      </c>
      <c r="E71">
        <f>4.089 + (3.487*C71) - (2.096*B71)</f>
        <v>4.7342546112490007</v>
      </c>
      <c r="F71">
        <f>POWER(D71,10)</f>
        <v>24169164.620867893</v>
      </c>
      <c r="G71">
        <f>C71/B71</f>
        <v>0.98066554144612039</v>
      </c>
      <c r="H71">
        <f t="shared" si="1"/>
        <v>3.4412081999999955E-2</v>
      </c>
    </row>
    <row r="72" spans="1:8" x14ac:dyDescent="0.3">
      <c r="A72">
        <v>0.52434845637332061</v>
      </c>
      <c r="B72">
        <v>0.15937779799999999</v>
      </c>
      <c r="C72">
        <v>0.472188685</v>
      </c>
      <c r="D72">
        <v>2.4480313759999999</v>
      </c>
      <c r="E72">
        <f>4.089 + (3.487*C72) - (2.096*B72)</f>
        <v>5.4014660799870011</v>
      </c>
      <c r="F72">
        <f>POWER(D72,10)</f>
        <v>7729.8274221984811</v>
      </c>
      <c r="G72">
        <f>C72/B72</f>
        <v>2.9627005199306371</v>
      </c>
      <c r="H72">
        <f t="shared" si="1"/>
        <v>0.36843351700000004</v>
      </c>
    </row>
    <row r="73" spans="1:8" x14ac:dyDescent="0.3">
      <c r="A73">
        <v>0.52757207832990305</v>
      </c>
      <c r="B73">
        <v>0.37152922300000002</v>
      </c>
      <c r="C73">
        <v>0.46980423500000001</v>
      </c>
      <c r="D73">
        <v>3.8848557069999998</v>
      </c>
      <c r="E73">
        <f>4.089 + (3.487*C73) - (2.096*B73)</f>
        <v>4.9484821160370007</v>
      </c>
      <c r="F73">
        <f>POWER(D73,10)</f>
        <v>782976.8593816607</v>
      </c>
      <c r="G73">
        <f>C73/B73</f>
        <v>1.2645148912014386</v>
      </c>
      <c r="H73">
        <f t="shared" si="1"/>
        <v>0.15866654199999997</v>
      </c>
    </row>
    <row r="74" spans="1:8" x14ac:dyDescent="0.3">
      <c r="A74">
        <v>0.54314090098857748</v>
      </c>
      <c r="B74">
        <v>0.53184046600000001</v>
      </c>
      <c r="C74">
        <v>0.455371256</v>
      </c>
      <c r="D74">
        <v>6.1172312619999998</v>
      </c>
      <c r="E74">
        <f>4.089 + (3.487*C74) - (2.096*B74)</f>
        <v>4.5621419529360008</v>
      </c>
      <c r="F74">
        <f>POWER(D74,10)</f>
        <v>73375148.493242845</v>
      </c>
      <c r="G74">
        <f>C74/B74</f>
        <v>0.85621776662628002</v>
      </c>
      <c r="H74">
        <f t="shared" si="1"/>
        <v>1.2788277999999931E-2</v>
      </c>
    </row>
    <row r="75" spans="1:8" x14ac:dyDescent="0.3">
      <c r="A75">
        <v>0.54736256722534904</v>
      </c>
      <c r="B75">
        <v>0.50873952099999997</v>
      </c>
      <c r="C75">
        <v>0.45196046699999998</v>
      </c>
      <c r="D75">
        <v>5.2892332670000002</v>
      </c>
      <c r="E75">
        <f>4.089 + (3.487*C75) - (2.096*B75)</f>
        <v>4.5986681124130007</v>
      </c>
      <c r="F75">
        <f>POWER(D75,10)</f>
        <v>17136700.555042543</v>
      </c>
      <c r="G75">
        <f>C75/B75</f>
        <v>0.8883926810160282</v>
      </c>
      <c r="H75">
        <f t="shared" si="1"/>
        <v>3.9300012000000106E-2</v>
      </c>
    </row>
    <row r="76" spans="1:8" x14ac:dyDescent="0.3">
      <c r="A76">
        <v>0.53419641042326171</v>
      </c>
      <c r="B76">
        <v>0.159671744</v>
      </c>
      <c r="C76">
        <v>0.45150403500000003</v>
      </c>
      <c r="D76">
        <v>2.6646060980000001</v>
      </c>
      <c r="E76">
        <f>4.089 + (3.487*C76) - (2.096*B76)</f>
        <v>5.3287225946210004</v>
      </c>
      <c r="F76">
        <f>POWER(D76,10)</f>
        <v>18043.890150651659</v>
      </c>
      <c r="G76">
        <f>C76/B76</f>
        <v>2.8277015312114333</v>
      </c>
      <c r="H76">
        <f t="shared" si="1"/>
        <v>0.38882422099999997</v>
      </c>
    </row>
    <row r="77" spans="1:8" x14ac:dyDescent="0.3">
      <c r="A77">
        <v>0.55454051141633631</v>
      </c>
      <c r="B77">
        <v>0.160692056</v>
      </c>
      <c r="C77">
        <v>0.44070870699999998</v>
      </c>
      <c r="D77">
        <v>2.1613886490000001</v>
      </c>
      <c r="E77">
        <f>4.089 + (3.487*C77) - (2.096*B77)</f>
        <v>5.2889407119330007</v>
      </c>
      <c r="F77">
        <f>POWER(D77,10)</f>
        <v>2224.9930741283179</v>
      </c>
      <c r="G77">
        <f>C77/B77</f>
        <v>2.7425668571942348</v>
      </c>
      <c r="H77">
        <f t="shared" si="1"/>
        <v>0.398599237</v>
      </c>
    </row>
    <row r="78" spans="1:8" x14ac:dyDescent="0.3">
      <c r="A78">
        <v>0.56321867283402194</v>
      </c>
      <c r="B78">
        <v>0.31064961299999999</v>
      </c>
      <c r="C78">
        <v>0.43348848899999998</v>
      </c>
      <c r="D78">
        <v>2.8133043049999999</v>
      </c>
      <c r="E78">
        <f>4.089 + (3.487*C78) - (2.096*B78)</f>
        <v>4.9494527722950004</v>
      </c>
      <c r="F78">
        <f>POWER(D78,10)</f>
        <v>31057.543899738477</v>
      </c>
      <c r="G78">
        <f>C78/B78</f>
        <v>1.3954258137125057</v>
      </c>
      <c r="H78">
        <f t="shared" si="1"/>
        <v>0.25586189800000009</v>
      </c>
    </row>
    <row r="79" spans="1:8" x14ac:dyDescent="0.3">
      <c r="A79">
        <v>0.56697341270465107</v>
      </c>
      <c r="B79">
        <v>0.32542550599999998</v>
      </c>
      <c r="C79">
        <v>0.42498150899999998</v>
      </c>
      <c r="D79">
        <v>3.270610773</v>
      </c>
      <c r="E79">
        <f>4.089 + (3.487*C79) - (2.096*B79)</f>
        <v>4.8888186613070008</v>
      </c>
      <c r="F79">
        <f>POWER(D79,10)</f>
        <v>140051.778832468</v>
      </c>
      <c r="G79">
        <f>C79/B79</f>
        <v>1.3059256301809361</v>
      </c>
      <c r="H79">
        <f t="shared" si="1"/>
        <v>0.24959298500000004</v>
      </c>
    </row>
    <row r="80" spans="1:8" x14ac:dyDescent="0.3">
      <c r="A80">
        <v>0.57504634880716254</v>
      </c>
      <c r="B80">
        <v>0.47130669600000002</v>
      </c>
      <c r="C80">
        <v>0.42315613400000002</v>
      </c>
      <c r="D80">
        <v>4.2331583119999996</v>
      </c>
      <c r="E80">
        <f>4.089 + (3.487*C80) - (2.096*B80)</f>
        <v>4.576686604442</v>
      </c>
      <c r="F80">
        <f>POWER(D80,10)</f>
        <v>1847758.0609194227</v>
      </c>
      <c r="G80">
        <f>C80/B80</f>
        <v>0.89783603244202581</v>
      </c>
      <c r="H80">
        <f t="shared" si="1"/>
        <v>0.1055371699999999</v>
      </c>
    </row>
    <row r="81" spans="1:8" x14ac:dyDescent="0.3">
      <c r="A81">
        <v>0.57601283405445058</v>
      </c>
      <c r="B81">
        <v>0.55875558999999997</v>
      </c>
      <c r="C81">
        <v>0.42107308500000001</v>
      </c>
      <c r="D81">
        <v>5.939731514</v>
      </c>
      <c r="E81">
        <f>4.089 + (3.487*C81) - (2.096*B81)</f>
        <v>4.3861301307550002</v>
      </c>
      <c r="F81">
        <f>POWER(D81,10)</f>
        <v>54659813.524065159</v>
      </c>
      <c r="G81">
        <f>C81/B81</f>
        <v>0.75359082313610504</v>
      </c>
      <c r="H81">
        <f t="shared" si="1"/>
        <v>2.0171325000000073E-2</v>
      </c>
    </row>
    <row r="82" spans="1:8" x14ac:dyDescent="0.3">
      <c r="A82">
        <v>0.54566640829627377</v>
      </c>
      <c r="B82">
        <v>0.336913081</v>
      </c>
      <c r="C82">
        <v>0.42060281100000002</v>
      </c>
      <c r="D82">
        <v>4.6168162559999999</v>
      </c>
      <c r="E82">
        <f>4.089 + (3.487*C82) - (2.096*B82)</f>
        <v>4.8494721841810007</v>
      </c>
      <c r="F82">
        <f>POWER(D82,10)</f>
        <v>4399728.7735769376</v>
      </c>
      <c r="G82">
        <f>C82/B82</f>
        <v>1.2484015454419237</v>
      </c>
      <c r="H82">
        <f t="shared" si="1"/>
        <v>0.24248410800000003</v>
      </c>
    </row>
    <row r="83" spans="1:8" x14ac:dyDescent="0.3">
      <c r="A83">
        <v>0.5800920439106767</v>
      </c>
      <c r="B83">
        <v>0.49085530700000002</v>
      </c>
      <c r="C83">
        <v>0.41820252299999999</v>
      </c>
      <c r="D83">
        <v>4.9220584790000004</v>
      </c>
      <c r="E83">
        <f>4.089 + (3.487*C83) - (2.096*B83)</f>
        <v>4.5184394742289999</v>
      </c>
      <c r="F83">
        <f>POWER(D83,10)</f>
        <v>8345794.6100375419</v>
      </c>
      <c r="G83">
        <f>C83/B83</f>
        <v>0.85198737191202456</v>
      </c>
      <c r="H83">
        <f t="shared" si="1"/>
        <v>9.0942170000000044E-2</v>
      </c>
    </row>
    <row r="84" spans="1:8" x14ac:dyDescent="0.3">
      <c r="A84">
        <v>0.5716781651959012</v>
      </c>
      <c r="B84">
        <v>0.32163434499999999</v>
      </c>
      <c r="C84">
        <v>0.41704443400000002</v>
      </c>
      <c r="D84">
        <v>3.5753670830000002</v>
      </c>
      <c r="E84">
        <f>4.089 + (3.487*C84) - (2.096*B84)</f>
        <v>4.8690883542380003</v>
      </c>
      <c r="F84">
        <f>POWER(D84,10)</f>
        <v>341355.08324960241</v>
      </c>
      <c r="G84">
        <f>C84/B84</f>
        <v>1.2966414827371748</v>
      </c>
      <c r="H84">
        <f t="shared" si="1"/>
        <v>0.26132122099999999</v>
      </c>
    </row>
    <row r="85" spans="1:8" x14ac:dyDescent="0.3">
      <c r="A85">
        <v>0.56414991019050198</v>
      </c>
      <c r="B85">
        <v>0.100986309</v>
      </c>
      <c r="C85">
        <v>0.41208433100000003</v>
      </c>
      <c r="D85">
        <v>4.178486672</v>
      </c>
      <c r="E85">
        <f>4.089 + (3.487*C85) - (2.096*B85)</f>
        <v>5.3142707585330005</v>
      </c>
      <c r="F85">
        <f>POWER(D85,10)</f>
        <v>1622520.5740286072</v>
      </c>
      <c r="G85">
        <f>C85/B85</f>
        <v>4.0805960241600676</v>
      </c>
      <c r="H85">
        <f t="shared" si="1"/>
        <v>0.48692936000000003</v>
      </c>
    </row>
    <row r="86" spans="1:8" x14ac:dyDescent="0.3">
      <c r="A86">
        <v>0.58869326404126598</v>
      </c>
      <c r="B86">
        <v>0.57904947100000004</v>
      </c>
      <c r="C86">
        <v>0.41080534899999999</v>
      </c>
      <c r="D86">
        <v>6.0950798749999997</v>
      </c>
      <c r="E86">
        <f>4.089 + (3.487*C86) - (2.096*B86)</f>
        <v>4.3077905607469997</v>
      </c>
      <c r="F86">
        <f>POWER(D86,10)</f>
        <v>70761008.426258937</v>
      </c>
      <c r="G86">
        <f>C86/B86</f>
        <v>0.70944775804829285</v>
      </c>
      <c r="H86">
        <f t="shared" si="1"/>
        <v>1.0145179999999976E-2</v>
      </c>
    </row>
    <row r="87" spans="1:8" x14ac:dyDescent="0.3">
      <c r="A87">
        <v>0.57529612988726542</v>
      </c>
      <c r="B87">
        <v>0.23407093800000001</v>
      </c>
      <c r="C87">
        <v>0.40764459800000002</v>
      </c>
      <c r="D87">
        <v>4.6033839099999998</v>
      </c>
      <c r="E87">
        <f>4.089 + (3.487*C87) - (2.096*B87)</f>
        <v>5.0198440271780003</v>
      </c>
      <c r="F87">
        <f>POWER(D87,10)</f>
        <v>4273384.339282576</v>
      </c>
      <c r="G87">
        <f>C87/B87</f>
        <v>1.7415429761724628</v>
      </c>
      <c r="H87">
        <f t="shared" si="1"/>
        <v>0.35828446399999991</v>
      </c>
    </row>
    <row r="88" spans="1:8" x14ac:dyDescent="0.3">
      <c r="A88">
        <v>0.59170561619892159</v>
      </c>
      <c r="B88">
        <v>0.54627473900000001</v>
      </c>
      <c r="C88">
        <v>0.40726032400000001</v>
      </c>
      <c r="D88">
        <v>5.086589687</v>
      </c>
      <c r="E88">
        <f>4.089 + (3.487*C88) - (2.096*B88)</f>
        <v>4.3641248968440003</v>
      </c>
      <c r="F88">
        <f>POWER(D88,10)</f>
        <v>11594901.511237176</v>
      </c>
      <c r="G88">
        <f>C88/B88</f>
        <v>0.74552289338057787</v>
      </c>
      <c r="H88">
        <f t="shared" si="1"/>
        <v>4.6464936999999984E-2</v>
      </c>
    </row>
    <row r="89" spans="1:8" x14ac:dyDescent="0.3">
      <c r="A89">
        <v>0.59763711036050782</v>
      </c>
      <c r="B89">
        <v>0.51908358899999996</v>
      </c>
      <c r="C89">
        <v>0.39946965000000001</v>
      </c>
      <c r="D89">
        <v>5.0156439820000003</v>
      </c>
      <c r="E89">
        <f>4.089 + (3.487*C89) - (2.096*B89)</f>
        <v>4.3939514670060005</v>
      </c>
      <c r="F89">
        <f>POWER(D89,10)</f>
        <v>10075509.581873039</v>
      </c>
      <c r="G89">
        <f>C89/B89</f>
        <v>0.76956709567637682</v>
      </c>
      <c r="H89">
        <f t="shared" si="1"/>
        <v>8.1446761000000034E-2</v>
      </c>
    </row>
    <row r="90" spans="1:8" x14ac:dyDescent="0.3">
      <c r="A90">
        <v>0.60078297849681883</v>
      </c>
      <c r="B90">
        <v>0.59333416699999997</v>
      </c>
      <c r="C90">
        <v>0.39898909199999999</v>
      </c>
      <c r="D90">
        <v>5.4350386860000004</v>
      </c>
      <c r="E90">
        <f>4.089 + (3.487*C90) - (2.096*B90)</f>
        <v>4.2366465497720007</v>
      </c>
      <c r="F90">
        <f>POWER(D90,10)</f>
        <v>22491913.101808537</v>
      </c>
      <c r="G90">
        <f>C90/B90</f>
        <v>0.67245258100904215</v>
      </c>
      <c r="H90">
        <f t="shared" si="1"/>
        <v>7.6767410000000424E-3</v>
      </c>
    </row>
    <row r="91" spans="1:8" x14ac:dyDescent="0.3">
      <c r="A91">
        <v>0.57742212346294353</v>
      </c>
      <c r="B91">
        <v>0.25716335200000001</v>
      </c>
      <c r="C91">
        <v>0.39016835799999999</v>
      </c>
      <c r="D91">
        <v>4.537700547</v>
      </c>
      <c r="E91">
        <f>4.089 + (3.487*C91) - (2.096*B91)</f>
        <v>4.9105026785540007</v>
      </c>
      <c r="F91">
        <f>POWER(D91,10)</f>
        <v>3701334.4065043437</v>
      </c>
      <c r="G91">
        <f>C91/B91</f>
        <v>1.5172004679733682</v>
      </c>
      <c r="H91">
        <f t="shared" si="1"/>
        <v>0.35266829000000005</v>
      </c>
    </row>
    <row r="92" spans="1:8" x14ac:dyDescent="0.3">
      <c r="A92">
        <v>0.61210916395572146</v>
      </c>
      <c r="B92">
        <v>0.44449960199999999</v>
      </c>
      <c r="C92">
        <v>0.38565693299999998</v>
      </c>
      <c r="D92">
        <v>3.6149631059999998</v>
      </c>
      <c r="E92">
        <f>4.089 + (3.487*C92) - (2.096*B92)</f>
        <v>4.5021145595790006</v>
      </c>
      <c r="F92">
        <f>POWER(D92,10)</f>
        <v>381099.77539239603</v>
      </c>
      <c r="G92">
        <f>C92/B92</f>
        <v>0.8676204236511329</v>
      </c>
      <c r="H92">
        <f t="shared" si="1"/>
        <v>0.16984346500000008</v>
      </c>
    </row>
    <row r="93" spans="1:8" x14ac:dyDescent="0.3">
      <c r="A93">
        <v>0.61913036709039881</v>
      </c>
      <c r="B93">
        <v>0.57467396900000001</v>
      </c>
      <c r="C93">
        <v>0.37970220199999999</v>
      </c>
      <c r="D93">
        <v>5.7444446920000001</v>
      </c>
      <c r="E93">
        <f>4.089 + (3.487*C93) - (2.096*B93)</f>
        <v>4.20850493935</v>
      </c>
      <c r="F93">
        <f>POWER(D93,10)</f>
        <v>39127357.974577919</v>
      </c>
      <c r="G93">
        <f>C93/B93</f>
        <v>0.66072629435560881</v>
      </c>
      <c r="H93">
        <f t="shared" si="1"/>
        <v>4.5623828999999949E-2</v>
      </c>
    </row>
    <row r="94" spans="1:8" x14ac:dyDescent="0.3">
      <c r="A94">
        <v>0.61653342029042912</v>
      </c>
      <c r="B94">
        <v>0.36342345199999998</v>
      </c>
      <c r="C94">
        <v>0.379105099</v>
      </c>
      <c r="D94">
        <v>3.1504291129999999</v>
      </c>
      <c r="E94">
        <f>4.089 + (3.487*C94) - (2.096*B94)</f>
        <v>4.6492039248210011</v>
      </c>
      <c r="F94">
        <f>POWER(D94,10)</f>
        <v>96315.707936301536</v>
      </c>
      <c r="G94">
        <f>C94/B94</f>
        <v>1.043149793756293</v>
      </c>
      <c r="H94">
        <f t="shared" si="1"/>
        <v>0.25747144900000002</v>
      </c>
    </row>
    <row r="95" spans="1:8" x14ac:dyDescent="0.3">
      <c r="A95">
        <v>0.60557619996928091</v>
      </c>
      <c r="B95">
        <v>0.30618533999999997</v>
      </c>
      <c r="C95">
        <v>0.37850394100000001</v>
      </c>
      <c r="D95">
        <v>3.1386939470000002</v>
      </c>
      <c r="E95">
        <f>4.089 + (3.487*C95) - (2.096*B95)</f>
        <v>4.7670787696270001</v>
      </c>
      <c r="F95">
        <f>POWER(D95,10)</f>
        <v>92787.548068113261</v>
      </c>
      <c r="G95">
        <f>C95/B95</f>
        <v>1.2361922389883202</v>
      </c>
      <c r="H95">
        <f t="shared" si="1"/>
        <v>0.31531071900000007</v>
      </c>
    </row>
    <row r="96" spans="1:8" x14ac:dyDescent="0.3">
      <c r="A96">
        <v>0.61895512927970908</v>
      </c>
      <c r="B96">
        <v>0.40808011700000002</v>
      </c>
      <c r="C96">
        <v>0.37764537500000001</v>
      </c>
      <c r="D96">
        <v>2.8735072289999999</v>
      </c>
      <c r="E96">
        <f>4.089 + (3.487*C96) - (2.096*B96)</f>
        <v>4.5505134973930002</v>
      </c>
      <c r="F96">
        <f>POWER(D96,10)</f>
        <v>38381.588102714981</v>
      </c>
      <c r="G96">
        <f>C96/B96</f>
        <v>0.92541968909502148</v>
      </c>
      <c r="H96">
        <f t="shared" si="1"/>
        <v>0.21427450800000003</v>
      </c>
    </row>
    <row r="97" spans="1:8" x14ac:dyDescent="0.3">
      <c r="A97">
        <v>0.62004884788442538</v>
      </c>
      <c r="B97">
        <v>0.43744364600000002</v>
      </c>
      <c r="C97">
        <v>0.36868838700000001</v>
      </c>
      <c r="D97">
        <v>4.4683263210000002</v>
      </c>
      <c r="E97">
        <f>4.089 + (3.487*C97) - (2.096*B97)</f>
        <v>4.4577345234530004</v>
      </c>
      <c r="F97">
        <f>POWER(D97,10)</f>
        <v>3172844.7369228187</v>
      </c>
      <c r="G97">
        <f>C97/B97</f>
        <v>0.84282487669280259</v>
      </c>
      <c r="H97">
        <f t="shared" si="1"/>
        <v>0.19386796700000003</v>
      </c>
    </row>
    <row r="98" spans="1:8" x14ac:dyDescent="0.3">
      <c r="A98">
        <v>0.63122706237987514</v>
      </c>
      <c r="B98">
        <v>0.60219715399999996</v>
      </c>
      <c r="C98">
        <v>0.36733592900000001</v>
      </c>
      <c r="D98">
        <v>5.2704826479999998</v>
      </c>
      <c r="E98">
        <f>4.089 + (3.487*C98) - (2.096*B98)</f>
        <v>4.1076951496390004</v>
      </c>
      <c r="F98">
        <f>POWER(D98,10)</f>
        <v>16538795.545556108</v>
      </c>
      <c r="G98">
        <f>C98/B98</f>
        <v>0.60999280146049983</v>
      </c>
      <c r="H98">
        <f t="shared" si="1"/>
        <v>3.0466917000000038E-2</v>
      </c>
    </row>
    <row r="99" spans="1:8" x14ac:dyDescent="0.3">
      <c r="A99">
        <v>0.62947811978877277</v>
      </c>
      <c r="B99">
        <v>0.34057736599999999</v>
      </c>
      <c r="C99">
        <v>0.36702229800000002</v>
      </c>
      <c r="D99">
        <v>2.870276279</v>
      </c>
      <c r="E99">
        <f>4.089 + (3.487*C99) - (2.096*B99)</f>
        <v>4.6549565939900006</v>
      </c>
      <c r="F99">
        <f>POWER(D99,10)</f>
        <v>37952.205458488032</v>
      </c>
      <c r="G99">
        <f>C99/B99</f>
        <v>1.0776473560489044</v>
      </c>
      <c r="H99">
        <f t="shared" si="1"/>
        <v>0.29240033600000004</v>
      </c>
    </row>
    <row r="100" spans="1:8" x14ac:dyDescent="0.3">
      <c r="A100">
        <v>0.61374457258537396</v>
      </c>
      <c r="B100">
        <v>0.29157888999999998</v>
      </c>
      <c r="C100">
        <v>0.36425970800000002</v>
      </c>
      <c r="D100">
        <v>3.6123842960000001</v>
      </c>
      <c r="E100">
        <f>4.089 + (3.487*C100) - (2.096*B100)</f>
        <v>4.7480242483560007</v>
      </c>
      <c r="F100">
        <f>POWER(D100,10)</f>
        <v>378389.83071499545</v>
      </c>
      <c r="G100">
        <f>C100/B100</f>
        <v>1.2492663923646874</v>
      </c>
      <c r="H100">
        <f t="shared" si="1"/>
        <v>0.34416140199999995</v>
      </c>
    </row>
    <row r="101" spans="1:8" x14ac:dyDescent="0.3">
      <c r="A101">
        <v>0.63677799212894515</v>
      </c>
      <c r="B101">
        <v>0.54414410899999999</v>
      </c>
      <c r="C101">
        <v>0.36151967699999998</v>
      </c>
      <c r="D101">
        <v>4.5456503640000001</v>
      </c>
      <c r="E101">
        <f>4.089 + (3.487*C101) - (2.096*B101)</f>
        <v>4.2090930612350004</v>
      </c>
      <c r="F101">
        <f>POWER(D101,10)</f>
        <v>3766693.4959909795</v>
      </c>
      <c r="G101">
        <f>C101/B101</f>
        <v>0.66438223077409075</v>
      </c>
      <c r="H101">
        <f t="shared" si="1"/>
        <v>9.4336214000000029E-2</v>
      </c>
    </row>
    <row r="102" spans="1:8" x14ac:dyDescent="0.3">
      <c r="A102">
        <v>0.63824877270112101</v>
      </c>
      <c r="B102">
        <v>0.58643442899999998</v>
      </c>
      <c r="C102">
        <v>0.360576234</v>
      </c>
      <c r="D102">
        <v>5.3943229580000001</v>
      </c>
      <c r="E102">
        <f>4.089 + (3.487*C102) - (2.096*B102)</f>
        <v>4.1171627647740001</v>
      </c>
      <c r="F102">
        <f>POWER(D102,10)</f>
        <v>20862648.498381432</v>
      </c>
      <c r="G102">
        <f>C102/B102</f>
        <v>0.61486197973550427</v>
      </c>
      <c r="H102">
        <f t="shared" si="1"/>
        <v>5.298933699999997E-2</v>
      </c>
    </row>
    <row r="103" spans="1:8" x14ac:dyDescent="0.3">
      <c r="A103">
        <v>0.63734288024599195</v>
      </c>
      <c r="B103">
        <v>0.38695078500000002</v>
      </c>
      <c r="C103">
        <v>0.35898487699999998</v>
      </c>
      <c r="D103">
        <v>3.0345556120000001</v>
      </c>
      <c r="E103">
        <f>4.089 + (3.487*C103) - (2.096*B103)</f>
        <v>4.529731420739</v>
      </c>
      <c r="F103">
        <f>POWER(D103,10)</f>
        <v>66214.180572876867</v>
      </c>
      <c r="G103">
        <f>C103/B103</f>
        <v>0.92772748089915358</v>
      </c>
      <c r="H103">
        <f t="shared" si="1"/>
        <v>0.25406433800000006</v>
      </c>
    </row>
    <row r="104" spans="1:8" x14ac:dyDescent="0.3">
      <c r="A104">
        <v>0.62847357357812794</v>
      </c>
      <c r="B104">
        <v>0.22998508300000001</v>
      </c>
      <c r="C104">
        <v>0.35667789500000002</v>
      </c>
      <c r="D104">
        <v>4.2631023619999997</v>
      </c>
      <c r="E104">
        <f>4.089 + (3.487*C104) - (2.096*B104)</f>
        <v>4.8506870858970004</v>
      </c>
      <c r="F104">
        <f>POWER(D104,10)</f>
        <v>1982702.7403106045</v>
      </c>
      <c r="G104">
        <f>C104/B104</f>
        <v>1.5508740408176822</v>
      </c>
      <c r="H104">
        <f t="shared" si="1"/>
        <v>0.413337022</v>
      </c>
    </row>
    <row r="105" spans="1:8" x14ac:dyDescent="0.3">
      <c r="A105">
        <v>0.61531020405345715</v>
      </c>
      <c r="B105">
        <v>0.14198608600000001</v>
      </c>
      <c r="C105">
        <v>0.35605704199999999</v>
      </c>
      <c r="D105">
        <v>3.0921532599999999</v>
      </c>
      <c r="E105">
        <f>4.089 + (3.487*C105) - (2.096*B105)</f>
        <v>5.0329680691980005</v>
      </c>
      <c r="F105">
        <f>POWER(D105,10)</f>
        <v>79911.65262260141</v>
      </c>
      <c r="G105">
        <f>C105/B105</f>
        <v>2.507689676015155</v>
      </c>
      <c r="H105">
        <f t="shared" si="1"/>
        <v>0.50195687200000005</v>
      </c>
    </row>
    <row r="106" spans="1:8" x14ac:dyDescent="0.3">
      <c r="A106">
        <v>0.6491138502448569</v>
      </c>
      <c r="B106">
        <v>0.21837480200000001</v>
      </c>
      <c r="C106">
        <v>0.34427533799999999</v>
      </c>
      <c r="D106">
        <v>2.0946000319999998</v>
      </c>
      <c r="E106">
        <f>4.089 + (3.487*C106) - (2.096*B106)</f>
        <v>4.8317745186140009</v>
      </c>
      <c r="F106">
        <f>POWER(D106,10)</f>
        <v>1625.5901472011492</v>
      </c>
      <c r="G106">
        <f>C106/B106</f>
        <v>1.5765341735719123</v>
      </c>
      <c r="H106">
        <f t="shared" si="1"/>
        <v>0.43734985999999998</v>
      </c>
    </row>
    <row r="107" spans="1:8" x14ac:dyDescent="0.3">
      <c r="A107">
        <v>0.65244929344016456</v>
      </c>
      <c r="B107">
        <v>0.21545900800000001</v>
      </c>
      <c r="C107">
        <v>0.34026008000000002</v>
      </c>
      <c r="D107">
        <v>2.390880229</v>
      </c>
      <c r="E107">
        <f>4.089 + (3.487*C107) - (2.096*B107)</f>
        <v>4.8238848181920009</v>
      </c>
      <c r="F107">
        <f>POWER(D107,10)</f>
        <v>6103.4895740461516</v>
      </c>
      <c r="G107">
        <f>C107/B107</f>
        <v>1.579233484635741</v>
      </c>
      <c r="H107">
        <f t="shared" si="1"/>
        <v>0.44428091200000003</v>
      </c>
    </row>
    <row r="108" spans="1:8" x14ac:dyDescent="0.3">
      <c r="A108">
        <v>0.65692982395357058</v>
      </c>
      <c r="B108">
        <v>0.58216697100000003</v>
      </c>
      <c r="C108">
        <v>0.33932266300000002</v>
      </c>
      <c r="D108">
        <v>4.9520498850000001</v>
      </c>
      <c r="E108">
        <f>4.089 + (3.487*C108) - (2.096*B108)</f>
        <v>4.0519961546649998</v>
      </c>
      <c r="F108">
        <f>POWER(D108,10)</f>
        <v>8868498.7563145198</v>
      </c>
      <c r="G108">
        <f>C108/B108</f>
        <v>0.58286141245206435</v>
      </c>
      <c r="H108">
        <f t="shared" si="1"/>
        <v>7.8510365999999943E-2</v>
      </c>
    </row>
    <row r="109" spans="1:8" x14ac:dyDescent="0.3">
      <c r="A109">
        <v>0.65819630330874745</v>
      </c>
      <c r="B109">
        <v>0.45723901099999997</v>
      </c>
      <c r="C109">
        <v>0.33801897600000003</v>
      </c>
      <c r="D109">
        <v>4.118752325</v>
      </c>
      <c r="E109">
        <f>4.089 + (3.487*C109) - (2.096*B109)</f>
        <v>4.3092992022559997</v>
      </c>
      <c r="F109">
        <f>POWER(D109,10)</f>
        <v>1404936.7439007377</v>
      </c>
      <c r="G109">
        <f>C109/B109</f>
        <v>0.73926101637902464</v>
      </c>
      <c r="H109">
        <f t="shared" si="1"/>
        <v>0.20474201299999994</v>
      </c>
    </row>
    <row r="110" spans="1:8" x14ac:dyDescent="0.3">
      <c r="A110">
        <v>0.66845403586618346</v>
      </c>
      <c r="B110">
        <v>0.63223743600000004</v>
      </c>
      <c r="C110">
        <v>0.32900984</v>
      </c>
      <c r="D110">
        <v>5.9024526809999998</v>
      </c>
      <c r="E110">
        <f>4.089 + (3.487*C110) - (2.096*B110)</f>
        <v>3.9110876462239998</v>
      </c>
      <c r="F110">
        <f>POWER(D110,10)</f>
        <v>51324548.899328433</v>
      </c>
      <c r="G110">
        <f>C110/B110</f>
        <v>0.52038968473863034</v>
      </c>
      <c r="H110">
        <f t="shared" si="1"/>
        <v>3.8752723999999961E-2</v>
      </c>
    </row>
    <row r="111" spans="1:8" x14ac:dyDescent="0.3">
      <c r="A111">
        <v>0.6090967456528863</v>
      </c>
      <c r="B111">
        <v>0.129547249</v>
      </c>
      <c r="C111">
        <v>0.32731933899999999</v>
      </c>
      <c r="D111">
        <v>4.168214012</v>
      </c>
      <c r="E111">
        <f>4.089 + (3.487*C111) - (2.096*B111)</f>
        <v>4.9588315011890005</v>
      </c>
      <c r="F111">
        <f>POWER(D111,10)</f>
        <v>1583069.9020063032</v>
      </c>
      <c r="G111">
        <f>C111/B111</f>
        <v>2.526640600449956</v>
      </c>
      <c r="H111">
        <f t="shared" si="1"/>
        <v>0.54313341199999998</v>
      </c>
    </row>
    <row r="112" spans="1:8" x14ac:dyDescent="0.3">
      <c r="A112">
        <v>0.6639431215915198</v>
      </c>
      <c r="B112">
        <v>0.19647969000000001</v>
      </c>
      <c r="C112">
        <v>0.32594350100000002</v>
      </c>
      <c r="D112">
        <v>3.3447049359999999</v>
      </c>
      <c r="E112">
        <f>4.089 + (3.487*C112) - (2.096*B112)</f>
        <v>4.8137435577470011</v>
      </c>
      <c r="F112">
        <f>POWER(D112,10)</f>
        <v>175217.75475232516</v>
      </c>
      <c r="G112">
        <f>C112/B112</f>
        <v>1.6589170157994448</v>
      </c>
      <c r="H112">
        <f t="shared" si="1"/>
        <v>0.47757680899999999</v>
      </c>
    </row>
    <row r="113" spans="1:8" x14ac:dyDescent="0.3">
      <c r="A113">
        <v>0.67541857802732252</v>
      </c>
      <c r="B113">
        <v>0.56406352000000004</v>
      </c>
      <c r="C113">
        <v>0.32180504399999998</v>
      </c>
      <c r="D113">
        <v>4.8212792350000004</v>
      </c>
      <c r="E113">
        <f>4.089 + (3.487*C113) - (2.096*B113)</f>
        <v>4.0288570505080008</v>
      </c>
      <c r="F113">
        <f>POWER(D113,10)</f>
        <v>6786140.5985156661</v>
      </c>
      <c r="G113">
        <f>C113/B113</f>
        <v>0.57051206573330604</v>
      </c>
      <c r="H113">
        <f t="shared" si="1"/>
        <v>0.11413143599999998</v>
      </c>
    </row>
    <row r="114" spans="1:8" x14ac:dyDescent="0.3">
      <c r="A114">
        <v>0.67540209972574949</v>
      </c>
      <c r="B114">
        <v>0.23198089199999999</v>
      </c>
      <c r="C114">
        <v>0.31486710800000001</v>
      </c>
      <c r="D114">
        <v>2.7952912460000001</v>
      </c>
      <c r="E114">
        <f>4.089 + (3.487*C114) - (2.096*B114)</f>
        <v>4.7007096559640011</v>
      </c>
      <c r="F114">
        <f>POWER(D114,10)</f>
        <v>29125.315890307036</v>
      </c>
      <c r="G114">
        <f>C114/B114</f>
        <v>1.3572976001833807</v>
      </c>
      <c r="H114">
        <f t="shared" si="1"/>
        <v>0.45315199999999994</v>
      </c>
    </row>
    <row r="115" spans="1:8" x14ac:dyDescent="0.3">
      <c r="A115">
        <v>0.68428988555926762</v>
      </c>
      <c r="B115">
        <v>0.63705276700000002</v>
      </c>
      <c r="C115">
        <v>0.31439820400000001</v>
      </c>
      <c r="D115">
        <v>4.9103570899999998</v>
      </c>
      <c r="E115">
        <f>4.089 + (3.487*C115) - (2.096*B115)</f>
        <v>3.8500439377160003</v>
      </c>
      <c r="F115">
        <f>POWER(D115,10)</f>
        <v>8149496.1603914136</v>
      </c>
      <c r="G115">
        <f>C115/B115</f>
        <v>0.49351987823639731</v>
      </c>
      <c r="H115">
        <f t="shared" si="1"/>
        <v>4.8549029000000021E-2</v>
      </c>
    </row>
    <row r="116" spans="1:8" x14ac:dyDescent="0.3">
      <c r="A116">
        <v>0.68762854232137627</v>
      </c>
      <c r="B116">
        <v>0.67802759599999995</v>
      </c>
      <c r="C116">
        <v>0.31164372400000001</v>
      </c>
      <c r="D116">
        <v>5.9900152269999998</v>
      </c>
      <c r="E116">
        <f>4.089 + (3.487*C116) - (2.096*B116)</f>
        <v>3.7545558243720007</v>
      </c>
      <c r="F116">
        <f>POWER(D116,10)</f>
        <v>59467442.860420607</v>
      </c>
      <c r="G116">
        <f>C116/B116</f>
        <v>0.4596328023203351</v>
      </c>
      <c r="H116">
        <f t="shared" si="1"/>
        <v>1.0328679999999979E-2</v>
      </c>
    </row>
    <row r="117" spans="1:8" x14ac:dyDescent="0.3">
      <c r="A117">
        <v>0.68753680816446938</v>
      </c>
      <c r="B117">
        <v>0.58587012800000005</v>
      </c>
      <c r="C117">
        <v>0.30984051699999998</v>
      </c>
      <c r="D117">
        <v>5.3392705219999996</v>
      </c>
      <c r="E117">
        <f>4.089 + (3.487*C117) - (2.096*B117)</f>
        <v>3.9414300944910003</v>
      </c>
      <c r="F117">
        <f>POWER(D117,10)</f>
        <v>18828653.177854389</v>
      </c>
      <c r="G117">
        <f>C117/B117</f>
        <v>0.52885529094598238</v>
      </c>
      <c r="H117">
        <f t="shared" si="1"/>
        <v>0.10428935499999992</v>
      </c>
    </row>
    <row r="118" spans="1:8" x14ac:dyDescent="0.3">
      <c r="A118">
        <v>0.68688310316688117</v>
      </c>
      <c r="B118">
        <v>0.59766091799999999</v>
      </c>
      <c r="C118">
        <v>0.30892226</v>
      </c>
      <c r="D118">
        <v>5.5753187129999997</v>
      </c>
      <c r="E118">
        <f>4.089 + (3.487*C118) - (2.096*B118)</f>
        <v>3.9135146364920006</v>
      </c>
      <c r="F118">
        <f>POWER(D118,10)</f>
        <v>29019971.972854387</v>
      </c>
      <c r="G118">
        <f>C118/B118</f>
        <v>0.51688549593266198</v>
      </c>
      <c r="H118">
        <f t="shared" si="1"/>
        <v>9.341682200000001E-2</v>
      </c>
    </row>
    <row r="119" spans="1:8" x14ac:dyDescent="0.3">
      <c r="A119">
        <v>0.70674989447027492</v>
      </c>
      <c r="B119">
        <v>0.41236297100000002</v>
      </c>
      <c r="C119">
        <v>0.28665256700000002</v>
      </c>
      <c r="D119">
        <v>3.859424872</v>
      </c>
      <c r="E119">
        <f>4.089 + (3.487*C119) - (2.096*B119)</f>
        <v>4.2242447139130004</v>
      </c>
      <c r="F119">
        <f>POWER(D119,10)</f>
        <v>733205.83621926524</v>
      </c>
      <c r="G119">
        <f>C119/B119</f>
        <v>0.69514623562065669</v>
      </c>
      <c r="H119">
        <f t="shared" si="1"/>
        <v>0.30098446200000001</v>
      </c>
    </row>
    <row r="120" spans="1:8" x14ac:dyDescent="0.3">
      <c r="A120">
        <v>0.71846756283756186</v>
      </c>
      <c r="B120">
        <v>0.681380918</v>
      </c>
      <c r="C120">
        <v>0.28032026300000001</v>
      </c>
      <c r="D120">
        <v>5.8241288259999999</v>
      </c>
      <c r="E120">
        <f>4.089 + (3.487*C120) - (2.096*B120)</f>
        <v>3.6383023529530005</v>
      </c>
      <c r="F120">
        <f>POWER(D120,10)</f>
        <v>44906553.735356078</v>
      </c>
      <c r="G120">
        <f>C120/B120</f>
        <v>0.41140022503535978</v>
      </c>
      <c r="H120">
        <f t="shared" si="1"/>
        <v>3.8298818999999984E-2</v>
      </c>
    </row>
    <row r="121" spans="1:8" x14ac:dyDescent="0.3">
      <c r="A121">
        <v>0.71751972208979797</v>
      </c>
      <c r="B121">
        <v>0.61209897499999999</v>
      </c>
      <c r="C121">
        <v>0.27928071599999998</v>
      </c>
      <c r="D121">
        <v>4.050812037</v>
      </c>
      <c r="E121">
        <f>4.089 + (3.487*C121) - (2.096*B121)</f>
        <v>3.7798924050920002</v>
      </c>
      <c r="F121">
        <f>POWER(D121,10)</f>
        <v>1189654.6820602396</v>
      </c>
      <c r="G121">
        <f>C121/B121</f>
        <v>0.45626724991656781</v>
      </c>
      <c r="H121">
        <f t="shared" si="1"/>
        <v>0.10862030900000008</v>
      </c>
    </row>
    <row r="122" spans="1:8" x14ac:dyDescent="0.3">
      <c r="A122">
        <v>0.71491397351591224</v>
      </c>
      <c r="B122">
        <v>0.40401506599999998</v>
      </c>
      <c r="C122">
        <v>0.27914650800000002</v>
      </c>
      <c r="D122">
        <v>3.3076889980000002</v>
      </c>
      <c r="E122">
        <f>4.089 + (3.487*C122) - (2.096*B122)</f>
        <v>4.2155682950600006</v>
      </c>
      <c r="F122">
        <f>POWER(D122,10)</f>
        <v>156764.12659752675</v>
      </c>
      <c r="G122">
        <f>C122/B122</f>
        <v>0.69093093671907779</v>
      </c>
      <c r="H122">
        <f t="shared" si="1"/>
        <v>0.31683842600000006</v>
      </c>
    </row>
    <row r="123" spans="1:8" x14ac:dyDescent="0.3">
      <c r="A123">
        <v>0.71578115215308769</v>
      </c>
      <c r="B123">
        <v>0.48938599900000002</v>
      </c>
      <c r="C123">
        <v>0.278274572</v>
      </c>
      <c r="D123">
        <v>4.4429598639999996</v>
      </c>
      <c r="E123">
        <f>4.089 + (3.487*C123) - (2.096*B123)</f>
        <v>4.0335903786600005</v>
      </c>
      <c r="F123">
        <f>POWER(D123,10)</f>
        <v>2997256.4267127253</v>
      </c>
      <c r="G123">
        <f>C123/B123</f>
        <v>0.56861980638722764</v>
      </c>
      <c r="H123">
        <f t="shared" si="1"/>
        <v>0.23233942900000004</v>
      </c>
    </row>
    <row r="124" spans="1:8" x14ac:dyDescent="0.3">
      <c r="A124">
        <v>0.73059762813459073</v>
      </c>
      <c r="B124">
        <v>0.51965862500000004</v>
      </c>
      <c r="C124">
        <v>0.26596719600000002</v>
      </c>
      <c r="D124">
        <v>3.7139689140000001</v>
      </c>
      <c r="E124">
        <f>4.089 + (3.487*C124) - (2.096*B124)</f>
        <v>3.9272231344520003</v>
      </c>
      <c r="F124">
        <f>POWER(D124,10)</f>
        <v>499324.23309038661</v>
      </c>
      <c r="G124">
        <f>C124/B124</f>
        <v>0.51181137617026951</v>
      </c>
      <c r="H124">
        <f t="shared" si="1"/>
        <v>0.21437417899999989</v>
      </c>
    </row>
    <row r="125" spans="1:8" x14ac:dyDescent="0.3">
      <c r="A125">
        <v>0.73048189366049676</v>
      </c>
      <c r="B125">
        <v>0.35397865899999997</v>
      </c>
      <c r="C125">
        <v>0.26457915900000001</v>
      </c>
      <c r="D125">
        <v>2.6011021909999998</v>
      </c>
      <c r="E125">
        <f>4.089 + (3.487*C125) - (2.096*B125)</f>
        <v>4.269648258169001</v>
      </c>
      <c r="F125">
        <f>POWER(D125,10)</f>
        <v>14176.667355132349</v>
      </c>
      <c r="G125">
        <f>C125/B125</f>
        <v>0.74744381411987904</v>
      </c>
      <c r="H125">
        <f t="shared" si="1"/>
        <v>0.38144218200000007</v>
      </c>
    </row>
    <row r="126" spans="1:8" x14ac:dyDescent="0.3">
      <c r="A126">
        <v>0.72674089527632424</v>
      </c>
      <c r="B126">
        <v>0.55065704999999998</v>
      </c>
      <c r="C126">
        <v>0.26452703900000002</v>
      </c>
      <c r="D126">
        <v>4.3569490469999996</v>
      </c>
      <c r="E126">
        <f>4.089 + (3.487*C126) - (2.096*B126)</f>
        <v>3.8572286081930001</v>
      </c>
      <c r="F126">
        <f>POWER(D126,10)</f>
        <v>2465044.7649656208</v>
      </c>
      <c r="G126">
        <f>C126/B126</f>
        <v>0.48038436809262686</v>
      </c>
      <c r="H126">
        <f t="shared" si="1"/>
        <v>0.18481591099999994</v>
      </c>
    </row>
    <row r="127" spans="1:8" x14ac:dyDescent="0.3">
      <c r="A127">
        <v>0.7344707037034871</v>
      </c>
      <c r="B127">
        <v>0.36153939600000001</v>
      </c>
      <c r="C127">
        <v>0.26277341399999998</v>
      </c>
      <c r="D127">
        <v>2.325918181</v>
      </c>
      <c r="E127">
        <f>4.089 + (3.487*C127) - (2.096*B127)</f>
        <v>4.2475043206020002</v>
      </c>
      <c r="F127">
        <f>POWER(D127,10)</f>
        <v>4633.8752145573562</v>
      </c>
      <c r="G127">
        <f>C127/B127</f>
        <v>0.72681820268350494</v>
      </c>
      <c r="H127">
        <f t="shared" si="1"/>
        <v>0.37568719</v>
      </c>
    </row>
    <row r="128" spans="1:8" x14ac:dyDescent="0.3">
      <c r="A128">
        <v>0.73634565926464846</v>
      </c>
      <c r="B128">
        <v>0.646569112</v>
      </c>
      <c r="C128">
        <v>0.258950183</v>
      </c>
      <c r="D128">
        <v>5.5394757070000002</v>
      </c>
      <c r="E128">
        <f>4.089 + (3.487*C128) - (2.096*B128)</f>
        <v>3.6367504293690001</v>
      </c>
      <c r="F128">
        <f>POWER(D128,10)</f>
        <v>27207373.675841704</v>
      </c>
      <c r="G128">
        <f>C128/B128</f>
        <v>0.40049884566709709</v>
      </c>
      <c r="H128">
        <f t="shared" si="1"/>
        <v>9.4480704999999943E-2</v>
      </c>
    </row>
    <row r="129" spans="1:8" x14ac:dyDescent="0.3">
      <c r="A129">
        <v>0.73780065945788154</v>
      </c>
      <c r="B129">
        <v>0.425065998</v>
      </c>
      <c r="C129">
        <v>0.256443435</v>
      </c>
      <c r="D129">
        <v>3.5546931480000001</v>
      </c>
      <c r="E129">
        <f>4.089 + (3.487*C129) - (2.096*B129)</f>
        <v>4.0922799260370004</v>
      </c>
      <c r="F129">
        <f>POWER(D129,10)</f>
        <v>322122.5812449872</v>
      </c>
      <c r="G129">
        <f>C129/B129</f>
        <v>0.60330263113635352</v>
      </c>
      <c r="H129">
        <f t="shared" si="1"/>
        <v>0.318490567</v>
      </c>
    </row>
    <row r="130" spans="1:8" x14ac:dyDescent="0.3">
      <c r="A130">
        <v>0.72979439740483498</v>
      </c>
      <c r="B130">
        <v>0.52025952600000003</v>
      </c>
      <c r="C130">
        <v>0.25570690000000001</v>
      </c>
      <c r="D130">
        <v>5.0158958370000004</v>
      </c>
      <c r="E130">
        <f>4.089 + (3.487*C130) - (2.096*B130)</f>
        <v>3.8901859938040007</v>
      </c>
      <c r="F130">
        <f>POWER(D130,10)</f>
        <v>10080570.030634454</v>
      </c>
      <c r="G130">
        <f>C130/B130</f>
        <v>0.49149873711298464</v>
      </c>
      <c r="H130">
        <f t="shared" si="1"/>
        <v>0.2240335739999999</v>
      </c>
    </row>
    <row r="131" spans="1:8" x14ac:dyDescent="0.3">
      <c r="A131">
        <v>0.74068067293943762</v>
      </c>
      <c r="B131">
        <v>0.49747841700000001</v>
      </c>
      <c r="C131">
        <v>0.25346732799999999</v>
      </c>
      <c r="D131">
        <v>3.456676071</v>
      </c>
      <c r="E131">
        <f>4.089 + (3.487*C131) - (2.096*B131)</f>
        <v>3.9301258107040002</v>
      </c>
      <c r="F131">
        <f>POWER(D131,10)</f>
        <v>243549.27003938516</v>
      </c>
      <c r="G131">
        <f>C131/B131</f>
        <v>0.50950417010754456</v>
      </c>
      <c r="H131">
        <f t="shared" ref="H131:H151" si="2">1-C131-B131</f>
        <v>0.24905425500000006</v>
      </c>
    </row>
    <row r="132" spans="1:8" x14ac:dyDescent="0.3">
      <c r="A132">
        <v>0.74899751949964055</v>
      </c>
      <c r="B132">
        <v>0.46538095200000001</v>
      </c>
      <c r="C132">
        <v>0.245650589</v>
      </c>
      <c r="D132">
        <v>2.894225547</v>
      </c>
      <c r="E132">
        <f>4.089 + (3.487*C132) - (2.096*B132)</f>
        <v>3.9701451284510005</v>
      </c>
      <c r="F132">
        <f>POWER(D132,10)</f>
        <v>41240.481452584339</v>
      </c>
      <c r="G132">
        <f>C132/B132</f>
        <v>0.52784839590942256</v>
      </c>
      <c r="H132">
        <f t="shared" si="2"/>
        <v>0.28896845899999996</v>
      </c>
    </row>
    <row r="133" spans="1:8" x14ac:dyDescent="0.3">
      <c r="A133">
        <v>0.74165863161467327</v>
      </c>
      <c r="B133">
        <v>0.461314318</v>
      </c>
      <c r="C133">
        <v>0.24433861900000001</v>
      </c>
      <c r="D133">
        <v>3.9463607029999999</v>
      </c>
      <c r="E133">
        <f>4.089 + (3.487*C133) - (2.096*B133)</f>
        <v>3.9740939539250006</v>
      </c>
      <c r="F133">
        <f>POWER(D133,10)</f>
        <v>916152.516063118</v>
      </c>
      <c r="G133">
        <f>C133/B133</f>
        <v>0.52965756636237771</v>
      </c>
      <c r="H133">
        <f t="shared" si="2"/>
        <v>0.29434706300000002</v>
      </c>
    </row>
    <row r="134" spans="1:8" x14ac:dyDescent="0.3">
      <c r="A134">
        <v>0.74845581766168812</v>
      </c>
      <c r="B134">
        <v>0.202642344</v>
      </c>
      <c r="C134">
        <v>0.23693046500000001</v>
      </c>
      <c r="D134">
        <v>4.0573729409999997</v>
      </c>
      <c r="E134">
        <f>4.089 + (3.487*C134) - (2.096*B134)</f>
        <v>4.4904381784310008</v>
      </c>
      <c r="F134">
        <f>POWER(D134,10)</f>
        <v>1209063.9862532273</v>
      </c>
      <c r="G134">
        <f>C134/B134</f>
        <v>1.1692051144059012</v>
      </c>
      <c r="H134">
        <f t="shared" si="2"/>
        <v>0.56042719099999994</v>
      </c>
    </row>
    <row r="135" spans="1:8" x14ac:dyDescent="0.3">
      <c r="A135">
        <v>0.7586893606221643</v>
      </c>
      <c r="B135">
        <v>0.24699051599999999</v>
      </c>
      <c r="C135">
        <v>0.23152318099999999</v>
      </c>
      <c r="D135">
        <v>2.7257657279999998</v>
      </c>
      <c r="E135">
        <f>4.089 + (3.487*C135) - (2.096*B135)</f>
        <v>4.3786292106109999</v>
      </c>
      <c r="F135">
        <f>POWER(D135,10)</f>
        <v>22640.461070784819</v>
      </c>
      <c r="G135">
        <f>C135/B135</f>
        <v>0.93737680599849427</v>
      </c>
      <c r="H135">
        <f t="shared" si="2"/>
        <v>0.52148630299999998</v>
      </c>
    </row>
    <row r="136" spans="1:8" x14ac:dyDescent="0.3">
      <c r="A136">
        <v>0.78645491294938097</v>
      </c>
      <c r="B136">
        <v>0.43594575099999999</v>
      </c>
      <c r="C136">
        <v>0.20393884200000001</v>
      </c>
      <c r="D136">
        <v>3.6043463070000001</v>
      </c>
      <c r="E136">
        <f>4.089 + (3.487*C136) - (2.096*B136)</f>
        <v>3.8863924479580003</v>
      </c>
      <c r="F136">
        <f>POWER(D136,10)</f>
        <v>370054.01021605491</v>
      </c>
      <c r="G136">
        <f>C136/B136</f>
        <v>0.46780784428381783</v>
      </c>
      <c r="H136">
        <f t="shared" si="2"/>
        <v>0.360115407</v>
      </c>
    </row>
    <row r="137" spans="1:8" x14ac:dyDescent="0.3">
      <c r="A137">
        <v>0.79194107187655116</v>
      </c>
      <c r="B137">
        <v>0.58735793400000003</v>
      </c>
      <c r="C137">
        <v>0.19965756500000001</v>
      </c>
      <c r="D137">
        <v>4.8672886750000002</v>
      </c>
      <c r="E137">
        <f>4.089 + (3.487*C137) - (2.096*B137)</f>
        <v>3.5541036994910002</v>
      </c>
      <c r="F137">
        <f>POWER(D137,10)</f>
        <v>7462271.5123742353</v>
      </c>
      <c r="G137">
        <f>C137/B137</f>
        <v>0.33992486257962085</v>
      </c>
      <c r="H137">
        <f t="shared" si="2"/>
        <v>0.21298450099999999</v>
      </c>
    </row>
    <row r="138" spans="1:8" x14ac:dyDescent="0.3">
      <c r="A138">
        <v>0.80292272906041129</v>
      </c>
      <c r="B138">
        <v>0.54430960699999997</v>
      </c>
      <c r="C138">
        <v>0.19013108200000001</v>
      </c>
      <c r="D138">
        <v>4.4550860219999997</v>
      </c>
      <c r="E138">
        <f>4.089 + (3.487*C138) - (2.096*B138)</f>
        <v>3.6111141466620005</v>
      </c>
      <c r="F138">
        <f>POWER(D138,10)</f>
        <v>3080072.5142880757</v>
      </c>
      <c r="G138">
        <f>C138/B138</f>
        <v>0.34930686424573804</v>
      </c>
      <c r="H138">
        <f t="shared" si="2"/>
        <v>0.26555931100000008</v>
      </c>
    </row>
    <row r="139" spans="1:8" x14ac:dyDescent="0.3">
      <c r="A139">
        <v>0.80161785012996956</v>
      </c>
      <c r="B139">
        <v>0.45236388999999999</v>
      </c>
      <c r="C139">
        <v>0.188911308</v>
      </c>
      <c r="D139">
        <v>4.0187385679999998</v>
      </c>
      <c r="E139">
        <f>4.089 + (3.487*C139) - (2.096*B139)</f>
        <v>3.7995790175559998</v>
      </c>
      <c r="F139">
        <f>POWER(D139,10)</f>
        <v>1098746.6107566324</v>
      </c>
      <c r="G139">
        <f>C139/B139</f>
        <v>0.41760916858328367</v>
      </c>
      <c r="H139">
        <f t="shared" si="2"/>
        <v>0.35872480200000001</v>
      </c>
    </row>
    <row r="140" spans="1:8" x14ac:dyDescent="0.3">
      <c r="A140">
        <v>0.78962137365929397</v>
      </c>
      <c r="B140">
        <v>0.45048927500000002</v>
      </c>
      <c r="C140">
        <v>0.18757943199999999</v>
      </c>
      <c r="D140">
        <v>4.5454012319999997</v>
      </c>
      <c r="E140">
        <f>4.089 + (3.487*C140) - (2.096*B140)</f>
        <v>3.7988639589840005</v>
      </c>
      <c r="F140">
        <f>POWER(D140,10)</f>
        <v>3764629.6054491648</v>
      </c>
      <c r="G140">
        <f>C140/B140</f>
        <v>0.41639045013890724</v>
      </c>
      <c r="H140">
        <f t="shared" si="2"/>
        <v>0.36193129300000004</v>
      </c>
    </row>
    <row r="141" spans="1:8" x14ac:dyDescent="0.3">
      <c r="A141">
        <v>0.78891248252664037</v>
      </c>
      <c r="B141">
        <v>0.27607855100000001</v>
      </c>
      <c r="C141">
        <v>0.17745027599999999</v>
      </c>
      <c r="D141">
        <v>4.1138740660000002</v>
      </c>
      <c r="E141">
        <f>4.089 + (3.487*C141) - (2.096*B141)</f>
        <v>4.1291084695160007</v>
      </c>
      <c r="F141">
        <f>POWER(D141,10)</f>
        <v>1388385.0523044465</v>
      </c>
      <c r="G141">
        <f>C141/B141</f>
        <v>0.64275285188670805</v>
      </c>
      <c r="H141">
        <f t="shared" si="2"/>
        <v>0.54647117300000003</v>
      </c>
    </row>
    <row r="142" spans="1:8" x14ac:dyDescent="0.3">
      <c r="A142">
        <v>0.79144632066750442</v>
      </c>
      <c r="B142">
        <v>0.25166309999999997</v>
      </c>
      <c r="C142">
        <v>0.17089875299999999</v>
      </c>
      <c r="D142">
        <v>3.943291297</v>
      </c>
      <c r="E142">
        <f>4.089 + (3.487*C142) - (2.096*B142)</f>
        <v>4.1574380941109998</v>
      </c>
      <c r="F142">
        <f>POWER(D142,10)</f>
        <v>909051.74037050514</v>
      </c>
      <c r="G142">
        <f>C142/B142</f>
        <v>0.67907751672772054</v>
      </c>
      <c r="H142">
        <f t="shared" si="2"/>
        <v>0.57743814700000007</v>
      </c>
    </row>
    <row r="143" spans="1:8" x14ac:dyDescent="0.3">
      <c r="A143">
        <v>0.82156360032299125</v>
      </c>
      <c r="B143">
        <v>0.24494290299999999</v>
      </c>
      <c r="C143">
        <v>0.16467811600000001</v>
      </c>
      <c r="D143">
        <v>3.8176520909999998</v>
      </c>
      <c r="E143">
        <f>4.089 + (3.487*C143) - (2.096*B143)</f>
        <v>4.149832265804001</v>
      </c>
      <c r="F143">
        <f>POWER(D143,10)</f>
        <v>657602.53515903617</v>
      </c>
      <c r="G143">
        <f>C143/B143</f>
        <v>0.67231225719571075</v>
      </c>
      <c r="H143">
        <f t="shared" si="2"/>
        <v>0.59037898099999997</v>
      </c>
    </row>
    <row r="144" spans="1:8" x14ac:dyDescent="0.3">
      <c r="A144">
        <v>0.80929332435421364</v>
      </c>
      <c r="B144">
        <v>0.49255763699999999</v>
      </c>
      <c r="C144">
        <v>0.163947023</v>
      </c>
      <c r="D144">
        <v>4.4666609279999996</v>
      </c>
      <c r="E144">
        <f>4.089 + (3.487*C144) - (2.096*B144)</f>
        <v>3.6282824620490004</v>
      </c>
      <c r="F144">
        <f>POWER(D144,10)</f>
        <v>3161039.0193730751</v>
      </c>
      <c r="G144">
        <f>C144/B144</f>
        <v>0.33284840328239595</v>
      </c>
      <c r="H144">
        <f t="shared" si="2"/>
        <v>0.34349534000000004</v>
      </c>
    </row>
    <row r="145" spans="1:8" x14ac:dyDescent="0.3">
      <c r="A145">
        <v>0.83299470041573076</v>
      </c>
      <c r="B145">
        <v>0.40599665400000001</v>
      </c>
      <c r="C145">
        <v>0.16138944399999999</v>
      </c>
      <c r="D145">
        <v>2.2536953620000002</v>
      </c>
      <c r="E145">
        <f>4.089 + (3.487*C145) - (2.096*B145)</f>
        <v>3.8007960044439999</v>
      </c>
      <c r="F145">
        <f>POWER(D145,10)</f>
        <v>3380.2755908652366</v>
      </c>
      <c r="G145">
        <f>C145/B145</f>
        <v>0.39751422187829161</v>
      </c>
      <c r="H145">
        <f t="shared" si="2"/>
        <v>0.43261390199999999</v>
      </c>
    </row>
    <row r="146" spans="1:8" x14ac:dyDescent="0.3">
      <c r="A146">
        <v>0.83082486714324733</v>
      </c>
      <c r="B146">
        <v>0.48530826799999999</v>
      </c>
      <c r="C146">
        <v>0.16039577499999999</v>
      </c>
      <c r="D146">
        <v>3.6403501870000001</v>
      </c>
      <c r="E146">
        <f>4.089 + (3.487*C146) - (2.096*B146)</f>
        <v>3.6310939376970008</v>
      </c>
      <c r="F146">
        <f>POWER(D146,10)</f>
        <v>408725.40266234684</v>
      </c>
      <c r="G146">
        <f>C146/B146</f>
        <v>0.33050286915779475</v>
      </c>
      <c r="H146">
        <f t="shared" si="2"/>
        <v>0.35429595699999999</v>
      </c>
    </row>
    <row r="147" spans="1:8" x14ac:dyDescent="0.3">
      <c r="A147">
        <v>0.82760698240579667</v>
      </c>
      <c r="B147">
        <v>0.25877861800000002</v>
      </c>
      <c r="C147">
        <v>0.15415731299999999</v>
      </c>
      <c r="D147">
        <v>2.658423891</v>
      </c>
      <c r="E147">
        <f>4.089 + (3.487*C147) - (2.096*B147)</f>
        <v>4.0841465671030006</v>
      </c>
      <c r="F147">
        <f>POWER(D147,10)</f>
        <v>17629.594067457689</v>
      </c>
      <c r="G147">
        <f>C147/B147</f>
        <v>0.59571116884162345</v>
      </c>
      <c r="H147">
        <f t="shared" si="2"/>
        <v>0.58706406899999997</v>
      </c>
    </row>
    <row r="148" spans="1:8" x14ac:dyDescent="0.3">
      <c r="A148">
        <v>0.8749549407908056</v>
      </c>
      <c r="B148">
        <v>0.43700704000000001</v>
      </c>
      <c r="C148">
        <v>0.103774984</v>
      </c>
      <c r="D148">
        <v>3.3791650930000001</v>
      </c>
      <c r="E148">
        <f>4.089 + (3.487*C148) - (2.096*B148)</f>
        <v>3.5348966133680002</v>
      </c>
      <c r="F148">
        <f>POWER(D148,10)</f>
        <v>194130.64723962356</v>
      </c>
      <c r="G148">
        <f>C148/B148</f>
        <v>0.23746753370380486</v>
      </c>
      <c r="H148">
        <f t="shared" si="2"/>
        <v>0.45921797600000003</v>
      </c>
    </row>
    <row r="149" spans="1:8" x14ac:dyDescent="0.3">
      <c r="A149">
        <v>0.89238336607848723</v>
      </c>
      <c r="B149">
        <v>0.42118123600000001</v>
      </c>
      <c r="C149">
        <v>9.9278111000000002E-2</v>
      </c>
      <c r="D149">
        <v>3.2506139329999999</v>
      </c>
      <c r="E149">
        <f>4.089 + (3.487*C149) - (2.096*B149)</f>
        <v>3.5523869024010009</v>
      </c>
      <c r="F149">
        <f>POWER(D149,10)</f>
        <v>131720.66823613195</v>
      </c>
      <c r="G149">
        <f>C149/B149</f>
        <v>0.23571351834866641</v>
      </c>
      <c r="H149">
        <f t="shared" si="2"/>
        <v>0.47954065299999993</v>
      </c>
    </row>
    <row r="150" spans="1:8" x14ac:dyDescent="0.3">
      <c r="A150">
        <v>0.90676959009852853</v>
      </c>
      <c r="B150">
        <v>0.45039726699999999</v>
      </c>
      <c r="C150">
        <v>7.8479853000000002E-2</v>
      </c>
      <c r="D150">
        <v>2.9704718890000001</v>
      </c>
      <c r="E150">
        <f>4.089 + (3.487*C150) - (2.096*B150)</f>
        <v>3.4186265757790011</v>
      </c>
      <c r="F150">
        <f>POWER(D150,10)</f>
        <v>53487.767067162509</v>
      </c>
      <c r="G150">
        <f>C150/B150</f>
        <v>0.17424584638964963</v>
      </c>
      <c r="H150">
        <f t="shared" si="2"/>
        <v>0.47112287999999997</v>
      </c>
    </row>
    <row r="151" spans="1:8" x14ac:dyDescent="0.3">
      <c r="A151">
        <v>0.90601254395278552</v>
      </c>
      <c r="B151">
        <v>0.43408591299999999</v>
      </c>
      <c r="C151">
        <v>7.5378101000000003E-2</v>
      </c>
      <c r="D151">
        <v>3.8541995610000002</v>
      </c>
      <c r="E151">
        <f>4.089 + (3.487*C151) - (2.096*B151)</f>
        <v>3.4419993645389999</v>
      </c>
      <c r="F151">
        <f>POWER(D151,10)</f>
        <v>723339.15760138072</v>
      </c>
      <c r="G151">
        <f>C151/B151</f>
        <v>0.17364788568939349</v>
      </c>
      <c r="H151">
        <f t="shared" si="2"/>
        <v>0.49053598600000003</v>
      </c>
    </row>
  </sheetData>
  <autoFilter ref="A1:G151" xr:uid="{5606E976-1A45-40F6-B60F-275DAA0B5127}">
    <sortState xmlns:xlrd2="http://schemas.microsoft.com/office/spreadsheetml/2017/richdata2" ref="A2:G151">
      <sortCondition descending="1" ref="C1:C151"/>
    </sortState>
  </autoFilter>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ACEDA-521B-4796-920C-02607BA42277}">
  <dimension ref="A1:L31"/>
  <sheetViews>
    <sheetView workbookViewId="0">
      <selection activeCell="W14" sqref="W14"/>
    </sheetView>
  </sheetViews>
  <sheetFormatPr defaultRowHeight="14.4" x14ac:dyDescent="0.3"/>
  <sheetData>
    <row r="1" spans="1:12" x14ac:dyDescent="0.3">
      <c r="A1" t="s">
        <v>0</v>
      </c>
      <c r="B1" t="s">
        <v>1</v>
      </c>
      <c r="C1" t="s">
        <v>2</v>
      </c>
      <c r="D1" t="s">
        <v>3</v>
      </c>
      <c r="E1" t="s">
        <v>4</v>
      </c>
      <c r="F1" t="s">
        <v>8</v>
      </c>
      <c r="G1" t="s">
        <v>71</v>
      </c>
      <c r="H1" t="s">
        <v>73</v>
      </c>
      <c r="I1" t="s">
        <v>75</v>
      </c>
      <c r="J1" t="s">
        <v>72</v>
      </c>
      <c r="K1" t="s">
        <v>74</v>
      </c>
      <c r="L1" t="s">
        <v>76</v>
      </c>
    </row>
    <row r="2" spans="1:12" x14ac:dyDescent="0.3">
      <c r="A2">
        <v>1</v>
      </c>
      <c r="B2">
        <v>1048576</v>
      </c>
      <c r="C2">
        <v>7</v>
      </c>
      <c r="D2">
        <v>512</v>
      </c>
      <c r="E2">
        <v>0.2</v>
      </c>
      <c r="F2">
        <v>689.54</v>
      </c>
      <c r="G2">
        <v>217190</v>
      </c>
      <c r="H2">
        <v>1.6181920000000001E-3</v>
      </c>
      <c r="I2">
        <v>5852962200</v>
      </c>
      <c r="J2">
        <v>958528</v>
      </c>
      <c r="K2">
        <v>7.1415899999999997E-3</v>
      </c>
      <c r="L2">
        <v>114866.66666666667</v>
      </c>
    </row>
    <row r="3" spans="1:12" x14ac:dyDescent="0.3">
      <c r="A3">
        <v>2</v>
      </c>
      <c r="B3">
        <v>1048576</v>
      </c>
      <c r="C3">
        <v>7</v>
      </c>
      <c r="D3">
        <v>512</v>
      </c>
      <c r="E3">
        <v>0.35</v>
      </c>
      <c r="F3">
        <v>198.78</v>
      </c>
      <c r="G3">
        <v>89414</v>
      </c>
      <c r="H3">
        <v>6.6618600000000004E-4</v>
      </c>
      <c r="I3">
        <v>1065085533.3333334</v>
      </c>
      <c r="J3">
        <v>216648</v>
      </c>
      <c r="K3">
        <v>1.6141529999999999E-3</v>
      </c>
      <c r="L3">
        <v>151933.33333333334</v>
      </c>
    </row>
    <row r="4" spans="1:12" x14ac:dyDescent="0.3">
      <c r="A4">
        <v>3</v>
      </c>
      <c r="B4">
        <v>1048576</v>
      </c>
      <c r="C4">
        <v>7</v>
      </c>
      <c r="D4">
        <v>512</v>
      </c>
      <c r="E4">
        <v>0.5</v>
      </c>
      <c r="F4">
        <v>92.224000000000004</v>
      </c>
      <c r="G4">
        <v>35116</v>
      </c>
      <c r="H4">
        <v>2.6163500000000003E-4</v>
      </c>
      <c r="I4">
        <v>2961740966.6666665</v>
      </c>
      <c r="J4">
        <v>90284</v>
      </c>
      <c r="K4">
        <v>6.7266799999999996E-4</v>
      </c>
      <c r="L4">
        <v>157266.66666666666</v>
      </c>
    </row>
    <row r="5" spans="1:12" x14ac:dyDescent="0.3">
      <c r="A5">
        <v>4</v>
      </c>
      <c r="B5">
        <v>1048576</v>
      </c>
      <c r="C5">
        <v>7</v>
      </c>
      <c r="D5">
        <v>512</v>
      </c>
      <c r="E5">
        <v>0.65</v>
      </c>
      <c r="F5">
        <v>46.465000000000003</v>
      </c>
      <c r="G5">
        <v>15140</v>
      </c>
      <c r="H5">
        <v>1.12802E-4</v>
      </c>
      <c r="I5">
        <v>1035054766.6666666</v>
      </c>
      <c r="J5">
        <v>31876</v>
      </c>
      <c r="K5">
        <v>2.37495E-4</v>
      </c>
      <c r="L5">
        <v>410833.33333333331</v>
      </c>
    </row>
    <row r="6" spans="1:12" x14ac:dyDescent="0.3">
      <c r="A6">
        <v>5</v>
      </c>
      <c r="B6">
        <v>1048576</v>
      </c>
      <c r="C6">
        <v>7</v>
      </c>
      <c r="D6">
        <v>512</v>
      </c>
      <c r="E6">
        <v>0.8</v>
      </c>
      <c r="F6">
        <v>33.566000000000003</v>
      </c>
      <c r="G6">
        <v>9260</v>
      </c>
      <c r="H6" s="1">
        <v>6.8992399999999994E-5</v>
      </c>
      <c r="I6">
        <v>2944663533.3333335</v>
      </c>
      <c r="J6">
        <v>15604</v>
      </c>
      <c r="K6">
        <v>1.16259E-4</v>
      </c>
      <c r="L6">
        <v>443133.33333333331</v>
      </c>
    </row>
    <row r="7" spans="1:12" x14ac:dyDescent="0.3">
      <c r="A7">
        <v>6</v>
      </c>
      <c r="B7">
        <v>1048576</v>
      </c>
      <c r="C7">
        <v>7</v>
      </c>
      <c r="D7">
        <v>512</v>
      </c>
      <c r="E7">
        <v>0.95</v>
      </c>
      <c r="F7">
        <v>25.254000000000001</v>
      </c>
      <c r="G7">
        <v>3216</v>
      </c>
      <c r="H7" s="1">
        <v>2.39611E-5</v>
      </c>
      <c r="I7">
        <v>5843744033.333333</v>
      </c>
      <c r="J7">
        <v>8192</v>
      </c>
      <c r="K7" s="1">
        <v>6.1035200000000001E-5</v>
      </c>
      <c r="L7">
        <v>163000</v>
      </c>
    </row>
    <row r="8" spans="1:12" x14ac:dyDescent="0.3">
      <c r="A8">
        <v>7</v>
      </c>
      <c r="B8">
        <v>1048576</v>
      </c>
      <c r="C8">
        <v>6</v>
      </c>
      <c r="D8">
        <v>343</v>
      </c>
      <c r="E8">
        <v>0.2</v>
      </c>
      <c r="F8">
        <v>560.327</v>
      </c>
      <c r="G8">
        <v>648256</v>
      </c>
      <c r="H8">
        <v>4.8298839999999996E-3</v>
      </c>
      <c r="I8">
        <v>1034230033.3333334</v>
      </c>
      <c r="J8" s="1">
        <v>2280000</v>
      </c>
      <c r="K8">
        <v>1.6992599000000001E-2</v>
      </c>
      <c r="L8">
        <v>753100</v>
      </c>
    </row>
    <row r="9" spans="1:12" x14ac:dyDescent="0.3">
      <c r="A9">
        <v>8</v>
      </c>
      <c r="B9">
        <v>1048576</v>
      </c>
      <c r="C9">
        <v>6</v>
      </c>
      <c r="D9">
        <v>343</v>
      </c>
      <c r="E9">
        <v>0.35</v>
      </c>
      <c r="F9">
        <v>151.827</v>
      </c>
      <c r="G9">
        <v>187598</v>
      </c>
      <c r="H9">
        <v>1.397714E-3</v>
      </c>
      <c r="I9">
        <v>2902449300</v>
      </c>
      <c r="J9">
        <v>510144</v>
      </c>
      <c r="K9">
        <v>3.8008690000000001E-3</v>
      </c>
      <c r="L9">
        <v>758933.33333333337</v>
      </c>
    </row>
    <row r="10" spans="1:12" x14ac:dyDescent="0.3">
      <c r="A10">
        <v>9</v>
      </c>
      <c r="B10">
        <v>1048576</v>
      </c>
      <c r="C10">
        <v>6</v>
      </c>
      <c r="D10">
        <v>343</v>
      </c>
      <c r="E10">
        <v>0.5</v>
      </c>
      <c r="F10">
        <v>71.105000000000004</v>
      </c>
      <c r="G10">
        <v>86330</v>
      </c>
      <c r="H10">
        <v>6.4320899999999995E-4</v>
      </c>
      <c r="I10">
        <v>13941057533.333334</v>
      </c>
      <c r="J10">
        <v>180788</v>
      </c>
      <c r="K10">
        <v>1.3469759999999999E-3</v>
      </c>
      <c r="L10">
        <v>166366.66666666666</v>
      </c>
    </row>
    <row r="11" spans="1:12" x14ac:dyDescent="0.3">
      <c r="A11">
        <v>10</v>
      </c>
      <c r="B11">
        <v>1048576</v>
      </c>
      <c r="C11">
        <v>6</v>
      </c>
      <c r="D11">
        <v>343</v>
      </c>
      <c r="E11">
        <v>0.65</v>
      </c>
      <c r="F11">
        <v>36.92</v>
      </c>
      <c r="G11">
        <v>31220</v>
      </c>
      <c r="H11">
        <v>2.3260699999999999E-4</v>
      </c>
      <c r="I11">
        <v>5826554266.666667</v>
      </c>
      <c r="J11">
        <v>73268</v>
      </c>
      <c r="K11">
        <v>5.4588900000000003E-4</v>
      </c>
      <c r="L11">
        <v>401833.33333333331</v>
      </c>
    </row>
    <row r="12" spans="1:12" x14ac:dyDescent="0.3">
      <c r="A12">
        <v>11</v>
      </c>
      <c r="B12">
        <v>1048576</v>
      </c>
      <c r="C12">
        <v>6</v>
      </c>
      <c r="D12">
        <v>343</v>
      </c>
      <c r="E12">
        <v>0.8</v>
      </c>
      <c r="F12">
        <v>26.792000000000002</v>
      </c>
      <c r="G12">
        <v>17126</v>
      </c>
      <c r="H12">
        <v>1.27599E-4</v>
      </c>
      <c r="I12">
        <v>16693384766.666666</v>
      </c>
      <c r="J12">
        <v>35340</v>
      </c>
      <c r="K12">
        <v>2.6330400000000001E-4</v>
      </c>
      <c r="L12">
        <v>143700</v>
      </c>
    </row>
    <row r="13" spans="1:12" x14ac:dyDescent="0.3">
      <c r="A13">
        <v>12</v>
      </c>
      <c r="B13">
        <v>1048576</v>
      </c>
      <c r="C13">
        <v>6</v>
      </c>
      <c r="D13">
        <v>343</v>
      </c>
      <c r="E13">
        <v>0.95</v>
      </c>
      <c r="F13">
        <v>21.053999999999998</v>
      </c>
      <c r="G13">
        <v>5380</v>
      </c>
      <c r="H13" s="1">
        <v>4.0084099999999998E-5</v>
      </c>
      <c r="I13">
        <v>13908287500</v>
      </c>
      <c r="J13">
        <v>24576</v>
      </c>
      <c r="K13">
        <v>1.83105E-4</v>
      </c>
      <c r="L13">
        <v>189366.66666666666</v>
      </c>
    </row>
    <row r="14" spans="1:12" x14ac:dyDescent="0.3">
      <c r="A14">
        <v>13</v>
      </c>
      <c r="B14">
        <v>1048576</v>
      </c>
      <c r="C14">
        <v>5</v>
      </c>
      <c r="D14">
        <v>216</v>
      </c>
      <c r="E14">
        <v>0.2</v>
      </c>
      <c r="F14">
        <v>133889.89000000001</v>
      </c>
      <c r="G14" s="1">
        <v>2080000</v>
      </c>
      <c r="H14">
        <v>1.5525578999999999E-2</v>
      </c>
      <c r="I14">
        <v>638713225</v>
      </c>
      <c r="J14" s="1">
        <v>3770000</v>
      </c>
      <c r="K14">
        <v>2.8124809000000001E-2</v>
      </c>
      <c r="L14">
        <v>2013575</v>
      </c>
    </row>
    <row r="15" spans="1:12" x14ac:dyDescent="0.3">
      <c r="A15">
        <v>14</v>
      </c>
      <c r="B15">
        <v>1048576</v>
      </c>
      <c r="C15">
        <v>5</v>
      </c>
      <c r="D15">
        <v>216</v>
      </c>
      <c r="E15">
        <v>0.35</v>
      </c>
      <c r="F15">
        <v>109.86199999999999</v>
      </c>
      <c r="G15">
        <v>522078</v>
      </c>
      <c r="H15">
        <v>3.8897839999999999E-3</v>
      </c>
      <c r="I15">
        <v>2815900400</v>
      </c>
      <c r="J15">
        <v>864820</v>
      </c>
      <c r="K15">
        <v>6.4434109999999996E-3</v>
      </c>
      <c r="L15">
        <v>2085300</v>
      </c>
    </row>
    <row r="16" spans="1:12" x14ac:dyDescent="0.3">
      <c r="A16">
        <v>15</v>
      </c>
      <c r="B16">
        <v>1048576</v>
      </c>
      <c r="C16">
        <v>5</v>
      </c>
      <c r="D16">
        <v>216</v>
      </c>
      <c r="E16">
        <v>0.5</v>
      </c>
      <c r="F16">
        <v>45.401000000000003</v>
      </c>
      <c r="G16">
        <v>196628</v>
      </c>
      <c r="H16">
        <v>1.4649929999999999E-3</v>
      </c>
      <c r="I16">
        <v>16649216200</v>
      </c>
      <c r="J16">
        <v>310728</v>
      </c>
      <c r="K16">
        <v>2.3151040000000001E-3</v>
      </c>
      <c r="L16">
        <v>156933.33333333334</v>
      </c>
    </row>
    <row r="17" spans="1:12" x14ac:dyDescent="0.3">
      <c r="A17">
        <v>16</v>
      </c>
      <c r="B17">
        <v>1048576</v>
      </c>
      <c r="C17">
        <v>5</v>
      </c>
      <c r="D17">
        <v>216</v>
      </c>
      <c r="E17">
        <v>0.65</v>
      </c>
      <c r="F17">
        <v>22.055</v>
      </c>
      <c r="G17">
        <v>79344</v>
      </c>
      <c r="H17">
        <v>5.9115899999999996E-4</v>
      </c>
      <c r="I17">
        <v>13890168266.666666</v>
      </c>
      <c r="J17">
        <v>103120</v>
      </c>
      <c r="K17">
        <v>7.6830400000000004E-4</v>
      </c>
      <c r="L17">
        <v>252200</v>
      </c>
    </row>
    <row r="18" spans="1:12" x14ac:dyDescent="0.3">
      <c r="A18">
        <v>17</v>
      </c>
      <c r="B18">
        <v>1048576</v>
      </c>
      <c r="C18">
        <v>5</v>
      </c>
      <c r="D18">
        <v>216</v>
      </c>
      <c r="E18">
        <v>0.8</v>
      </c>
      <c r="F18">
        <v>15.315</v>
      </c>
      <c r="G18">
        <v>42272</v>
      </c>
      <c r="H18">
        <v>3.14951E-4</v>
      </c>
      <c r="I18">
        <v>5800124450</v>
      </c>
      <c r="J18">
        <v>60092</v>
      </c>
      <c r="K18">
        <v>4.4771999999999998E-4</v>
      </c>
      <c r="L18">
        <v>894150</v>
      </c>
    </row>
    <row r="19" spans="1:12" x14ac:dyDescent="0.3">
      <c r="A19">
        <v>18</v>
      </c>
      <c r="B19">
        <v>1048576</v>
      </c>
      <c r="C19">
        <v>5</v>
      </c>
      <c r="D19">
        <v>216</v>
      </c>
      <c r="E19">
        <v>0.95</v>
      </c>
      <c r="F19">
        <v>11.645</v>
      </c>
      <c r="G19">
        <v>25904</v>
      </c>
      <c r="H19">
        <v>1.93E-4</v>
      </c>
      <c r="I19">
        <v>678992100</v>
      </c>
      <c r="J19">
        <v>16384</v>
      </c>
      <c r="K19">
        <v>1.2207E-4</v>
      </c>
      <c r="L19">
        <v>4897500</v>
      </c>
    </row>
    <row r="20" spans="1:12" x14ac:dyDescent="0.3">
      <c r="A20">
        <v>19</v>
      </c>
      <c r="B20">
        <v>1048576</v>
      </c>
      <c r="C20">
        <v>4</v>
      </c>
      <c r="D20">
        <v>125</v>
      </c>
      <c r="E20">
        <v>0.2</v>
      </c>
      <c r="F20">
        <v>241.124</v>
      </c>
      <c r="G20" s="1">
        <v>3630000</v>
      </c>
      <c r="H20">
        <v>2.7061597E-2</v>
      </c>
      <c r="I20">
        <v>2590027933.3333335</v>
      </c>
      <c r="J20" s="1">
        <v>9810000</v>
      </c>
      <c r="K20">
        <v>7.3117434999999995E-2</v>
      </c>
      <c r="L20">
        <v>5193266.666666667</v>
      </c>
    </row>
    <row r="21" spans="1:12" x14ac:dyDescent="0.3">
      <c r="A21">
        <v>20</v>
      </c>
      <c r="B21">
        <v>1048576</v>
      </c>
      <c r="C21">
        <v>4</v>
      </c>
      <c r="D21">
        <v>125</v>
      </c>
      <c r="E21">
        <v>0.35</v>
      </c>
      <c r="F21">
        <v>59.884</v>
      </c>
      <c r="G21">
        <v>977840</v>
      </c>
      <c r="H21">
        <v>7.2854759999999999E-3</v>
      </c>
      <c r="I21">
        <v>16574051666.666666</v>
      </c>
      <c r="J21" s="1">
        <v>1930000</v>
      </c>
      <c r="K21">
        <v>1.4359294999999999E-2</v>
      </c>
      <c r="L21">
        <v>193866.66666666666</v>
      </c>
    </row>
    <row r="22" spans="1:12" x14ac:dyDescent="0.3">
      <c r="A22">
        <v>21</v>
      </c>
      <c r="B22">
        <v>1048576</v>
      </c>
      <c r="C22">
        <v>4</v>
      </c>
      <c r="D22">
        <v>125</v>
      </c>
      <c r="E22">
        <v>0.5</v>
      </c>
      <c r="F22">
        <v>25.073</v>
      </c>
      <c r="G22">
        <v>369092</v>
      </c>
      <c r="H22">
        <v>2.7499500000000001E-3</v>
      </c>
      <c r="I22">
        <v>13856924350</v>
      </c>
      <c r="J22">
        <v>720268</v>
      </c>
      <c r="K22">
        <v>5.3664150000000002E-3</v>
      </c>
      <c r="L22">
        <v>596625</v>
      </c>
    </row>
    <row r="23" spans="1:12" x14ac:dyDescent="0.3">
      <c r="A23">
        <v>22</v>
      </c>
      <c r="B23">
        <v>1048576</v>
      </c>
      <c r="C23">
        <v>4</v>
      </c>
      <c r="D23">
        <v>125</v>
      </c>
      <c r="E23">
        <v>0.65</v>
      </c>
      <c r="F23">
        <v>11.696999999999999</v>
      </c>
      <c r="G23">
        <v>135380</v>
      </c>
      <c r="H23">
        <v>1.00866E-3</v>
      </c>
      <c r="I23">
        <v>5678315966.666667</v>
      </c>
      <c r="J23">
        <v>250476</v>
      </c>
      <c r="K23">
        <v>1.866192E-3</v>
      </c>
      <c r="L23">
        <v>2386533.3333333335</v>
      </c>
    </row>
    <row r="24" spans="1:12" x14ac:dyDescent="0.3">
      <c r="A24">
        <v>23</v>
      </c>
      <c r="B24">
        <v>1048576</v>
      </c>
      <c r="C24">
        <v>4</v>
      </c>
      <c r="D24">
        <v>125</v>
      </c>
      <c r="E24">
        <v>0.8</v>
      </c>
      <c r="F24">
        <v>8.2170000000000005</v>
      </c>
      <c r="G24">
        <v>75244</v>
      </c>
      <c r="H24">
        <v>5.6061100000000003E-4</v>
      </c>
      <c r="I24">
        <v>16602629250</v>
      </c>
      <c r="J24">
        <v>116676</v>
      </c>
      <c r="K24">
        <v>8.69304E-4</v>
      </c>
      <c r="L24">
        <v>273275</v>
      </c>
    </row>
    <row r="25" spans="1:12" x14ac:dyDescent="0.3">
      <c r="A25">
        <v>24</v>
      </c>
      <c r="B25">
        <v>1048576</v>
      </c>
      <c r="C25">
        <v>4</v>
      </c>
      <c r="D25">
        <v>125</v>
      </c>
      <c r="E25">
        <v>0.95</v>
      </c>
      <c r="F25">
        <v>5.9989999999999997</v>
      </c>
      <c r="G25">
        <v>25924</v>
      </c>
      <c r="H25">
        <v>1.9314899999999999E-4</v>
      </c>
      <c r="I25">
        <v>13809938833.333334</v>
      </c>
      <c r="J25">
        <v>65536</v>
      </c>
      <c r="K25">
        <v>4.8828100000000002E-4</v>
      </c>
      <c r="L25">
        <v>1550866.6666666667</v>
      </c>
    </row>
    <row r="26" spans="1:12" x14ac:dyDescent="0.3">
      <c r="A26">
        <v>25</v>
      </c>
      <c r="B26">
        <v>1048576</v>
      </c>
      <c r="C26">
        <v>3</v>
      </c>
      <c r="D26">
        <v>64</v>
      </c>
      <c r="E26">
        <v>0.2</v>
      </c>
      <c r="F26">
        <v>130.97300000000001</v>
      </c>
      <c r="G26" s="1">
        <v>3640000</v>
      </c>
      <c r="H26">
        <v>2.7143389E-2</v>
      </c>
      <c r="I26">
        <v>30628566.666666668</v>
      </c>
      <c r="J26" s="1">
        <v>9810000</v>
      </c>
      <c r="K26">
        <v>7.3102980999999997E-2</v>
      </c>
      <c r="L26">
        <v>28451566.666666668</v>
      </c>
    </row>
    <row r="27" spans="1:12" x14ac:dyDescent="0.3">
      <c r="A27">
        <v>26</v>
      </c>
      <c r="B27">
        <v>1048576</v>
      </c>
      <c r="C27">
        <v>3</v>
      </c>
      <c r="D27">
        <v>64</v>
      </c>
      <c r="E27">
        <v>0.35</v>
      </c>
      <c r="F27">
        <v>30.006</v>
      </c>
      <c r="G27">
        <v>977804</v>
      </c>
      <c r="H27">
        <v>7.2852079999999996E-3</v>
      </c>
      <c r="I27">
        <v>860025933.33333337</v>
      </c>
      <c r="J27" s="1">
        <v>1930000</v>
      </c>
      <c r="K27">
        <v>1.4366805999999999E-2</v>
      </c>
      <c r="L27">
        <v>29017333.333333332</v>
      </c>
    </row>
    <row r="28" spans="1:12" x14ac:dyDescent="0.3">
      <c r="A28">
        <v>27</v>
      </c>
      <c r="B28">
        <v>1048576</v>
      </c>
      <c r="C28">
        <v>3</v>
      </c>
      <c r="D28">
        <v>64</v>
      </c>
      <c r="E28">
        <v>0.5</v>
      </c>
      <c r="F28">
        <v>12.423</v>
      </c>
      <c r="G28">
        <v>368812</v>
      </c>
      <c r="H28">
        <v>2.747864E-3</v>
      </c>
      <c r="I28">
        <v>16533514566.666666</v>
      </c>
      <c r="J28">
        <v>721820</v>
      </c>
      <c r="K28">
        <v>5.3779780000000003E-3</v>
      </c>
      <c r="L28">
        <v>639733.33333333337</v>
      </c>
    </row>
    <row r="29" spans="1:12" x14ac:dyDescent="0.3">
      <c r="A29">
        <v>28</v>
      </c>
      <c r="B29">
        <v>1048576</v>
      </c>
      <c r="C29">
        <v>3</v>
      </c>
      <c r="D29">
        <v>64</v>
      </c>
      <c r="E29">
        <v>0.65</v>
      </c>
      <c r="F29">
        <v>5.7690000000000001</v>
      </c>
      <c r="G29">
        <v>136664</v>
      </c>
      <c r="H29">
        <v>1.0182259999999999E-3</v>
      </c>
      <c r="I29">
        <v>5035459600</v>
      </c>
      <c r="J29">
        <v>251324</v>
      </c>
      <c r="K29">
        <v>1.87251E-3</v>
      </c>
      <c r="L29">
        <v>9633533.333333334</v>
      </c>
    </row>
    <row r="30" spans="1:12" x14ac:dyDescent="0.3">
      <c r="A30">
        <v>29</v>
      </c>
      <c r="B30">
        <v>1048576</v>
      </c>
      <c r="C30">
        <v>3</v>
      </c>
      <c r="D30">
        <v>64</v>
      </c>
      <c r="E30">
        <v>0.8</v>
      </c>
      <c r="F30">
        <v>4.1449999999999996</v>
      </c>
      <c r="G30">
        <v>76158</v>
      </c>
      <c r="H30">
        <v>5.6742100000000003E-4</v>
      </c>
      <c r="I30">
        <v>13547292966.666666</v>
      </c>
      <c r="J30">
        <v>116656</v>
      </c>
      <c r="K30">
        <v>8.6915500000000004E-4</v>
      </c>
      <c r="L30">
        <v>5930200</v>
      </c>
    </row>
    <row r="31" spans="1:12" x14ac:dyDescent="0.3">
      <c r="A31">
        <v>30</v>
      </c>
      <c r="B31">
        <v>1048576</v>
      </c>
      <c r="C31">
        <v>3</v>
      </c>
      <c r="D31">
        <v>64</v>
      </c>
      <c r="E31">
        <v>0.95</v>
      </c>
      <c r="F31">
        <v>2.7050000000000001</v>
      </c>
      <c r="G31">
        <v>25872</v>
      </c>
      <c r="H31">
        <v>1.9276100000000001E-4</v>
      </c>
      <c r="I31">
        <v>16558188933.333334</v>
      </c>
      <c r="J31">
        <v>65536</v>
      </c>
      <c r="K31">
        <v>4.8828100000000002E-4</v>
      </c>
      <c r="L31">
        <v>2563533.3333333335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all</vt:lpstr>
      <vt:lpstr>clean</vt:lpstr>
      <vt:lpstr>avg</vt:lpstr>
      <vt:lpstr>X</vt:lpstr>
      <vt:lpstr>plot</vt:lpstr>
      <vt:lpstr>X numbers only</vt:lpstr>
      <vt:lpstr>n,eta,X</vt:lpstr>
      <vt:lpstr>eta details</vt:lpstr>
      <vt:lpstr>pred X, share NF</vt:lpstr>
      <vt:lpstr>Volume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morteza sadeghi</dc:creator>
  <cp:lastModifiedBy>morteza sadeghi</cp:lastModifiedBy>
  <dcterms:created xsi:type="dcterms:W3CDTF">2025-12-07T09:00:38Z</dcterms:created>
  <dcterms:modified xsi:type="dcterms:W3CDTF">2025-12-28T16:00:42Z</dcterms:modified>
</cp:coreProperties>
</file>